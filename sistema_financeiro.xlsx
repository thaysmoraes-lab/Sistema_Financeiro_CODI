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tegorias" sheetId="2" state="visible" r:id="rId4"/>
    <sheet name="Lançamentos DRE" sheetId="3" state="visible" r:id="rId5"/>
    <sheet name="Lançamentos Fluxo" sheetId="4" state="visible" r:id="rId6"/>
    <sheet name="Contas a Pagar" sheetId="5" state="visible" r:id="rId7"/>
    <sheet name="Fluxo de Caixa" sheetId="6" state="visible" r:id="rId8"/>
    <sheet name="DRE" sheetId="7" state="visible" r:id="rId9"/>
    <sheet name="Simulador de Compra" sheetId="8" state="visible" r:id="rId10"/>
    <sheet name="Produção de Peças" sheetId="9" state="visible" r:id="rId11"/>
    <sheet name="Régua de Crédit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<sst xmlns="http://schemas.openxmlformats.org/spreadsheetml/2006/main" count="9442" uniqueCount="1186">
  <si>
    <t xml:space="preserve">SISTEMA DE GESTÃO FINANCEIRA</t>
  </si>
  <si>
    <t xml:space="preserve">Confecção · Modelo pronto para uso</t>
  </si>
  <si>
    <t xml:space="preserve">COMO USAR ESTE ARQUIVO</t>
  </si>
  <si>
    <t xml:space="preserve">As células com fundo AMARELO e texto AZUL são as que você preenche.</t>
  </si>
  <si>
    <t xml:space="preserve">Todo o resto é calculado automaticamente. Não precisa mexer.</t>
  </si>
  <si>
    <t xml:space="preserve">ABAS:</t>
  </si>
  <si>
    <t xml:space="preserve">1. Lançamentos  →  registre toda entrada e saída de dinheiro</t>
  </si>
  <si>
    <t xml:space="preserve">2. Fluxo de Caixa  →  resumo mensal automático</t>
  </si>
  <si>
    <t xml:space="preserve">3. DRE  →  resultado (lucro/prejuízo) automático</t>
  </si>
  <si>
    <t xml:space="preserve">4. Simulador de Compra  →  calcula parcela e limite de pagamento</t>
  </si>
  <si>
    <t xml:space="preserve">5. Produção de Peças  →  acompanhe metas e produção</t>
  </si>
  <si>
    <t xml:space="preserve">6. Régua de Crédito  →  decide liberar crédito ou não</t>
  </si>
  <si>
    <t xml:space="preserve">7. Categorias  →  seu plano de contas (pode editar)</t>
  </si>
  <si>
    <t xml:space="preserve">IMPORTANTE — DATAS:</t>
  </si>
  <si>
    <t xml:space="preserve">Na aba Lançamentos, digite a data no formato DD/MM/AAAA (ex.: 05/06/2026).</t>
  </si>
  <si>
    <t xml:space="preserve">Se o fluxo de caixa não somar, é porque a data foi digitada como texto.</t>
  </si>
  <si>
    <t xml:space="preserve">Confira se a célula da data está alinhada à direita (data real), não à esquerda.</t>
  </si>
  <si>
    <t xml:space="preserve">Categorias (Plano de Contas)</t>
  </si>
  <si>
    <t xml:space="preserve">Categoria de RECEITA</t>
  </si>
  <si>
    <t xml:space="preserve">Tipo</t>
  </si>
  <si>
    <t xml:space="preserve">Categoria de DESPESA</t>
  </si>
  <si>
    <t xml:space="preserve">Lista (auto)</t>
  </si>
  <si>
    <t xml:space="preserve">Vendas</t>
  </si>
  <si>
    <t xml:space="preserve">Receita</t>
  </si>
  <si>
    <t xml:space="preserve">Custo de Mercadoria Vendida</t>
  </si>
  <si>
    <t xml:space="preserve">Receita Financeira</t>
  </si>
  <si>
    <t xml:space="preserve">Tecidos</t>
  </si>
  <si>
    <t xml:space="preserve">Outras Receitas</t>
  </si>
  <si>
    <t xml:space="preserve">Lavanderia</t>
  </si>
  <si>
    <t xml:space="preserve">Travete</t>
  </si>
  <si>
    <t xml:space="preserve">Facção</t>
  </si>
  <si>
    <t xml:space="preserve">Acabamento Externo</t>
  </si>
  <si>
    <t xml:space="preserve">Outros Insumos</t>
  </si>
  <si>
    <t xml:space="preserve">Criação de Modelos</t>
  </si>
  <si>
    <t xml:space="preserve">Aviamento</t>
  </si>
  <si>
    <t xml:space="preserve">Etiquetas</t>
  </si>
  <si>
    <t xml:space="preserve">Simples Nacional</t>
  </si>
  <si>
    <t xml:space="preserve">Embalagens</t>
  </si>
  <si>
    <t xml:space="preserve">Bordado Industrial</t>
  </si>
  <si>
    <t xml:space="preserve">Comissão de Assessores</t>
  </si>
  <si>
    <t xml:space="preserve">Bordado Manual</t>
  </si>
  <si>
    <t xml:space="preserve">Comissão de vendedores</t>
  </si>
  <si>
    <t xml:space="preserve">Darf</t>
  </si>
  <si>
    <t xml:space="preserve">Combustíveis</t>
  </si>
  <si>
    <t xml:space="preserve">Manutenção de Máquinas e Peças</t>
  </si>
  <si>
    <t xml:space="preserve">Alimentação</t>
  </si>
  <si>
    <t xml:space="preserve">Manutenção de Veiculos e Estacionamento</t>
  </si>
  <si>
    <t xml:space="preserve">Compra de Computadores e Eletrônicos</t>
  </si>
  <si>
    <t xml:space="preserve">Exame Adminissional/Demissional</t>
  </si>
  <si>
    <t xml:space="preserve">Vale Transporte</t>
  </si>
  <si>
    <t xml:space="preserve">Publicidade</t>
  </si>
  <si>
    <t xml:space="preserve">Salário e Ordenados</t>
  </si>
  <si>
    <t xml:space="preserve">Aluguéis e Condomínios</t>
  </si>
  <si>
    <t xml:space="preserve">Despesa com Sindicatos</t>
  </si>
  <si>
    <t xml:space="preserve">Web Site e Sistema ERP</t>
  </si>
  <si>
    <t xml:space="preserve">Ipva</t>
  </si>
  <si>
    <t xml:space="preserve">Patrocínio</t>
  </si>
  <si>
    <t xml:space="preserve">Material de Copa e Cozinha</t>
  </si>
  <si>
    <t xml:space="preserve">Empréstimos</t>
  </si>
  <si>
    <t xml:space="preserve">Vales e Adiantamentos</t>
  </si>
  <si>
    <t xml:space="preserve">Consulta de Crédito Cliente</t>
  </si>
  <si>
    <t xml:space="preserve">Frete e Transporte de Mercadorias</t>
  </si>
  <si>
    <t xml:space="preserve">Segurança e Monitoramento</t>
  </si>
  <si>
    <t xml:space="preserve">Títulos de Capitalização</t>
  </si>
  <si>
    <t xml:space="preserve">Seguros</t>
  </si>
  <si>
    <t xml:space="preserve">Telefonia Fixa e Internet</t>
  </si>
  <si>
    <t xml:space="preserve">Compra de Veículos</t>
  </si>
  <si>
    <t xml:space="preserve">Material de Limpeza e Higiene</t>
  </si>
  <si>
    <t xml:space="preserve">Energia Elétrica</t>
  </si>
  <si>
    <t xml:space="preserve">Água</t>
  </si>
  <si>
    <t xml:space="preserve">Juros de Empréstimos</t>
  </si>
  <si>
    <t xml:space="preserve">Acertos e Recisões</t>
  </si>
  <si>
    <t xml:space="preserve">Premiações e Abonos</t>
  </si>
  <si>
    <t xml:space="preserve">Despesa não Identificada</t>
  </si>
  <si>
    <t xml:space="preserve">Material de Escritório</t>
  </si>
  <si>
    <t xml:space="preserve">Despesas com Documentos e Xerox</t>
  </si>
  <si>
    <t xml:space="preserve">Honorários Contábeis (Contabilidade)</t>
  </si>
  <si>
    <t xml:space="preserve">Tarifas e Custos de Op. Bancárias</t>
  </si>
  <si>
    <t xml:space="preserve">Telefonia Móvel</t>
  </si>
  <si>
    <t xml:space="preserve">Viagens e estadas</t>
  </si>
  <si>
    <t xml:space="preserve">Multas e Juros por Atraso</t>
  </si>
  <si>
    <t xml:space="preserve">Assessoria Técnica Profissional</t>
  </si>
  <si>
    <t xml:space="preserve">Outros Tributos</t>
  </si>
  <si>
    <t xml:space="preserve">Multas</t>
  </si>
  <si>
    <t xml:space="preserve">Advogados - Honorários</t>
  </si>
  <si>
    <t xml:space="preserve">Fgts, Gps e Pis</t>
  </si>
  <si>
    <t xml:space="preserve">Retiradas de Sócios</t>
  </si>
  <si>
    <t xml:space="preserve">Férias</t>
  </si>
  <si>
    <t xml:space="preserve">Produção Externa</t>
  </si>
  <si>
    <t xml:space="preserve">Consórcio</t>
  </si>
  <si>
    <t xml:space="preserve">Manutenção de Imóveis</t>
  </si>
  <si>
    <t xml:space="preserve">Uniforme e EPIs</t>
  </si>
  <si>
    <t xml:space="preserve">Manutenção de Moveis e Utensílios</t>
  </si>
  <si>
    <t xml:space="preserve">Coquetéis, festas e outros eventos</t>
  </si>
  <si>
    <t xml:space="preserve">Gasto com Reforma</t>
  </si>
  <si>
    <t xml:space="preserve">Tráfego/Social Mídia</t>
  </si>
  <si>
    <t xml:space="preserve">Suspenso (a classificar)</t>
  </si>
  <si>
    <t xml:space="preserve">Outras Despesas</t>
  </si>
  <si>
    <t xml:space="preserve">Lançamentos DRE</t>
  </si>
  <si>
    <t xml:space="preserve">Regime de COMPETÊNCIA (data de vencimento)</t>
  </si>
  <si>
    <t xml:space="preserve">Data</t>
  </si>
  <si>
    <t xml:space="preserve">Descrição</t>
  </si>
  <si>
    <t xml:space="preserve">Categoria</t>
  </si>
  <si>
    <t xml:space="preserve">Valor (R$)</t>
  </si>
  <si>
    <t xml:space="preserve">Mês</t>
  </si>
  <si>
    <t xml:space="preserve">Tarifas e Custos de Op. Bancárias - 09/2024</t>
  </si>
  <si>
    <t xml:space="preserve">Saída</t>
  </si>
  <si>
    <t xml:space="preserve">09/2024</t>
  </si>
  <si>
    <t xml:space="preserve">Aluguéis e Condomínios - 09/2024</t>
  </si>
  <si>
    <t xml:space="preserve">Tarifas e Custos de Op. Bancárias - 11/2024</t>
  </si>
  <si>
    <t xml:space="preserve">11/2024</t>
  </si>
  <si>
    <t xml:space="preserve">Tarifas e Custos de Op. Bancárias - 12/2024</t>
  </si>
  <si>
    <t xml:space="preserve">12/2024</t>
  </si>
  <si>
    <t xml:space="preserve">Salário e Ordenados - 12/2024</t>
  </si>
  <si>
    <t xml:space="preserve">Vales e Adiantamentos - 12/2024</t>
  </si>
  <si>
    <t xml:space="preserve">Vendas - 01/2025</t>
  </si>
  <si>
    <t xml:space="preserve">Entrada</t>
  </si>
  <si>
    <t xml:space="preserve">01/2025</t>
  </si>
  <si>
    <t xml:space="preserve">Aluguéis e Condomínios - 01/2025</t>
  </si>
  <si>
    <t xml:space="preserve">Salário e Ordenados - 01/2025</t>
  </si>
  <si>
    <t xml:space="preserve">Férias - 01/2025</t>
  </si>
  <si>
    <t xml:space="preserve">Material de Limpeza e Higiene - 01/2025</t>
  </si>
  <si>
    <t xml:space="preserve">Acertos e Recisões - 01/2025</t>
  </si>
  <si>
    <t xml:space="preserve">Frete e Transporte de Mercadorias - 01/2025</t>
  </si>
  <si>
    <t xml:space="preserve">Seguros - 01/2025</t>
  </si>
  <si>
    <t xml:space="preserve">Segurança e Monitoramento - 01/2025</t>
  </si>
  <si>
    <t xml:space="preserve">Vale Transporte - 01/2025</t>
  </si>
  <si>
    <t xml:space="preserve">Publicidade - 01/2025</t>
  </si>
  <si>
    <t xml:space="preserve">Energia Elétrica - 01/2025</t>
  </si>
  <si>
    <t xml:space="preserve">Água - 01/2025</t>
  </si>
  <si>
    <t xml:space="preserve">Exame Adminissional/Demissional - 01/2025</t>
  </si>
  <si>
    <t xml:space="preserve">Custo de Mercadoria Vendida - 01/2025</t>
  </si>
  <si>
    <t xml:space="preserve">Vendas - 02/2025</t>
  </si>
  <si>
    <t xml:space="preserve">02/2025</t>
  </si>
  <si>
    <t xml:space="preserve">Aluguéis e Condomínios - 02/2025</t>
  </si>
  <si>
    <t xml:space="preserve">Salário e Ordenados - 02/2025</t>
  </si>
  <si>
    <t xml:space="preserve">Vales e Adiantamentos - 02/2025</t>
  </si>
  <si>
    <t xml:space="preserve">Férias - 02/2025</t>
  </si>
  <si>
    <t xml:space="preserve">Material de Limpeza e Higiene - 02/2025</t>
  </si>
  <si>
    <t xml:space="preserve">Frete e Transporte de Mercadorias - 02/2025</t>
  </si>
  <si>
    <t xml:space="preserve">Seguros - 02/2025</t>
  </si>
  <si>
    <t xml:space="preserve">Segurança e Monitoramento - 02/2025</t>
  </si>
  <si>
    <t xml:space="preserve">Publicidade - 02/2025</t>
  </si>
  <si>
    <t xml:space="preserve">Água - 02/2025</t>
  </si>
  <si>
    <t xml:space="preserve">Darf - 02/2025</t>
  </si>
  <si>
    <t xml:space="preserve">Multas - 02/2025</t>
  </si>
  <si>
    <t xml:space="preserve">Coquetéis, festas e outros eventos - 02/2025</t>
  </si>
  <si>
    <t xml:space="preserve">Honorários Contábeis (Contabilidade) - 02/2025</t>
  </si>
  <si>
    <t xml:space="preserve">Outras Despesas - 02/2025</t>
  </si>
  <si>
    <t xml:space="preserve">Alimentação - 02/2025</t>
  </si>
  <si>
    <t xml:space="preserve">Combustíveis - 02/2025</t>
  </si>
  <si>
    <t xml:space="preserve">Manutenção de Máquinas e Peças - 02/2025</t>
  </si>
  <si>
    <t xml:space="preserve">Exame Adminissional/Demissional - 02/2025</t>
  </si>
  <si>
    <t xml:space="preserve">Custo de Mercadoria Vendida - 02/2025</t>
  </si>
  <si>
    <t xml:space="preserve">Vendas - 03/2025</t>
  </si>
  <si>
    <t xml:space="preserve">03/2025</t>
  </si>
  <si>
    <t xml:space="preserve">Tarifas e Custos de Op. Bancárias - 03/2025</t>
  </si>
  <si>
    <t xml:space="preserve">Aluguéis e Condomínios - 03/2025</t>
  </si>
  <si>
    <t xml:space="preserve">Salário e Ordenados - 03/2025</t>
  </si>
  <si>
    <t xml:space="preserve">Vales e Adiantamentos - 03/2025</t>
  </si>
  <si>
    <t xml:space="preserve">Férias - 03/2025</t>
  </si>
  <si>
    <t xml:space="preserve">Material de Limpeza e Higiene - 03/2025</t>
  </si>
  <si>
    <t xml:space="preserve">Acertos e Recisões - 03/2025</t>
  </si>
  <si>
    <t xml:space="preserve">Frete e Transporte de Mercadorias - 03/2025</t>
  </si>
  <si>
    <t xml:space="preserve">Seguros - 03/2025</t>
  </si>
  <si>
    <t xml:space="preserve">Segurança e Monitoramento - 03/2025</t>
  </si>
  <si>
    <t xml:space="preserve">Vale Transporte - 03/2025</t>
  </si>
  <si>
    <t xml:space="preserve">Publicidade - 03/2025</t>
  </si>
  <si>
    <t xml:space="preserve">Energia Elétrica - 03/2025</t>
  </si>
  <si>
    <t xml:space="preserve">Água - 03/2025</t>
  </si>
  <si>
    <t xml:space="preserve">Telefonia Móvel - 03/2025</t>
  </si>
  <si>
    <t xml:space="preserve">Multas - 03/2025</t>
  </si>
  <si>
    <t xml:space="preserve">Honorários Contábeis (Contabilidade) - 03/2025</t>
  </si>
  <si>
    <t xml:space="preserve">Outras Despesas - 03/2025</t>
  </si>
  <si>
    <t xml:space="preserve">Alimentação - 03/2025</t>
  </si>
  <si>
    <t xml:space="preserve">Combustíveis - 03/2025</t>
  </si>
  <si>
    <t xml:space="preserve">Exame Adminissional/Demissional - 03/2025</t>
  </si>
  <si>
    <t xml:space="preserve">Manutenção de Moveis e Utensílios - 03/2025</t>
  </si>
  <si>
    <t xml:space="preserve">Manutenção de Veiculos e Estacionamento - 03/2025</t>
  </si>
  <si>
    <t xml:space="preserve">Consulta de Crédito Cliente - 03/2025</t>
  </si>
  <si>
    <t xml:space="preserve">Multas e Juros por Atraso - 03/2025</t>
  </si>
  <si>
    <t xml:space="preserve">Despesa com Sindicatos - 03/2025</t>
  </si>
  <si>
    <t xml:space="preserve">Premiações e Abonos - 03/2025</t>
  </si>
  <si>
    <t xml:space="preserve">Custo de Mercadoria Vendida - 03/2025</t>
  </si>
  <si>
    <t xml:space="preserve">Vendas - 04/2025</t>
  </si>
  <si>
    <t xml:space="preserve">04/2025</t>
  </si>
  <si>
    <t xml:space="preserve">Tarifas e Custos de Op. Bancárias - 04/2025</t>
  </si>
  <si>
    <t xml:space="preserve">Aluguéis e Condomínios - 04/2025</t>
  </si>
  <si>
    <t xml:space="preserve">Salário e Ordenados - 04/2025</t>
  </si>
  <si>
    <t xml:space="preserve">Vales e Adiantamentos - 04/2025</t>
  </si>
  <si>
    <t xml:space="preserve">Material de Limpeza e Higiene - 04/2025</t>
  </si>
  <si>
    <t xml:space="preserve">Acertos e Recisões - 04/2025</t>
  </si>
  <si>
    <t xml:space="preserve">Frete e Transporte de Mercadorias - 04/2025</t>
  </si>
  <si>
    <t xml:space="preserve">Seguros - 04/2025</t>
  </si>
  <si>
    <t xml:space="preserve">Segurança e Monitoramento - 04/2025</t>
  </si>
  <si>
    <t xml:space="preserve">Vale Transporte - 04/2025</t>
  </si>
  <si>
    <t xml:space="preserve">Publicidade - 04/2025</t>
  </si>
  <si>
    <t xml:space="preserve">Energia Elétrica - 04/2025</t>
  </si>
  <si>
    <t xml:space="preserve">Água - 04/2025</t>
  </si>
  <si>
    <t xml:space="preserve">Telefonia Móvel - 04/2025</t>
  </si>
  <si>
    <t xml:space="preserve">Darf - 04/2025</t>
  </si>
  <si>
    <t xml:space="preserve">Honorários Contábeis (Contabilidade) - 04/2025</t>
  </si>
  <si>
    <t xml:space="preserve">Outras Despesas - 04/2025</t>
  </si>
  <si>
    <t xml:space="preserve">Alimentação - 04/2025</t>
  </si>
  <si>
    <t xml:space="preserve">Combustíveis - 04/2025</t>
  </si>
  <si>
    <t xml:space="preserve">Manutenção de Máquinas e Peças - 04/2025</t>
  </si>
  <si>
    <t xml:space="preserve">Exame Adminissional/Demissional - 04/2025</t>
  </si>
  <si>
    <t xml:space="preserve">Manutenção de Moveis e Utensílios - 04/2025</t>
  </si>
  <si>
    <t xml:space="preserve">Manutenção de Veiculos e Estacionamento - 04/2025</t>
  </si>
  <si>
    <t xml:space="preserve">Telefonia Fixa e Internet - 04/2025</t>
  </si>
  <si>
    <t xml:space="preserve">Uniforme e EPIs - 04/2025</t>
  </si>
  <si>
    <t xml:space="preserve">Consulta de Crédito Cliente - 04/2025</t>
  </si>
  <si>
    <t xml:space="preserve">Empréstimos - 04/2025</t>
  </si>
  <si>
    <t xml:space="preserve">Títulos de Capitalização - 04/2025</t>
  </si>
  <si>
    <t xml:space="preserve">Viagens e estadas - 04/2025</t>
  </si>
  <si>
    <t xml:space="preserve">Material de Escritório - 04/2025</t>
  </si>
  <si>
    <t xml:space="preserve">Custo de Mercadoria Vendida - 04/2025</t>
  </si>
  <si>
    <t xml:space="preserve">Vendas - 05/2025</t>
  </si>
  <si>
    <t xml:space="preserve">05/2025</t>
  </si>
  <si>
    <t xml:space="preserve">Tarifas e Custos de Op. Bancárias - 05/2025</t>
  </si>
  <si>
    <t xml:space="preserve">Aluguéis e Condomínios - 05/2025</t>
  </si>
  <si>
    <t xml:space="preserve">Salário e Ordenados - 05/2025</t>
  </si>
  <si>
    <t xml:space="preserve">Vales e Adiantamentos - 05/2025</t>
  </si>
  <si>
    <t xml:space="preserve">Material de Limpeza e Higiene - 05/2025</t>
  </si>
  <si>
    <t xml:space="preserve">Acertos e Recisões - 05/2025</t>
  </si>
  <si>
    <t xml:space="preserve">Frete e Transporte de Mercadorias - 05/2025</t>
  </si>
  <si>
    <t xml:space="preserve">Seguros - 05/2025</t>
  </si>
  <si>
    <t xml:space="preserve">Segurança e Monitoramento - 05/2025</t>
  </si>
  <si>
    <t xml:space="preserve">Vale Transporte - 05/2025</t>
  </si>
  <si>
    <t xml:space="preserve">Publicidade - 05/2025</t>
  </si>
  <si>
    <t xml:space="preserve">Energia Elétrica - 05/2025</t>
  </si>
  <si>
    <t xml:space="preserve">Água - 05/2025</t>
  </si>
  <si>
    <t xml:space="preserve">Telefonia Móvel - 05/2025</t>
  </si>
  <si>
    <t xml:space="preserve">Honorários Contábeis (Contabilidade) - 05/2025</t>
  </si>
  <si>
    <t xml:space="preserve">Outras Despesas - 05/2025</t>
  </si>
  <si>
    <t xml:space="preserve">Alimentação - 05/2025</t>
  </si>
  <si>
    <t xml:space="preserve">Combustíveis - 05/2025</t>
  </si>
  <si>
    <t xml:space="preserve">Manutenção de Máquinas e Peças - 05/2025</t>
  </si>
  <si>
    <t xml:space="preserve">Manutenção de Moveis e Utensílios - 05/2025</t>
  </si>
  <si>
    <t xml:space="preserve">Manutenção de Veiculos e Estacionamento - 05/2025</t>
  </si>
  <si>
    <t xml:space="preserve">Telefonia Fixa e Internet - 05/2025</t>
  </si>
  <si>
    <t xml:space="preserve">Consulta de Crédito Cliente - 05/2025</t>
  </si>
  <si>
    <t xml:space="preserve">Despesa com Sindicatos - 05/2025</t>
  </si>
  <si>
    <t xml:space="preserve">Empréstimos - 05/2025</t>
  </si>
  <si>
    <t xml:space="preserve">Títulos de Capitalização - 05/2025</t>
  </si>
  <si>
    <t xml:space="preserve">Viagens e estadas - 05/2025</t>
  </si>
  <si>
    <t xml:space="preserve">Material de Escritório - 05/2025</t>
  </si>
  <si>
    <t xml:space="preserve">Manutenção de Imóveis - 05/2025</t>
  </si>
  <si>
    <t xml:space="preserve">Fgts, Gps e Pis - 05/2025</t>
  </si>
  <si>
    <t xml:space="preserve">Custo de Mercadoria Vendida - 05/2025</t>
  </si>
  <si>
    <t xml:space="preserve">Vendas - 06/2025</t>
  </si>
  <si>
    <t xml:space="preserve">06/2025</t>
  </si>
  <si>
    <t xml:space="preserve">Aluguéis e Condomínios - 06/2025</t>
  </si>
  <si>
    <t xml:space="preserve">Salário e Ordenados - 06/2025</t>
  </si>
  <si>
    <t xml:space="preserve">Vales e Adiantamentos - 06/2025</t>
  </si>
  <si>
    <t xml:space="preserve">Férias - 06/2025</t>
  </si>
  <si>
    <t xml:space="preserve">Material de Limpeza e Higiene - 06/2025</t>
  </si>
  <si>
    <t xml:space="preserve">Frete e Transporte de Mercadorias - 06/2025</t>
  </si>
  <si>
    <t xml:space="preserve">Seguros - 06/2025</t>
  </si>
  <si>
    <t xml:space="preserve">Segurança e Monitoramento - 06/2025</t>
  </si>
  <si>
    <t xml:space="preserve">Vale Transporte - 06/2025</t>
  </si>
  <si>
    <t xml:space="preserve">Publicidade - 06/2025</t>
  </si>
  <si>
    <t xml:space="preserve">Energia Elétrica - 06/2025</t>
  </si>
  <si>
    <t xml:space="preserve">Água - 06/2025</t>
  </si>
  <si>
    <t xml:space="preserve">Multas - 06/2025</t>
  </si>
  <si>
    <t xml:space="preserve">Coquetéis, festas e outros eventos - 06/2025</t>
  </si>
  <si>
    <t xml:space="preserve">Honorários Contábeis (Contabilidade) - 06/2025</t>
  </si>
  <si>
    <t xml:space="preserve">Outras Despesas - 06/2025</t>
  </si>
  <si>
    <t xml:space="preserve">Alimentação - 06/2025</t>
  </si>
  <si>
    <t xml:space="preserve">Combustíveis - 06/2025</t>
  </si>
  <si>
    <t xml:space="preserve">Manutenção de Veiculos e Estacionamento - 06/2025</t>
  </si>
  <si>
    <t xml:space="preserve">Telefonia Fixa e Internet - 06/2025</t>
  </si>
  <si>
    <t xml:space="preserve">Consulta de Crédito Cliente - 06/2025</t>
  </si>
  <si>
    <t xml:space="preserve">Despesa com Sindicatos - 06/2025</t>
  </si>
  <si>
    <t xml:space="preserve">Empréstimos - 06/2025</t>
  </si>
  <si>
    <t xml:space="preserve">Títulos de Capitalização - 06/2025</t>
  </si>
  <si>
    <t xml:space="preserve">Viagens e estadas - 06/2025</t>
  </si>
  <si>
    <t xml:space="preserve">Material de Escritório - 06/2025</t>
  </si>
  <si>
    <t xml:space="preserve">Manutenção de Imóveis - 06/2025</t>
  </si>
  <si>
    <t xml:space="preserve">Fgts, Gps e Pis - 06/2025</t>
  </si>
  <si>
    <t xml:space="preserve">Gasto com Reforma - 06/2025</t>
  </si>
  <si>
    <t xml:space="preserve">Compra de Computadores e Eletrônicos - 06/2025</t>
  </si>
  <si>
    <t xml:space="preserve">Custo de Mercadoria Vendida - 06/2025</t>
  </si>
  <si>
    <t xml:space="preserve">Vendas - 07/2025</t>
  </si>
  <si>
    <t xml:space="preserve">07/2025</t>
  </si>
  <si>
    <t xml:space="preserve">Tarifas e Custos de Op. Bancárias - 07/2025</t>
  </si>
  <si>
    <t xml:space="preserve">Aluguéis e Condomínios - 07/2025</t>
  </si>
  <si>
    <t xml:space="preserve">Salário e Ordenados - 07/2025</t>
  </si>
  <si>
    <t xml:space="preserve">Vales e Adiantamentos - 07/2025</t>
  </si>
  <si>
    <t xml:space="preserve">Material de Limpeza e Higiene - 07/2025</t>
  </si>
  <si>
    <t xml:space="preserve">Frete e Transporte de Mercadorias - 07/2025</t>
  </si>
  <si>
    <t xml:space="preserve">Seguros - 07/2025</t>
  </si>
  <si>
    <t xml:space="preserve">Segurança e Monitoramento - 07/2025</t>
  </si>
  <si>
    <t xml:space="preserve">Vale Transporte - 07/2025</t>
  </si>
  <si>
    <t xml:space="preserve">Publicidade - 07/2025</t>
  </si>
  <si>
    <t xml:space="preserve">Energia Elétrica - 07/2025</t>
  </si>
  <si>
    <t xml:space="preserve">Água - 07/2025</t>
  </si>
  <si>
    <t xml:space="preserve">Honorários Contábeis (Contabilidade) - 07/2025</t>
  </si>
  <si>
    <t xml:space="preserve">Outras Despesas - 07/2025</t>
  </si>
  <si>
    <t xml:space="preserve">Alimentação - 07/2025</t>
  </si>
  <si>
    <t xml:space="preserve">Combustíveis - 07/2025</t>
  </si>
  <si>
    <t xml:space="preserve">Manutenção de Máquinas e Peças - 07/2025</t>
  </si>
  <si>
    <t xml:space="preserve">Exame Adminissional/Demissional - 07/2025</t>
  </si>
  <si>
    <t xml:space="preserve">Manutenção de Veiculos e Estacionamento - 07/2025</t>
  </si>
  <si>
    <t xml:space="preserve">Telefonia Fixa e Internet - 07/2025</t>
  </si>
  <si>
    <t xml:space="preserve">Consulta de Crédito Cliente - 07/2025</t>
  </si>
  <si>
    <t xml:space="preserve">Despesa com Sindicatos - 07/2025</t>
  </si>
  <si>
    <t xml:space="preserve">Empréstimos - 07/2025</t>
  </si>
  <si>
    <t xml:space="preserve">Títulos de Capitalização - 07/2025</t>
  </si>
  <si>
    <t xml:space="preserve">Compra de Computadores e Eletrônicos - 07/2025</t>
  </si>
  <si>
    <t xml:space="preserve">Web Site e Sistema ERP - 07/2025</t>
  </si>
  <si>
    <t xml:space="preserve">Ipva - 07/2025</t>
  </si>
  <si>
    <t xml:space="preserve">Patrocínio - 07/2025</t>
  </si>
  <si>
    <t xml:space="preserve">Material de Copa e Cozinha - 07/2025</t>
  </si>
  <si>
    <t xml:space="preserve">Juros de Empréstimos - 07/2025</t>
  </si>
  <si>
    <t xml:space="preserve">Compra de Veículos - 07/2025</t>
  </si>
  <si>
    <t xml:space="preserve">Custo de Mercadoria Vendida - 07/2025</t>
  </si>
  <si>
    <t xml:space="preserve">Vendas - 08/2025</t>
  </si>
  <si>
    <t xml:space="preserve">08/2025</t>
  </si>
  <si>
    <t xml:space="preserve">Tarifas e Custos de Op. Bancárias - 08/2025</t>
  </si>
  <si>
    <t xml:space="preserve">Aluguéis e Condomínios - 08/2025</t>
  </si>
  <si>
    <t xml:space="preserve">Salário e Ordenados - 08/2025</t>
  </si>
  <si>
    <t xml:space="preserve">Vales e Adiantamentos - 08/2025</t>
  </si>
  <si>
    <t xml:space="preserve">Acertos e Recisões - 08/2025</t>
  </si>
  <si>
    <t xml:space="preserve">Frete e Transporte de Mercadorias - 08/2025</t>
  </si>
  <si>
    <t xml:space="preserve">Seguros - 08/2025</t>
  </si>
  <si>
    <t xml:space="preserve">Segurança e Monitoramento - 08/2025</t>
  </si>
  <si>
    <t xml:space="preserve">Vale Transporte - 08/2025</t>
  </si>
  <si>
    <t xml:space="preserve">Publicidade - 08/2025</t>
  </si>
  <si>
    <t xml:space="preserve">Energia Elétrica - 08/2025</t>
  </si>
  <si>
    <t xml:space="preserve">Darf - 08/2025</t>
  </si>
  <si>
    <t xml:space="preserve">Honorários Contábeis (Contabilidade) - 08/2025</t>
  </si>
  <si>
    <t xml:space="preserve">Outras Despesas - 08/2025</t>
  </si>
  <si>
    <t xml:space="preserve">Alimentação - 08/2025</t>
  </si>
  <si>
    <t xml:space="preserve">Combustíveis - 08/2025</t>
  </si>
  <si>
    <t xml:space="preserve">Manutenção de Veiculos e Estacionamento - 08/2025</t>
  </si>
  <si>
    <t xml:space="preserve">Telefonia Fixa e Internet - 08/2025</t>
  </si>
  <si>
    <t xml:space="preserve">Consulta de Crédito Cliente - 08/2025</t>
  </si>
  <si>
    <t xml:space="preserve">Despesa com Sindicatos - 08/2025</t>
  </si>
  <si>
    <t xml:space="preserve">Premiações e Abonos - 08/2025</t>
  </si>
  <si>
    <t xml:space="preserve">Empréstimos - 08/2025</t>
  </si>
  <si>
    <t xml:space="preserve">Títulos de Capitalização - 08/2025</t>
  </si>
  <si>
    <t xml:space="preserve">Material de Escritório - 08/2025</t>
  </si>
  <si>
    <t xml:space="preserve">Web Site e Sistema ERP - 08/2025</t>
  </si>
  <si>
    <t xml:space="preserve">Material de Copa e Cozinha - 08/2025</t>
  </si>
  <si>
    <t xml:space="preserve">Juros de Empréstimos - 08/2025</t>
  </si>
  <si>
    <t xml:space="preserve">Despesas com Documentos e Xerox - 08/2025</t>
  </si>
  <si>
    <t xml:space="preserve">Custo de Mercadoria Vendida - 08/2025</t>
  </si>
  <si>
    <t xml:space="preserve">Vendas - 09/2025</t>
  </si>
  <si>
    <t xml:space="preserve">09/2025</t>
  </si>
  <si>
    <t xml:space="preserve">Aluguéis e Condomínios - 09/2025</t>
  </si>
  <si>
    <t xml:space="preserve">Salário e Ordenados - 09/2025</t>
  </si>
  <si>
    <t xml:space="preserve">Vales e Adiantamentos - 09/2025</t>
  </si>
  <si>
    <t xml:space="preserve">Material de Limpeza e Higiene - 09/2025</t>
  </si>
  <si>
    <t xml:space="preserve">Frete e Transporte de Mercadorias - 09/2025</t>
  </si>
  <si>
    <t xml:space="preserve">Seguros - 09/2025</t>
  </si>
  <si>
    <t xml:space="preserve">Segurança e Monitoramento - 09/2025</t>
  </si>
  <si>
    <t xml:space="preserve">Publicidade - 09/2025</t>
  </si>
  <si>
    <t xml:space="preserve">Energia Elétrica - 09/2025</t>
  </si>
  <si>
    <t xml:space="preserve">Água - 09/2025</t>
  </si>
  <si>
    <t xml:space="preserve">Telefonia Móvel - 09/2025</t>
  </si>
  <si>
    <t xml:space="preserve">Darf - 09/2025</t>
  </si>
  <si>
    <t xml:space="preserve">Honorários Contábeis (Contabilidade) - 09/2025</t>
  </si>
  <si>
    <t xml:space="preserve">Outras Despesas - 09/2025</t>
  </si>
  <si>
    <t xml:space="preserve">Alimentação - 09/2025</t>
  </si>
  <si>
    <t xml:space="preserve">Combustíveis - 09/2025</t>
  </si>
  <si>
    <t xml:space="preserve">Exame Adminissional/Demissional - 09/2025</t>
  </si>
  <si>
    <t xml:space="preserve">Manutenção de Veiculos e Estacionamento - 09/2025</t>
  </si>
  <si>
    <t xml:space="preserve">Telefonia Fixa e Internet - 09/2025</t>
  </si>
  <si>
    <t xml:space="preserve">Consulta de Crédito Cliente - 09/2025</t>
  </si>
  <si>
    <t xml:space="preserve">Multas e Juros por Atraso - 09/2025</t>
  </si>
  <si>
    <t xml:space="preserve">Despesa com Sindicatos - 09/2025</t>
  </si>
  <si>
    <t xml:space="preserve">Empréstimos - 09/2025</t>
  </si>
  <si>
    <t xml:space="preserve">Títulos de Capitalização - 09/2025</t>
  </si>
  <si>
    <t xml:space="preserve">Viagens e estadas - 09/2025</t>
  </si>
  <si>
    <t xml:space="preserve">Material de Escritório - 09/2025</t>
  </si>
  <si>
    <t xml:space="preserve">Web Site e Sistema ERP - 09/2025</t>
  </si>
  <si>
    <t xml:space="preserve">Material de Copa e Cozinha - 09/2025</t>
  </si>
  <si>
    <t xml:space="preserve">Juros de Empréstimos - 09/2025</t>
  </si>
  <si>
    <t xml:space="preserve">Custo de Mercadoria Vendida - 09/2025</t>
  </si>
  <si>
    <t xml:space="preserve">Vendas - 10/2025</t>
  </si>
  <si>
    <t xml:space="preserve">10/2025</t>
  </si>
  <si>
    <t xml:space="preserve">Aluguéis e Condomínios - 10/2025</t>
  </si>
  <si>
    <t xml:space="preserve">Salário e Ordenados - 10/2025</t>
  </si>
  <si>
    <t xml:space="preserve">Vales e Adiantamentos - 10/2025</t>
  </si>
  <si>
    <t xml:space="preserve">Frete e Transporte de Mercadorias - 10/2025</t>
  </si>
  <si>
    <t xml:space="preserve">Seguros - 10/2025</t>
  </si>
  <si>
    <t xml:space="preserve">Segurança e Monitoramento - 10/2025</t>
  </si>
  <si>
    <t xml:space="preserve">Publicidade - 10/2025</t>
  </si>
  <si>
    <t xml:space="preserve">Energia Elétrica - 10/2025</t>
  </si>
  <si>
    <t xml:space="preserve">Água - 10/2025</t>
  </si>
  <si>
    <t xml:space="preserve">Telefonia Móvel - 10/2025</t>
  </si>
  <si>
    <t xml:space="preserve">Darf - 10/2025</t>
  </si>
  <si>
    <t xml:space="preserve">Multas - 10/2025</t>
  </si>
  <si>
    <t xml:space="preserve">Honorários Contábeis (Contabilidade) - 10/2025</t>
  </si>
  <si>
    <t xml:space="preserve">Outras Despesas - 10/2025</t>
  </si>
  <si>
    <t xml:space="preserve">Alimentação - 10/2025</t>
  </si>
  <si>
    <t xml:space="preserve">Combustíveis - 10/2025</t>
  </si>
  <si>
    <t xml:space="preserve">Telefonia Fixa e Internet - 10/2025</t>
  </si>
  <si>
    <t xml:space="preserve">Consulta de Crédito Cliente - 10/2025</t>
  </si>
  <si>
    <t xml:space="preserve">Multas e Juros por Atraso - 10/2025</t>
  </si>
  <si>
    <t xml:space="preserve">Despesa com Sindicatos - 10/2025</t>
  </si>
  <si>
    <t xml:space="preserve">Premiações e Abonos - 10/2025</t>
  </si>
  <si>
    <t xml:space="preserve">Empréstimos - 10/2025</t>
  </si>
  <si>
    <t xml:space="preserve">Títulos de Capitalização - 10/2025</t>
  </si>
  <si>
    <t xml:space="preserve">Viagens e estadas - 10/2025</t>
  </si>
  <si>
    <t xml:space="preserve">Fgts, Gps e Pis - 10/2025</t>
  </si>
  <si>
    <t xml:space="preserve">Web Site e Sistema ERP - 10/2025</t>
  </si>
  <si>
    <t xml:space="preserve">Ipva - 10/2025</t>
  </si>
  <si>
    <t xml:space="preserve">Material de Copa e Cozinha - 10/2025</t>
  </si>
  <si>
    <t xml:space="preserve">Juros de Empréstimos - 10/2025</t>
  </si>
  <si>
    <t xml:space="preserve">Outros Tributos - 10/2025</t>
  </si>
  <si>
    <t xml:space="preserve">Advogados - Honorários - 10/2025</t>
  </si>
  <si>
    <t xml:space="preserve">Assessoria Técnica Profissional - 10/2025</t>
  </si>
  <si>
    <t xml:space="preserve">Custo de Mercadoria Vendida - 10/2025</t>
  </si>
  <si>
    <t xml:space="preserve">Vendas - 11/2025</t>
  </si>
  <si>
    <t xml:space="preserve">11/2025</t>
  </si>
  <si>
    <t xml:space="preserve">Aluguéis e Condomínios - 11/2025</t>
  </si>
  <si>
    <t xml:space="preserve">Salário e Ordenados - 11/2025</t>
  </si>
  <si>
    <t xml:space="preserve">Vales e Adiantamentos - 11/2025</t>
  </si>
  <si>
    <t xml:space="preserve">Material de Limpeza e Higiene - 11/2025</t>
  </si>
  <si>
    <t xml:space="preserve">Acertos e Recisões - 11/2025</t>
  </si>
  <si>
    <t xml:space="preserve">Frete e Transporte de Mercadorias - 11/2025</t>
  </si>
  <si>
    <t xml:space="preserve">Seguros - 11/2025</t>
  </si>
  <si>
    <t xml:space="preserve">Segurança e Monitoramento - 11/2025</t>
  </si>
  <si>
    <t xml:space="preserve">Publicidade - 11/2025</t>
  </si>
  <si>
    <t xml:space="preserve">Multas - 11/2025</t>
  </si>
  <si>
    <t xml:space="preserve">Honorários Contábeis (Contabilidade) - 11/2025</t>
  </si>
  <si>
    <t xml:space="preserve">Outras Despesas - 11/2025</t>
  </si>
  <si>
    <t xml:space="preserve">Alimentação - 11/2025</t>
  </si>
  <si>
    <t xml:space="preserve">Combustíveis - 11/2025</t>
  </si>
  <si>
    <t xml:space="preserve">Telefonia Fixa e Internet - 11/2025</t>
  </si>
  <si>
    <t xml:space="preserve">Consulta de Crédito Cliente - 11/2025</t>
  </si>
  <si>
    <t xml:space="preserve">Despesa com Sindicatos - 11/2025</t>
  </si>
  <si>
    <t xml:space="preserve">Empréstimos - 11/2025</t>
  </si>
  <si>
    <t xml:space="preserve">Títulos de Capitalização - 11/2025</t>
  </si>
  <si>
    <t xml:space="preserve">Viagens e estadas - 11/2025</t>
  </si>
  <si>
    <t xml:space="preserve">Fgts, Gps e Pis - 11/2025</t>
  </si>
  <si>
    <t xml:space="preserve">Compra de Computadores e Eletrônicos - 11/2025</t>
  </si>
  <si>
    <t xml:space="preserve">Web Site e Sistema ERP - 11/2025</t>
  </si>
  <si>
    <t xml:space="preserve">Material de Copa e Cozinha - 11/2025</t>
  </si>
  <si>
    <t xml:space="preserve">Juros de Empréstimos - 11/2025</t>
  </si>
  <si>
    <t xml:space="preserve">Outros Tributos - 11/2025</t>
  </si>
  <si>
    <t xml:space="preserve">Advogados - Honorários - 11/2025</t>
  </si>
  <si>
    <t xml:space="preserve">Assessoria Técnica Profissional - 11/2025</t>
  </si>
  <si>
    <t xml:space="preserve">Consórcio - 11/2025</t>
  </si>
  <si>
    <t xml:space="preserve">13º Salário - 11/2025</t>
  </si>
  <si>
    <t xml:space="preserve">13º Salário</t>
  </si>
  <si>
    <t xml:space="preserve">Custo de Mercadoria Vendida - 11/2025</t>
  </si>
  <si>
    <t xml:space="preserve">Vendas - 12/2025</t>
  </si>
  <si>
    <t xml:space="preserve">12/2025</t>
  </si>
  <si>
    <t xml:space="preserve">Salário e Ordenados - 12/2025</t>
  </si>
  <si>
    <t xml:space="preserve">Vales e Adiantamentos - 12/2025</t>
  </si>
  <si>
    <t xml:space="preserve">Férias - 12/2025</t>
  </si>
  <si>
    <t xml:space="preserve">Acertos e Recisões - 12/2025</t>
  </si>
  <si>
    <t xml:space="preserve">Frete e Transporte de Mercadorias - 12/2025</t>
  </si>
  <si>
    <t xml:space="preserve">Seguros - 12/2025</t>
  </si>
  <si>
    <t xml:space="preserve">Segurança e Monitoramento - 12/2025</t>
  </si>
  <si>
    <t xml:space="preserve">Vale Transporte - 12/2025</t>
  </si>
  <si>
    <t xml:space="preserve">Publicidade - 12/2025</t>
  </si>
  <si>
    <t xml:space="preserve">Energia Elétrica - 12/2025</t>
  </si>
  <si>
    <t xml:space="preserve">Água - 12/2025</t>
  </si>
  <si>
    <t xml:space="preserve">Telefonia Móvel - 12/2025</t>
  </si>
  <si>
    <t xml:space="preserve">Darf - 12/2025</t>
  </si>
  <si>
    <t xml:space="preserve">Honorários Contábeis (Contabilidade) - 12/2025</t>
  </si>
  <si>
    <t xml:space="preserve">Outras Despesas - 12/2025</t>
  </si>
  <si>
    <t xml:space="preserve">Alimentação - 12/2025</t>
  </si>
  <si>
    <t xml:space="preserve">Combustíveis - 12/2025</t>
  </si>
  <si>
    <t xml:space="preserve">Manutenção de Máquinas e Peças - 12/2025</t>
  </si>
  <si>
    <t xml:space="preserve">Manutenção de Veiculos e Estacionamento - 12/2025</t>
  </si>
  <si>
    <t xml:space="preserve">Telefonia Fixa e Internet - 12/2025</t>
  </si>
  <si>
    <t xml:space="preserve">Consulta de Crédito Cliente - 12/2025</t>
  </si>
  <si>
    <t xml:space="preserve">Despesa com Sindicatos - 12/2025</t>
  </si>
  <si>
    <t xml:space="preserve">Empréstimos - 12/2025</t>
  </si>
  <si>
    <t xml:space="preserve">Títulos de Capitalização - 12/2025</t>
  </si>
  <si>
    <t xml:space="preserve">Fgts, Gps e Pis - 12/2025</t>
  </si>
  <si>
    <t xml:space="preserve">Web Site e Sistema ERP - 12/2025</t>
  </si>
  <si>
    <t xml:space="preserve">Patrocínio - 12/2025</t>
  </si>
  <si>
    <t xml:space="preserve">Juros de Empréstimos - 12/2025</t>
  </si>
  <si>
    <t xml:space="preserve">Assessoria Técnica Profissional - 12/2025</t>
  </si>
  <si>
    <t xml:space="preserve">Consórcio - 12/2025</t>
  </si>
  <si>
    <t xml:space="preserve">13º Salário - 12/2025</t>
  </si>
  <si>
    <t xml:space="preserve">Custo de Mercadoria Vendida - 12/2025</t>
  </si>
  <si>
    <t xml:space="preserve">Vendas - 01/2026</t>
  </si>
  <si>
    <t xml:space="preserve">01/2026</t>
  </si>
  <si>
    <t xml:space="preserve">Aluguéis e Condomínios - 01/2026</t>
  </si>
  <si>
    <t xml:space="preserve">Salário e Ordenados - 01/2026</t>
  </si>
  <si>
    <t xml:space="preserve">Vales e Adiantamentos - 01/2026</t>
  </si>
  <si>
    <t xml:space="preserve">Acertos e Recisões - 01/2026</t>
  </si>
  <si>
    <t xml:space="preserve">Frete e Transporte de Mercadorias - 01/2026</t>
  </si>
  <si>
    <t xml:space="preserve">Seguros - 01/2026</t>
  </si>
  <si>
    <t xml:space="preserve">Vale Transporte - 01/2026</t>
  </si>
  <si>
    <t xml:space="preserve">Publicidade - 01/2026</t>
  </si>
  <si>
    <t xml:space="preserve">Energia Elétrica - 01/2026</t>
  </si>
  <si>
    <t xml:space="preserve">Água - 01/2026</t>
  </si>
  <si>
    <t xml:space="preserve">Telefonia Móvel - 01/2026</t>
  </si>
  <si>
    <t xml:space="preserve">Darf - 01/2026</t>
  </si>
  <si>
    <t xml:space="preserve">Honorários Contábeis (Contabilidade) - 01/2026</t>
  </si>
  <si>
    <t xml:space="preserve">Alimentação - 01/2026</t>
  </si>
  <si>
    <t xml:space="preserve">Combustíveis - 01/2026</t>
  </si>
  <si>
    <t xml:space="preserve">Manutenção de Veiculos e Estacionamento - 01/2026</t>
  </si>
  <si>
    <t xml:space="preserve">Telefonia Fixa e Internet - 01/2026</t>
  </si>
  <si>
    <t xml:space="preserve">Consulta de Crédito Cliente - 01/2026</t>
  </si>
  <si>
    <t xml:space="preserve">Despesa com Sindicatos - 01/2026</t>
  </si>
  <si>
    <t xml:space="preserve">Empréstimos - 01/2026</t>
  </si>
  <si>
    <t xml:space="preserve">Títulos de Capitalização - 01/2026</t>
  </si>
  <si>
    <t xml:space="preserve">Viagens e estadas - 01/2026</t>
  </si>
  <si>
    <t xml:space="preserve">Material de Escritório - 01/2026</t>
  </si>
  <si>
    <t xml:space="preserve">Manutenção de Imóveis - 01/2026</t>
  </si>
  <si>
    <t xml:space="preserve">Fgts, Gps e Pis - 01/2026</t>
  </si>
  <si>
    <t xml:space="preserve">Web Site e Sistema ERP - 01/2026</t>
  </si>
  <si>
    <t xml:space="preserve">Patrocínio - 01/2026</t>
  </si>
  <si>
    <t xml:space="preserve">Material de Copa e Cozinha - 01/2026</t>
  </si>
  <si>
    <t xml:space="preserve">Juros de Empréstimos - 01/2026</t>
  </si>
  <si>
    <t xml:space="preserve">Advogados - Honorários - 01/2026</t>
  </si>
  <si>
    <t xml:space="preserve">Assessoria Técnica Profissional - 01/2026</t>
  </si>
  <si>
    <t xml:space="preserve">Consórcio - 01/2026</t>
  </si>
  <si>
    <t xml:space="preserve">Custo de Mercadoria Vendida - 01/2026</t>
  </si>
  <si>
    <t xml:space="preserve">Retiradas de Sócios - 01/2026</t>
  </si>
  <si>
    <t xml:space="preserve">Vendas - 02/2026</t>
  </si>
  <si>
    <t xml:space="preserve">02/2026</t>
  </si>
  <si>
    <t xml:space="preserve">Aluguéis e Condomínios - 02/2026</t>
  </si>
  <si>
    <t xml:space="preserve">Salário e Ordenados - 02/2026</t>
  </si>
  <si>
    <t xml:space="preserve">Vales e Adiantamentos - 02/2026</t>
  </si>
  <si>
    <t xml:space="preserve">Férias - 02/2026</t>
  </si>
  <si>
    <t xml:space="preserve">Frete e Transporte de Mercadorias - 02/2026</t>
  </si>
  <si>
    <t xml:space="preserve">Seguros - 02/2026</t>
  </si>
  <si>
    <t xml:space="preserve">Segurança e Monitoramento - 02/2026</t>
  </si>
  <si>
    <t xml:space="preserve">Vale Transporte - 02/2026</t>
  </si>
  <si>
    <t xml:space="preserve">Publicidade - 02/2026</t>
  </si>
  <si>
    <t xml:space="preserve">Energia Elétrica - 02/2026</t>
  </si>
  <si>
    <t xml:space="preserve">Água - 02/2026</t>
  </si>
  <si>
    <t xml:space="preserve">Darf - 02/2026</t>
  </si>
  <si>
    <t xml:space="preserve">Honorários Contábeis (Contabilidade) - 02/2026</t>
  </si>
  <si>
    <t xml:space="preserve">Outras Despesas - 02/2026</t>
  </si>
  <si>
    <t xml:space="preserve">Alimentação - 02/2026</t>
  </si>
  <si>
    <t xml:space="preserve">Combustíveis - 02/2026</t>
  </si>
  <si>
    <t xml:space="preserve">Exame Adminissional/Demissional - 02/2026</t>
  </si>
  <si>
    <t xml:space="preserve">Manutenção de Veiculos e Estacionamento - 02/2026</t>
  </si>
  <si>
    <t xml:space="preserve">Telefonia Fixa e Internet - 02/2026</t>
  </si>
  <si>
    <t xml:space="preserve">Consulta de Crédito Cliente - 02/2026</t>
  </si>
  <si>
    <t xml:space="preserve">Empréstimos - 02/2026</t>
  </si>
  <si>
    <t xml:space="preserve">Títulos de Capitalização - 02/2026</t>
  </si>
  <si>
    <t xml:space="preserve">Fgts, Gps e Pis - 02/2026</t>
  </si>
  <si>
    <t xml:space="preserve">Web Site e Sistema ERP - 02/2026</t>
  </si>
  <si>
    <t xml:space="preserve">Juros de Empréstimos - 02/2026</t>
  </si>
  <si>
    <t xml:space="preserve">Outros Tributos - 02/2026</t>
  </si>
  <si>
    <t xml:space="preserve">Advogados - Honorários - 02/2026</t>
  </si>
  <si>
    <t xml:space="preserve">Assessoria Técnica Profissional - 02/2026</t>
  </si>
  <si>
    <t xml:space="preserve">Consórcio - 02/2026</t>
  </si>
  <si>
    <t xml:space="preserve">Tráfego/Social Mídia - 02/2026</t>
  </si>
  <si>
    <t xml:space="preserve">Custo de Mercadoria Vendida - 02/2026</t>
  </si>
  <si>
    <t xml:space="preserve">Retiradas de Sócios - 02/2026</t>
  </si>
  <si>
    <t xml:space="preserve">Vendas - 03/2026</t>
  </si>
  <si>
    <t xml:space="preserve">03/2026</t>
  </si>
  <si>
    <t xml:space="preserve">Aluguéis e Condomínios - 03/2026</t>
  </si>
  <si>
    <t xml:space="preserve">Salário e Ordenados - 03/2026</t>
  </si>
  <si>
    <t xml:space="preserve">Vales e Adiantamentos - 03/2026</t>
  </si>
  <si>
    <t xml:space="preserve">Férias - 03/2026</t>
  </si>
  <si>
    <t xml:space="preserve">Frete e Transporte de Mercadorias - 03/2026</t>
  </si>
  <si>
    <t xml:space="preserve">Seguros - 03/2026</t>
  </si>
  <si>
    <t xml:space="preserve">Segurança e Monitoramento - 03/2026</t>
  </si>
  <si>
    <t xml:space="preserve">Vale Transporte - 03/2026</t>
  </si>
  <si>
    <t xml:space="preserve">Publicidade - 03/2026</t>
  </si>
  <si>
    <t xml:space="preserve">Energia Elétrica - 03/2026</t>
  </si>
  <si>
    <t xml:space="preserve">Água - 03/2026</t>
  </si>
  <si>
    <t xml:space="preserve">Telefonia Móvel - 03/2026</t>
  </si>
  <si>
    <t xml:space="preserve">Darf - 03/2026</t>
  </si>
  <si>
    <t xml:space="preserve">Honorários Contábeis (Contabilidade) - 03/2026</t>
  </si>
  <si>
    <t xml:space="preserve">Alimentação - 03/2026</t>
  </si>
  <si>
    <t xml:space="preserve">Combustíveis - 03/2026</t>
  </si>
  <si>
    <t xml:space="preserve">Manutenção de Veiculos e Estacionamento - 03/2026</t>
  </si>
  <si>
    <t xml:space="preserve">Telefonia Fixa e Internet - 03/2026</t>
  </si>
  <si>
    <t xml:space="preserve">Consulta de Crédito Cliente - 03/2026</t>
  </si>
  <si>
    <t xml:space="preserve">Premiações e Abonos - 03/2026</t>
  </si>
  <si>
    <t xml:space="preserve">Empréstimos - 03/2026</t>
  </si>
  <si>
    <t xml:space="preserve">Títulos de Capitalização - 03/2026</t>
  </si>
  <si>
    <t xml:space="preserve">Manutenção de Imóveis - 03/2026</t>
  </si>
  <si>
    <t xml:space="preserve">Fgts, Gps e Pis - 03/2026</t>
  </si>
  <si>
    <t xml:space="preserve">Web Site e Sistema ERP - 03/2026</t>
  </si>
  <si>
    <t xml:space="preserve">Material de Copa e Cozinha - 03/2026</t>
  </si>
  <si>
    <t xml:space="preserve">Juros de Empréstimos - 03/2026</t>
  </si>
  <si>
    <t xml:space="preserve">Outros Tributos - 03/2026</t>
  </si>
  <si>
    <t xml:space="preserve">Advogados - Honorários - 03/2026</t>
  </si>
  <si>
    <t xml:space="preserve">Assessoria Técnica Profissional - 03/2026</t>
  </si>
  <si>
    <t xml:space="preserve">Consórcio - 03/2026</t>
  </si>
  <si>
    <t xml:space="preserve">Tráfego/Social Mídia - 03/2026</t>
  </si>
  <si>
    <t xml:space="preserve">Custo de Mercadoria Vendida - 03/2026</t>
  </si>
  <si>
    <t xml:space="preserve">Retiradas de Sócios - 03/2026</t>
  </si>
  <si>
    <t xml:space="preserve">Vendas - 04/2026</t>
  </si>
  <si>
    <t xml:space="preserve">04/2026</t>
  </si>
  <si>
    <t xml:space="preserve">Aluguéis e Condomínios - 04/2026</t>
  </si>
  <si>
    <t xml:space="preserve">Salário e Ordenados - 04/2026</t>
  </si>
  <si>
    <t xml:space="preserve">Vales e Adiantamentos - 04/2026</t>
  </si>
  <si>
    <t xml:space="preserve">Férias - 04/2026</t>
  </si>
  <si>
    <t xml:space="preserve">Material de Limpeza e Higiene - 04/2026</t>
  </si>
  <si>
    <t xml:space="preserve">Frete e Transporte de Mercadorias - 04/2026</t>
  </si>
  <si>
    <t xml:space="preserve">Seguros - 04/2026</t>
  </si>
  <si>
    <t xml:space="preserve">Segurança e Monitoramento - 04/2026</t>
  </si>
  <si>
    <t xml:space="preserve">Vale Transporte - 04/2026</t>
  </si>
  <si>
    <t xml:space="preserve">Energia Elétrica - 04/2026</t>
  </si>
  <si>
    <t xml:space="preserve">Água - 04/2026</t>
  </si>
  <si>
    <t xml:space="preserve">Darf - 04/2026</t>
  </si>
  <si>
    <t xml:space="preserve">Honorários Contábeis (Contabilidade) - 04/2026</t>
  </si>
  <si>
    <t xml:space="preserve">Combustíveis - 04/2026</t>
  </si>
  <si>
    <t xml:space="preserve">Manutenção de Veiculos e Estacionamento - 04/2026</t>
  </si>
  <si>
    <t xml:space="preserve">Telefonia Fixa e Internet - 04/2026</t>
  </si>
  <si>
    <t xml:space="preserve">Consulta de Crédito Cliente - 04/2026</t>
  </si>
  <si>
    <t xml:space="preserve">Empréstimos - 04/2026</t>
  </si>
  <si>
    <t xml:space="preserve">Títulos de Capitalização - 04/2026</t>
  </si>
  <si>
    <t xml:space="preserve">Manutenção de Imóveis - 04/2026</t>
  </si>
  <si>
    <t xml:space="preserve">Fgts, Gps e Pis - 04/2026</t>
  </si>
  <si>
    <t xml:space="preserve">Web Site e Sistema ERP - 04/2026</t>
  </si>
  <si>
    <t xml:space="preserve">Material de Copa e Cozinha - 04/2026</t>
  </si>
  <si>
    <t xml:space="preserve">Juros de Empréstimos - 04/2026</t>
  </si>
  <si>
    <t xml:space="preserve">Outros Tributos - 04/2026</t>
  </si>
  <si>
    <t xml:space="preserve">Advogados - Honorários - 04/2026</t>
  </si>
  <si>
    <t xml:space="preserve">Assessoria Técnica Profissional - 04/2026</t>
  </si>
  <si>
    <t xml:space="preserve">Consórcio - 04/2026</t>
  </si>
  <si>
    <t xml:space="preserve">Tráfego/Social Mídia - 04/2026</t>
  </si>
  <si>
    <t xml:space="preserve">Custo de Mercadoria Vendida - 04/2026</t>
  </si>
  <si>
    <t xml:space="preserve">Retiradas de Sócios - 04/2026</t>
  </si>
  <si>
    <t xml:space="preserve">Vendas - 05/2026</t>
  </si>
  <si>
    <t xml:space="preserve">05/2026</t>
  </si>
  <si>
    <t xml:space="preserve">Aluguéis e Condomínios - 05/2026</t>
  </si>
  <si>
    <t xml:space="preserve">Salário e Ordenados - 05/2026</t>
  </si>
  <si>
    <t xml:space="preserve">Vales e Adiantamentos - 05/2026</t>
  </si>
  <si>
    <t xml:space="preserve">Férias - 05/2026</t>
  </si>
  <si>
    <t xml:space="preserve">Frete e Transporte de Mercadorias - 05/2026</t>
  </si>
  <si>
    <t xml:space="preserve">Seguros - 05/2026</t>
  </si>
  <si>
    <t xml:space="preserve">Segurança e Monitoramento - 05/2026</t>
  </si>
  <si>
    <t xml:space="preserve">Vale Transporte - 05/2026</t>
  </si>
  <si>
    <t xml:space="preserve">Publicidade - 05/2026</t>
  </si>
  <si>
    <t xml:space="preserve">Energia Elétrica - 05/2026</t>
  </si>
  <si>
    <t xml:space="preserve">Água - 05/2026</t>
  </si>
  <si>
    <t xml:space="preserve">Telefonia Móvel - 05/2026</t>
  </si>
  <si>
    <t xml:space="preserve">Darf - 05/2026</t>
  </si>
  <si>
    <t xml:space="preserve">Honorários Contábeis (Contabilidade) - 05/2026</t>
  </si>
  <si>
    <t xml:space="preserve">Outras Despesas - 05/2026</t>
  </si>
  <si>
    <t xml:space="preserve">Alimentação - 05/2026</t>
  </si>
  <si>
    <t xml:space="preserve">Combustíveis - 05/2026</t>
  </si>
  <si>
    <t xml:space="preserve">Manutenção de Máquinas e Peças - 05/2026</t>
  </si>
  <si>
    <t xml:space="preserve">Manutenção de Veiculos e Estacionamento - 05/2026</t>
  </si>
  <si>
    <t xml:space="preserve">Telefonia Fixa e Internet - 05/2026</t>
  </si>
  <si>
    <t xml:space="preserve">Consulta de Crédito Cliente - 05/2026</t>
  </si>
  <si>
    <t xml:space="preserve">Empréstimos - 05/2026</t>
  </si>
  <si>
    <t xml:space="preserve">Títulos de Capitalização - 05/2026</t>
  </si>
  <si>
    <t xml:space="preserve">Material de Escritório - 05/2026</t>
  </si>
  <si>
    <t xml:space="preserve">Manutenção de Imóveis - 05/2026</t>
  </si>
  <si>
    <t xml:space="preserve">Fgts, Gps e Pis - 05/2026</t>
  </si>
  <si>
    <t xml:space="preserve">Gasto com Reforma - 05/2026</t>
  </si>
  <si>
    <t xml:space="preserve">Web Site e Sistema ERP - 05/2026</t>
  </si>
  <si>
    <t xml:space="preserve">Outros Tributos - 05/2026</t>
  </si>
  <si>
    <t xml:space="preserve">Advogados - Honorários - 05/2026</t>
  </si>
  <si>
    <t xml:space="preserve">Assessoria Técnica Profissional - 05/2026</t>
  </si>
  <si>
    <t xml:space="preserve">Consórcio - 05/2026</t>
  </si>
  <si>
    <t xml:space="preserve">Tráfego/Social Mídia - 05/2026</t>
  </si>
  <si>
    <t xml:space="preserve">ICMS - 05/2026</t>
  </si>
  <si>
    <t xml:space="preserve">ICMS</t>
  </si>
  <si>
    <t xml:space="preserve">Empréstimos a Terceiros - 05/2026</t>
  </si>
  <si>
    <t xml:space="preserve">Empréstimos a Terceiros</t>
  </si>
  <si>
    <t xml:space="preserve">Custo de Mercadoria Vendida - 05/2026</t>
  </si>
  <si>
    <t xml:space="preserve">Retiradas de Sócios - 05/2026</t>
  </si>
  <si>
    <t xml:space="preserve">Vendas - 06/2026</t>
  </si>
  <si>
    <t xml:space="preserve">06/2026</t>
  </si>
  <si>
    <t xml:space="preserve">Salário e Ordenados - 06/2026</t>
  </si>
  <si>
    <t xml:space="preserve">Vales e Adiantamentos - 06/2026</t>
  </si>
  <si>
    <t xml:space="preserve">Seguros - 06/2026</t>
  </si>
  <si>
    <t xml:space="preserve">Segurança e Monitoramento - 06/2026</t>
  </si>
  <si>
    <t xml:space="preserve">Vale Transporte - 06/2026</t>
  </si>
  <si>
    <t xml:space="preserve">Energia Elétrica - 06/2026</t>
  </si>
  <si>
    <t xml:space="preserve">Água - 06/2026</t>
  </si>
  <si>
    <t xml:space="preserve">Honorários Contábeis (Contabilidade) - 06/2026</t>
  </si>
  <si>
    <t xml:space="preserve">Telefonia Fixa e Internet - 06/2026</t>
  </si>
  <si>
    <t xml:space="preserve">Consulta de Crédito Cliente - 06/2026</t>
  </si>
  <si>
    <t xml:space="preserve">Empréstimos - 06/2026</t>
  </si>
  <si>
    <t xml:space="preserve">Títulos de Capitalização - 06/2026</t>
  </si>
  <si>
    <t xml:space="preserve">Web Site e Sistema ERP - 06/2026</t>
  </si>
  <si>
    <t xml:space="preserve">Advogados - Honorários - 06/2026</t>
  </si>
  <si>
    <t xml:space="preserve">Assessoria Técnica Profissional - 06/2026</t>
  </si>
  <si>
    <t xml:space="preserve">Tráfego/Social Mídia - 06/2026</t>
  </si>
  <si>
    <t xml:space="preserve">Retiradas de Sócios - 06/2026</t>
  </si>
  <si>
    <t xml:space="preserve">Lançamentos Fluxo</t>
  </si>
  <si>
    <t xml:space="preserve">Regime de CAIXA (data de baixa)</t>
  </si>
  <si>
    <t xml:space="preserve">Aviamento - 01/2025</t>
  </si>
  <si>
    <t xml:space="preserve">Compra de Veículos - 01/2025</t>
  </si>
  <si>
    <t xml:space="preserve">Despesa não Identificada - 01/2025</t>
  </si>
  <si>
    <t xml:space="preserve">Etiquetas - 01/2025</t>
  </si>
  <si>
    <t xml:space="preserve">Facção - 01/2025</t>
  </si>
  <si>
    <t xml:space="preserve">Honorários Contábeis (Contabilidade) - 01/2025</t>
  </si>
  <si>
    <t xml:space="preserve">Lavanderia - 01/2025</t>
  </si>
  <si>
    <t xml:space="preserve">Outros Insumos - 01/2025</t>
  </si>
  <si>
    <t xml:space="preserve">Simples Nacional - 01/2025</t>
  </si>
  <si>
    <t xml:space="preserve">Tecidos - 01/2025</t>
  </si>
  <si>
    <t xml:space="preserve">Telefonia Fixa e Internet - 01/2025</t>
  </si>
  <si>
    <t xml:space="preserve">Travete - 01/2025</t>
  </si>
  <si>
    <t xml:space="preserve">Títulos de Capitalização - 01/2025</t>
  </si>
  <si>
    <t xml:space="preserve">Vales e Adiantamentos - 01/2025</t>
  </si>
  <si>
    <t xml:space="preserve">Web Site e Sistema ERP - 01/2025</t>
  </si>
  <si>
    <t xml:space="preserve">Acabamento Externo - 02/2025</t>
  </si>
  <si>
    <t xml:space="preserve">Aviamento - 02/2025</t>
  </si>
  <si>
    <t xml:space="preserve">Compra de Veículos - 02/2025</t>
  </si>
  <si>
    <t xml:space="preserve">Criação de Modelos - 02/2025</t>
  </si>
  <si>
    <t xml:space="preserve">Despesa não Identificada - 02/2025</t>
  </si>
  <si>
    <t xml:space="preserve">Embalagens - 02/2025</t>
  </si>
  <si>
    <t xml:space="preserve">Etiquetas - 02/2025</t>
  </si>
  <si>
    <t xml:space="preserve">Facção - 02/2025</t>
  </si>
  <si>
    <t xml:space="preserve">Lavanderia - 02/2025</t>
  </si>
  <si>
    <t xml:space="preserve">Outros Insumos - 02/2025</t>
  </si>
  <si>
    <t xml:space="preserve">Tecidos - 02/2025</t>
  </si>
  <si>
    <t xml:space="preserve">Telefonia Fixa e Internet - 02/2025</t>
  </si>
  <si>
    <t xml:space="preserve">Travete - 02/2025</t>
  </si>
  <si>
    <t xml:space="preserve">Títulos de Capitalização - 02/2025</t>
  </si>
  <si>
    <t xml:space="preserve">Web Site e Sistema ERP - 02/2025</t>
  </si>
  <si>
    <t xml:space="preserve">Acabamento Externo - 03/2025</t>
  </si>
  <si>
    <t xml:space="preserve">Aviamento - 03/2025</t>
  </si>
  <si>
    <t xml:space="preserve">Bordado Industrial - 03/2025</t>
  </si>
  <si>
    <t xml:space="preserve">Comissão de vendedores - 03/2025</t>
  </si>
  <si>
    <t xml:space="preserve">Compra de Veículos - 03/2025</t>
  </si>
  <si>
    <t xml:space="preserve">Criação de Modelos - 03/2025</t>
  </si>
  <si>
    <t xml:space="preserve">Despesa não Identificada - 03/2025</t>
  </si>
  <si>
    <t xml:space="preserve">Embalagens - 03/2025</t>
  </si>
  <si>
    <t xml:space="preserve">Etiquetas - 03/2025</t>
  </si>
  <si>
    <t xml:space="preserve">Facção - 03/2025</t>
  </si>
  <si>
    <t xml:space="preserve">Lavanderia - 03/2025</t>
  </si>
  <si>
    <t xml:space="preserve">Outros Insumos - 03/2025</t>
  </si>
  <si>
    <t xml:space="preserve">Simples Nacional - 03/2025</t>
  </si>
  <si>
    <t xml:space="preserve">Tecidos - 03/2025</t>
  </si>
  <si>
    <t xml:space="preserve">Telefonia Fixa e Internet - 03/2025</t>
  </si>
  <si>
    <t xml:space="preserve">Travete - 03/2025</t>
  </si>
  <si>
    <t xml:space="preserve">Títulos de Capitalização - 03/2025</t>
  </si>
  <si>
    <t xml:space="preserve">Web Site e Sistema ERP - 03/2025</t>
  </si>
  <si>
    <t xml:space="preserve">Acabamento Externo - 04/2025</t>
  </si>
  <si>
    <t xml:space="preserve">Aviamento - 04/2025</t>
  </si>
  <si>
    <t xml:space="preserve">Bordado Industrial - 04/2025</t>
  </si>
  <si>
    <t xml:space="preserve">Comissão de vendedores - 04/2025</t>
  </si>
  <si>
    <t xml:space="preserve">Compra de Veículos - 04/2025</t>
  </si>
  <si>
    <t xml:space="preserve">Criação de Modelos - 04/2025</t>
  </si>
  <si>
    <t xml:space="preserve">Despesa não Identificada - 04/2025</t>
  </si>
  <si>
    <t xml:space="preserve">Etiquetas - 04/2025</t>
  </si>
  <si>
    <t xml:space="preserve">Facção - 04/2025</t>
  </si>
  <si>
    <t xml:space="preserve">Lavanderia - 04/2025</t>
  </si>
  <si>
    <t xml:space="preserve">Simples Nacional - 04/2025</t>
  </si>
  <si>
    <t xml:space="preserve">Tecidos - 04/2025</t>
  </si>
  <si>
    <t xml:space="preserve">Travete - 04/2025</t>
  </si>
  <si>
    <t xml:space="preserve">Web Site e Sistema ERP - 04/2025</t>
  </si>
  <si>
    <t xml:space="preserve">Acabamento Externo - 05/2025</t>
  </si>
  <si>
    <t xml:space="preserve">Aviamento - 05/2025</t>
  </si>
  <si>
    <t xml:space="preserve">Bordado Industrial - 05/2025</t>
  </si>
  <si>
    <t xml:space="preserve">Comissão de Assessores - 05/2025</t>
  </si>
  <si>
    <t xml:space="preserve">Comissão de vendedores - 05/2025</t>
  </si>
  <si>
    <t xml:space="preserve">Compra de Veículos - 05/2025</t>
  </si>
  <si>
    <t xml:space="preserve">Criação de Modelos - 05/2025</t>
  </si>
  <si>
    <t xml:space="preserve">Despesa não Identificada - 05/2025</t>
  </si>
  <si>
    <t xml:space="preserve">Embalagens - 05/2025</t>
  </si>
  <si>
    <t xml:space="preserve">Etiquetas - 05/2025</t>
  </si>
  <si>
    <t xml:space="preserve">Facção - 05/2025</t>
  </si>
  <si>
    <t xml:space="preserve">Lavanderia - 05/2025</t>
  </si>
  <si>
    <t xml:space="preserve">Outros Insumos - 05/2025</t>
  </si>
  <si>
    <t xml:space="preserve">Simples Nacional - 05/2025</t>
  </si>
  <si>
    <t xml:space="preserve">Tecidos - 05/2025</t>
  </si>
  <si>
    <t xml:space="preserve">Travete - 05/2025</t>
  </si>
  <si>
    <t xml:space="preserve">Web Site e Sistema ERP - 05/2025</t>
  </si>
  <si>
    <t xml:space="preserve">Acabamento Externo - 06/2025</t>
  </si>
  <si>
    <t xml:space="preserve">Aviamento - 06/2025</t>
  </si>
  <si>
    <t xml:space="preserve">Bordado Industrial - 06/2025</t>
  </si>
  <si>
    <t xml:space="preserve">Comissão de Assessores - 06/2025</t>
  </si>
  <si>
    <t xml:space="preserve">Comissão de vendedores - 06/2025</t>
  </si>
  <si>
    <t xml:space="preserve">Compra de Veículos - 06/2025</t>
  </si>
  <si>
    <t xml:space="preserve">Criação de Modelos - 06/2025</t>
  </si>
  <si>
    <t xml:space="preserve">Despesa não Identificada - 06/2025</t>
  </si>
  <si>
    <t xml:space="preserve">Embalagens - 06/2025</t>
  </si>
  <si>
    <t xml:space="preserve">Etiquetas - 06/2025</t>
  </si>
  <si>
    <t xml:space="preserve">Facção - 06/2025</t>
  </si>
  <si>
    <t xml:space="preserve">Lavanderia - 06/2025</t>
  </si>
  <si>
    <t xml:space="preserve">Outros Insumos - 06/2025</t>
  </si>
  <si>
    <t xml:space="preserve">Produção Externa - 06/2025</t>
  </si>
  <si>
    <t xml:space="preserve">Simples Nacional - 06/2025</t>
  </si>
  <si>
    <t xml:space="preserve">Tecidos - 06/2025</t>
  </si>
  <si>
    <t xml:space="preserve">Travete - 06/2025</t>
  </si>
  <si>
    <t xml:space="preserve">Web Site e Sistema ERP - 06/2025</t>
  </si>
  <si>
    <t xml:space="preserve">Acabamento Externo - 07/2025</t>
  </si>
  <si>
    <t xml:space="preserve">Aviamento - 07/2025</t>
  </si>
  <si>
    <t xml:space="preserve">Bordado Industrial - 07/2025</t>
  </si>
  <si>
    <t xml:space="preserve">Bordado Manual - 07/2025</t>
  </si>
  <si>
    <t xml:space="preserve">Comissão de Assessores - 07/2025</t>
  </si>
  <si>
    <t xml:space="preserve">Comissão de vendedores - 07/2025</t>
  </si>
  <si>
    <t xml:space="preserve">Criação de Modelos - 07/2025</t>
  </si>
  <si>
    <t xml:space="preserve">Despesa não Identificada - 07/2025</t>
  </si>
  <si>
    <t xml:space="preserve">Embalagens - 07/2025</t>
  </si>
  <si>
    <t xml:space="preserve">Etiquetas - 07/2025</t>
  </si>
  <si>
    <t xml:space="preserve">Facção - 07/2025</t>
  </si>
  <si>
    <t xml:space="preserve">Lavanderia - 07/2025</t>
  </si>
  <si>
    <t xml:space="preserve">Outros Insumos - 07/2025</t>
  </si>
  <si>
    <t xml:space="preserve">Simples Nacional - 07/2025</t>
  </si>
  <si>
    <t xml:space="preserve">Tecidos - 07/2025</t>
  </si>
  <si>
    <t xml:space="preserve">Travete - 07/2025</t>
  </si>
  <si>
    <t xml:space="preserve">Acabamento Externo - 08/2025</t>
  </si>
  <si>
    <t xml:space="preserve">Aviamento - 08/2025</t>
  </si>
  <si>
    <t xml:space="preserve">Bordado Industrial - 08/2025</t>
  </si>
  <si>
    <t xml:space="preserve">Comissão de vendedores - 08/2025</t>
  </si>
  <si>
    <t xml:space="preserve">Criação de Modelos - 08/2025</t>
  </si>
  <si>
    <t xml:space="preserve">Despesa não Identificada - 08/2025</t>
  </si>
  <si>
    <t xml:space="preserve">Etiquetas - 08/2025</t>
  </si>
  <si>
    <t xml:space="preserve">Facção - 08/2025</t>
  </si>
  <si>
    <t xml:space="preserve">Lavanderia - 08/2025</t>
  </si>
  <si>
    <t xml:space="preserve">Outros Insumos - 08/2025</t>
  </si>
  <si>
    <t xml:space="preserve">Simples Nacional - 08/2025</t>
  </si>
  <si>
    <t xml:space="preserve">Tecidos - 08/2025</t>
  </si>
  <si>
    <t xml:space="preserve">Travete - 08/2025</t>
  </si>
  <si>
    <t xml:space="preserve">Acabamento Externo - 09/2025</t>
  </si>
  <si>
    <t xml:space="preserve">Aviamento - 09/2025</t>
  </si>
  <si>
    <t xml:space="preserve">Bordado Industrial - 09/2025</t>
  </si>
  <si>
    <t xml:space="preserve">Comissão de Assessores - 09/2025</t>
  </si>
  <si>
    <t xml:space="preserve">Comissão de vendedores - 09/2025</t>
  </si>
  <si>
    <t xml:space="preserve">Criação de Modelos - 09/2025</t>
  </si>
  <si>
    <t xml:space="preserve">Despesa não Identificada - 09/2025</t>
  </si>
  <si>
    <t xml:space="preserve">Embalagens - 09/2025</t>
  </si>
  <si>
    <t xml:space="preserve">Etiquetas - 09/2025</t>
  </si>
  <si>
    <t xml:space="preserve">Facção - 09/2025</t>
  </si>
  <si>
    <t xml:space="preserve">Lavanderia - 09/2025</t>
  </si>
  <si>
    <t xml:space="preserve">Simples Nacional - 09/2025</t>
  </si>
  <si>
    <t xml:space="preserve">Tarifas e Custos de Op. Bancárias - 09/2025</t>
  </si>
  <si>
    <t xml:space="preserve">Tecidos - 09/2025</t>
  </si>
  <si>
    <t xml:space="preserve">Travete - 09/2025</t>
  </si>
  <si>
    <t xml:space="preserve">Acabamento Externo - 10/2025</t>
  </si>
  <si>
    <t xml:space="preserve">Aviamento - 10/2025</t>
  </si>
  <si>
    <t xml:space="preserve">Bordado Industrial - 10/2025</t>
  </si>
  <si>
    <t xml:space="preserve">Bordado Manual - 10/2025</t>
  </si>
  <si>
    <t xml:space="preserve">Comissão de Assessores - 10/2025</t>
  </si>
  <si>
    <t xml:space="preserve">Comissão de vendedores - 10/2025</t>
  </si>
  <si>
    <t xml:space="preserve">Criação de Modelos - 10/2025</t>
  </si>
  <si>
    <t xml:space="preserve">Despesa não Identificada - 10/2025</t>
  </si>
  <si>
    <t xml:space="preserve">Embalagens - 10/2025</t>
  </si>
  <si>
    <t xml:space="preserve">Etiquetas - 10/2025</t>
  </si>
  <si>
    <t xml:space="preserve">Facção - 10/2025</t>
  </si>
  <si>
    <t xml:space="preserve">Lavanderia - 10/2025</t>
  </si>
  <si>
    <t xml:space="preserve">Material de Escritório - 10/2025</t>
  </si>
  <si>
    <t xml:space="preserve">Material de Limpeza e Higiene - 10/2025</t>
  </si>
  <si>
    <t xml:space="preserve">Outros Insumos - 10/2025</t>
  </si>
  <si>
    <t xml:space="preserve">Simples Nacional - 10/2025</t>
  </si>
  <si>
    <t xml:space="preserve">Tecidos - 10/2025</t>
  </si>
  <si>
    <t xml:space="preserve">Travete - 10/2025</t>
  </si>
  <si>
    <t xml:space="preserve">Acabamento Externo - 11/2025</t>
  </si>
  <si>
    <t xml:space="preserve">Aviamento - 11/2025</t>
  </si>
  <si>
    <t xml:space="preserve">Comissão de Assessores - 11/2025</t>
  </si>
  <si>
    <t xml:space="preserve">Comissão de vendedores - 11/2025</t>
  </si>
  <si>
    <t xml:space="preserve">Criação de Modelos - 11/2025</t>
  </si>
  <si>
    <t xml:space="preserve">Despesa não Identificada - 11/2025</t>
  </si>
  <si>
    <t xml:space="preserve">Embalagens - 11/2025</t>
  </si>
  <si>
    <t xml:space="preserve">Etiquetas - 11/2025</t>
  </si>
  <si>
    <t xml:space="preserve">Facção - 11/2025</t>
  </si>
  <si>
    <t xml:space="preserve">Lavanderia - 11/2025</t>
  </si>
  <si>
    <t xml:space="preserve">Outros Insumos - 11/2025</t>
  </si>
  <si>
    <t xml:space="preserve">Produção Externa - 11/2025</t>
  </si>
  <si>
    <t xml:space="preserve">Simples Nacional - 11/2025</t>
  </si>
  <si>
    <t xml:space="preserve">Tecidos - 11/2025</t>
  </si>
  <si>
    <t xml:space="preserve">Travete - 11/2025</t>
  </si>
  <si>
    <t xml:space="preserve">Acabamento Externo - 12/2025</t>
  </si>
  <si>
    <t xml:space="preserve">Aviamento - 12/2025</t>
  </si>
  <si>
    <t xml:space="preserve">Bordado Industrial - 12/2025</t>
  </si>
  <si>
    <t xml:space="preserve">Bordado Manual - 12/2025</t>
  </si>
  <si>
    <t xml:space="preserve">Comissão de Assessores - 12/2025</t>
  </si>
  <si>
    <t xml:space="preserve">Comissão de vendedores - 12/2025</t>
  </si>
  <si>
    <t xml:space="preserve">Criação de Modelos - 12/2025</t>
  </si>
  <si>
    <t xml:space="preserve">Despesa não Identificada - 12/2025</t>
  </si>
  <si>
    <t xml:space="preserve">Embalagens - 12/2025</t>
  </si>
  <si>
    <t xml:space="preserve">Etiquetas - 12/2025</t>
  </si>
  <si>
    <t xml:space="preserve">Facção - 12/2025</t>
  </si>
  <si>
    <t xml:space="preserve">Lavanderia - 12/2025</t>
  </si>
  <si>
    <t xml:space="preserve">Outros Insumos - 12/2025</t>
  </si>
  <si>
    <t xml:space="preserve">Simples Nacional - 12/2025</t>
  </si>
  <si>
    <t xml:space="preserve">Tecidos - 12/2025</t>
  </si>
  <si>
    <t xml:space="preserve">Travete - 12/2025</t>
  </si>
  <si>
    <t xml:space="preserve">Acabamento Externo - 01/2026</t>
  </si>
  <si>
    <t xml:space="preserve">Aviamento - 01/2026</t>
  </si>
  <si>
    <t xml:space="preserve">Comissão de vendedores - 01/2026</t>
  </si>
  <si>
    <t xml:space="preserve">Criação de Modelos - 01/2026</t>
  </si>
  <si>
    <t xml:space="preserve">Despesa não Identificada - 01/2026</t>
  </si>
  <si>
    <t xml:space="preserve">Embalagens - 01/2026</t>
  </si>
  <si>
    <t xml:space="preserve">Etiquetas - 01/2026</t>
  </si>
  <si>
    <t xml:space="preserve">Facção - 01/2026</t>
  </si>
  <si>
    <t xml:space="preserve">Lavanderia - 01/2026</t>
  </si>
  <si>
    <t xml:space="preserve">Outros Insumos - 01/2026</t>
  </si>
  <si>
    <t xml:space="preserve">Simples Nacional - 01/2026</t>
  </si>
  <si>
    <t xml:space="preserve">Tecidos - 01/2026</t>
  </si>
  <si>
    <t xml:space="preserve">Travete - 01/2026</t>
  </si>
  <si>
    <t xml:space="preserve">Acabamento Externo - 02/2026</t>
  </si>
  <si>
    <t xml:space="preserve">Aviamento - 02/2026</t>
  </si>
  <si>
    <t xml:space="preserve">Bordado Manual - 02/2026</t>
  </si>
  <si>
    <t xml:space="preserve">Comissão de Assessores - 02/2026</t>
  </si>
  <si>
    <t xml:space="preserve">Comissão de vendedores - 02/2026</t>
  </si>
  <si>
    <t xml:space="preserve">Criação de Modelos - 02/2026</t>
  </si>
  <si>
    <t xml:space="preserve">Despesa não Identificada - 02/2026</t>
  </si>
  <si>
    <t xml:space="preserve">Embalagens - 02/2026</t>
  </si>
  <si>
    <t xml:space="preserve">Etiquetas - 02/2026</t>
  </si>
  <si>
    <t xml:space="preserve">Facção - 02/2026</t>
  </si>
  <si>
    <t xml:space="preserve">Lavanderia - 02/2026</t>
  </si>
  <si>
    <t xml:space="preserve">Outros Insumos - 02/2026</t>
  </si>
  <si>
    <t xml:space="preserve">Produção Externa - 02/2026</t>
  </si>
  <si>
    <t xml:space="preserve">Simples Nacional - 02/2026</t>
  </si>
  <si>
    <t xml:space="preserve">Tecidos - 02/2026</t>
  </si>
  <si>
    <t xml:space="preserve">Travete - 02/2026</t>
  </si>
  <si>
    <t xml:space="preserve">Viagens e estadas - 02/2026</t>
  </si>
  <si>
    <t xml:space="preserve">Acabamento Externo - 03/2026</t>
  </si>
  <si>
    <t xml:space="preserve">Aviamento - 03/2026</t>
  </si>
  <si>
    <t xml:space="preserve">Bordado Manual - 03/2026</t>
  </si>
  <si>
    <t xml:space="preserve">Comissão de Assessores - 03/2026</t>
  </si>
  <si>
    <t xml:space="preserve">Comissão de vendedores - 03/2026</t>
  </si>
  <si>
    <t xml:space="preserve">Criação de Modelos - 03/2026</t>
  </si>
  <si>
    <t xml:space="preserve">Despesa não Identificada - 03/2026</t>
  </si>
  <si>
    <t xml:space="preserve">Embalagens - 03/2026</t>
  </si>
  <si>
    <t xml:space="preserve">Etiquetas - 03/2026</t>
  </si>
  <si>
    <t xml:space="preserve">Facção - 03/2026</t>
  </si>
  <si>
    <t xml:space="preserve">Lavanderia - 03/2026</t>
  </si>
  <si>
    <t xml:space="preserve">Produção Externa - 03/2026</t>
  </si>
  <si>
    <t xml:space="preserve">Simples Nacional - 03/2026</t>
  </si>
  <si>
    <t xml:space="preserve">Tecidos - 03/2026</t>
  </si>
  <si>
    <t xml:space="preserve">Travete - 03/2026</t>
  </si>
  <si>
    <t xml:space="preserve">Acabamento Externo - 04/2026</t>
  </si>
  <si>
    <t xml:space="preserve">Aviamento - 04/2026</t>
  </si>
  <si>
    <t xml:space="preserve">Bordado Industrial - 04/2026</t>
  </si>
  <si>
    <t xml:space="preserve">Bordado Manual - 04/2026</t>
  </si>
  <si>
    <t xml:space="preserve">Comissão de vendedores - 04/2026</t>
  </si>
  <si>
    <t xml:space="preserve">Criação de Modelos - 04/2026</t>
  </si>
  <si>
    <t xml:space="preserve">Despesa não Identificada - 04/2026</t>
  </si>
  <si>
    <t xml:space="preserve">Embalagens - 04/2026</t>
  </si>
  <si>
    <t xml:space="preserve">Etiquetas - 04/2026</t>
  </si>
  <si>
    <t xml:space="preserve">Facção - 04/2026</t>
  </si>
  <si>
    <t xml:space="preserve">Lavanderia - 04/2026</t>
  </si>
  <si>
    <t xml:space="preserve">Simples Nacional - 04/2026</t>
  </si>
  <si>
    <t xml:space="preserve">Tecidos - 04/2026</t>
  </si>
  <si>
    <t xml:space="preserve">Travete - 04/2026</t>
  </si>
  <si>
    <t xml:space="preserve">Acabamento Externo - 05/2026</t>
  </si>
  <si>
    <t xml:space="preserve">Aviamento - 05/2026</t>
  </si>
  <si>
    <t xml:space="preserve">Bordado Industrial - 05/2026</t>
  </si>
  <si>
    <t xml:space="preserve">CONSERTO DE COMPUTADOR - 05/2026</t>
  </si>
  <si>
    <t xml:space="preserve">CONSERTO DE COMPUTADOR</t>
  </si>
  <si>
    <t xml:space="preserve">Comissão de Assessores - 05/2026</t>
  </si>
  <si>
    <t xml:space="preserve">Comissão de vendedores - 05/2026</t>
  </si>
  <si>
    <t xml:space="preserve">Criação de Modelos - 05/2026</t>
  </si>
  <si>
    <t xml:space="preserve">Despesa não Identificada - 05/2026</t>
  </si>
  <si>
    <t xml:space="preserve">Embalagens - 05/2026</t>
  </si>
  <si>
    <t xml:space="preserve">Etiquetas - 05/2026</t>
  </si>
  <si>
    <t xml:space="preserve">Facção - 05/2026</t>
  </si>
  <si>
    <t xml:space="preserve">Lavanderia - 05/2026</t>
  </si>
  <si>
    <t xml:space="preserve">Produção Externa - 05/2026</t>
  </si>
  <si>
    <t xml:space="preserve">SITE - 05/2026</t>
  </si>
  <si>
    <t xml:space="preserve">SITE</t>
  </si>
  <si>
    <t xml:space="preserve">Simples Nacional - 05/2026</t>
  </si>
  <si>
    <t xml:space="preserve">Tecidos - 05/2026</t>
  </si>
  <si>
    <t xml:space="preserve">Travete - 05/2026</t>
  </si>
  <si>
    <t xml:space="preserve">Contas a Pagar (títulos em aberto)</t>
  </si>
  <si>
    <t xml:space="preserve">Base real: títulos em aberto por data de vencimento. Alimenta o simulador de parcelas.</t>
  </si>
  <si>
    <t xml:space="preserve">Fornecedor</t>
  </si>
  <si>
    <t xml:space="preserve">Vencimento</t>
  </si>
  <si>
    <t xml:space="preserve">Forma de Pagamento</t>
  </si>
  <si>
    <t xml:space="preserve">Status</t>
  </si>
  <si>
    <t xml:space="preserve">LOJA MEGA MODA PARK 215-216</t>
  </si>
  <si>
    <t xml:space="preserve">BOLETO BANCÁRIO</t>
  </si>
  <si>
    <t xml:space="preserve">A PAGAR</t>
  </si>
  <si>
    <t xml:space="preserve">DESPESAS VARIAVEIS</t>
  </si>
  <si>
    <t xml:space="preserve">PIX ITAU ALV</t>
  </si>
  <si>
    <t xml:space="preserve">LÍDER TECIDOS</t>
  </si>
  <si>
    <t xml:space="preserve">CHEQUE CLIENTE</t>
  </si>
  <si>
    <t xml:space="preserve">SHEILA ETIQUETAS</t>
  </si>
  <si>
    <t xml:space="preserve">WESLEI VINICIUS</t>
  </si>
  <si>
    <t xml:space="preserve">ORDONES LASER / CELSO - BORDADO</t>
  </si>
  <si>
    <t xml:space="preserve">CHEQUE - EMPRESA</t>
  </si>
  <si>
    <t xml:space="preserve">ROMERONDES - LAVANDERIA</t>
  </si>
  <si>
    <t xml:space="preserve">LAVANDERIA AMAZONAS - LEONARDO</t>
  </si>
  <si>
    <t xml:space="preserve">BLESSED LAVANDERIA</t>
  </si>
  <si>
    <t xml:space="preserve">VENCIMENTO FATURA DO CARTÃO</t>
  </si>
  <si>
    <t xml:space="preserve">CARTÃO DE CRÉDITO</t>
  </si>
  <si>
    <t xml:space="preserve">JUNIOR FACÇÃO</t>
  </si>
  <si>
    <t xml:space="preserve">DORÍ JARAGUÁ-TRAVETE</t>
  </si>
  <si>
    <t xml:space="preserve">ADRIANO-TRAVETE</t>
  </si>
  <si>
    <t xml:space="preserve">LUCAS/ CONTADOR</t>
  </si>
  <si>
    <t xml:space="preserve">ISMAEL LELIO-FACÇÃO</t>
  </si>
  <si>
    <t xml:space="preserve">RAFAEL FACÇÃO</t>
  </si>
  <si>
    <t xml:space="preserve">ADRIANO-FACÇÃO</t>
  </si>
  <si>
    <t xml:space="preserve">PRIMOS LAVANDERIA LTDA</t>
  </si>
  <si>
    <t xml:space="preserve">RAFAEL TRAVETE</t>
  </si>
  <si>
    <t xml:space="preserve">SANTISTA TEXTIL</t>
  </si>
  <si>
    <t xml:space="preserve">DESPESAS ESCRITORIO</t>
  </si>
  <si>
    <t xml:space="preserve">ROCHA DE MACEDO E FRANCO ADV</t>
  </si>
  <si>
    <t xml:space="preserve">CEDRO TEXTIL</t>
  </si>
  <si>
    <t xml:space="preserve">CAPITAL GIRO SANTANDER ALV PJ</t>
  </si>
  <si>
    <t xml:space="preserve">TRANSFERÊNCIA</t>
  </si>
  <si>
    <t xml:space="preserve">OI INTERNET</t>
  </si>
  <si>
    <t xml:space="preserve">BANCO ITAU</t>
  </si>
  <si>
    <t xml:space="preserve">PIX CODI BANCO BRASIL</t>
  </si>
  <si>
    <t xml:space="preserve">BANCO ITAU/PESSOA FISICA</t>
  </si>
  <si>
    <t xml:space="preserve">CAPITAL GIRO ITAU PF CLEITON</t>
  </si>
  <si>
    <t xml:space="preserve">BANCO SANTANDER</t>
  </si>
  <si>
    <t xml:space="preserve">CIA FIACAO E TECIDOS CEDRO E CACHOE</t>
  </si>
  <si>
    <t xml:space="preserve">MACIEL FACÇÃO</t>
  </si>
  <si>
    <t xml:space="preserve">DESPESAS CARRO</t>
  </si>
  <si>
    <t xml:space="preserve">IMPOSTO ALV</t>
  </si>
  <si>
    <t xml:space="preserve">DIARISTA</t>
  </si>
  <si>
    <t xml:space="preserve">TEXTIL CANATIBA LTDA</t>
  </si>
  <si>
    <t xml:space="preserve">EDIMILSON - FACÇÃO</t>
  </si>
  <si>
    <t xml:space="preserve">VICUNHA TEXTIL S/A.</t>
  </si>
  <si>
    <t xml:space="preserve">VICUNHA TEXTIL</t>
  </si>
  <si>
    <t xml:space="preserve">CARTÃO ITAU PERSONALITÊ</t>
  </si>
  <si>
    <t xml:space="preserve">RECARGA CELULARES VENDAS</t>
  </si>
  <si>
    <t xml:space="preserve">PABLO - LAVANDERIA</t>
  </si>
  <si>
    <t xml:space="preserve">DEYVID FACÇÃO</t>
  </si>
  <si>
    <t xml:space="preserve">EMERSON - FACÇÃO</t>
  </si>
  <si>
    <t xml:space="preserve">CAPITAL GIRO BRADESCO ALV PJ</t>
  </si>
  <si>
    <t xml:space="preserve">AJUDA DE CUSTO - SEMANA</t>
  </si>
  <si>
    <t xml:space="preserve">DIVINO-ACABAMENTO</t>
  </si>
  <si>
    <t xml:space="preserve">ROGERIO - TRAVETE</t>
  </si>
  <si>
    <t xml:space="preserve">VINNTAGE LAVANDERIA - PABLO</t>
  </si>
  <si>
    <t xml:space="preserve">WESLEY WK TEXTIL</t>
  </si>
  <si>
    <t xml:space="preserve">NEOBRAND INDUSTRIA TEXTIL LTDA</t>
  </si>
  <si>
    <t xml:space="preserve">JOAO - CAPITAL DE GIRO</t>
  </si>
  <si>
    <t xml:space="preserve">LUIZ GUSTAVO SANTANA</t>
  </si>
  <si>
    <t xml:space="preserve">ALVO TEXTIL LTDA</t>
  </si>
  <si>
    <t xml:space="preserve">SERASA</t>
  </si>
  <si>
    <t xml:space="preserve">PORTO SEGURO CIA DE SEGUROS GERAIS</t>
  </si>
  <si>
    <t xml:space="preserve">CAPRICORNIO TEXTIL</t>
  </si>
  <si>
    <t xml:space="preserve">LIDER TECIDOS LIDERANCA COMERCIO LTDA</t>
  </si>
  <si>
    <t xml:space="preserve">GUARD SERVICE LTDA</t>
  </si>
  <si>
    <t xml:space="preserve">WOZ COMUNICAÇÃO</t>
  </si>
  <si>
    <t xml:space="preserve">SOCIAL MIDIA</t>
  </si>
  <si>
    <t xml:space="preserve">TOP BRASIL SEGURADORA</t>
  </si>
  <si>
    <t xml:space="preserve">ADRIANA CARDOSO DA SILVA - VENDAS</t>
  </si>
  <si>
    <t xml:space="preserve">GABY FERREIRA - VENDAS</t>
  </si>
  <si>
    <t xml:space="preserve">JHULLYA STEFANLY SOUZA REZENDE</t>
  </si>
  <si>
    <t xml:space="preserve">AILTON TORRES FERREIRA - CORTADOR</t>
  </si>
  <si>
    <t xml:space="preserve">JOSÉ HAMILTON FERREIRA - CORTADOR</t>
  </si>
  <si>
    <t xml:space="preserve">DELVACY PEREIRA SILVA - G ESTOQUE</t>
  </si>
  <si>
    <t xml:space="preserve">CRISLANDIA DA SILVA SOUSA - ESTOQUE</t>
  </si>
  <si>
    <t xml:space="preserve">CAPITAL GIRO ITAU CODI.COM PJ</t>
  </si>
  <si>
    <t xml:space="preserve">EQUATORIAL ENERGIA</t>
  </si>
  <si>
    <t xml:space="preserve">SANEAGO</t>
  </si>
  <si>
    <t xml:space="preserve">TRÁFEGO META</t>
  </si>
  <si>
    <t xml:space="preserve">EDIMAR GERENTE DE PRODUÇÃO</t>
  </si>
  <si>
    <t xml:space="preserve">DANIEL ENNOS</t>
  </si>
  <si>
    <t xml:space="preserve">YASMIN</t>
  </si>
  <si>
    <t xml:space="preserve">WALLYSON HENRIQUE BARBOSA SOUZA</t>
  </si>
  <si>
    <t xml:space="preserve">THAYS CAROLINE FINANCEIRO</t>
  </si>
  <si>
    <t xml:space="preserve">ALUGUEL LORIVALDO</t>
  </si>
  <si>
    <t xml:space="preserve">WIKI SISTEMAS</t>
  </si>
  <si>
    <t xml:space="preserve">CONSÓRCIO BANCO DO BRASIL</t>
  </si>
  <si>
    <t xml:space="preserve">Fluxo de Caixa Mensal</t>
  </si>
  <si>
    <t xml:space="preserve">Regime de CAIXA (data de baixa). Resumo mensal automático.</t>
  </si>
  <si>
    <t xml:space="preserve">Saldo inicial:</t>
  </si>
  <si>
    <t xml:space="preserve">Entradas</t>
  </si>
  <si>
    <t xml:space="preserve">Saídas</t>
  </si>
  <si>
    <t xml:space="preserve">Resultado do Mês</t>
  </si>
  <si>
    <t xml:space="preserve">Saldo Acumulado</t>
  </si>
  <si>
    <t xml:space="preserve">TOTAL</t>
  </si>
  <si>
    <t xml:space="preserve">DRE Gerencial - Competência (mês a mês)</t>
  </si>
  <si>
    <t xml:space="preserve">AH% últ. mês</t>
  </si>
  <si>
    <t xml:space="preserve">AV% s/ Receita</t>
  </si>
  <si>
    <t xml:space="preserve">(+) RECEITA BRUTA DE VENDAS</t>
  </si>
  <si>
    <t xml:space="preserve">    Vendas</t>
  </si>
  <si>
    <t xml:space="preserve">(=) RECEITA BRUTA</t>
  </si>
  <si>
    <t xml:space="preserve"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</si>
  <si>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</si>
  <si>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</si>
  <si>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</si>
  <si>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 xml:space="preserve">(=) TOTAL IMPOSTOS E COMISSÕES</t>
  </si>
  <si>
    <t xml:space="preserve">(=) RECEITA LÍQUIDA</t>
  </si>
  <si>
    <t xml:space="preserve">(-) CUSTO (CMV)</t>
  </si>
  <si>
    <t xml:space="preserve">    Custo de Mercadoria Vendida</t>
  </si>
  <si>
    <t xml:space="preserve">(=) MARGEM</t>
  </si>
  <si>
    <t xml:space="preserve">(-) DESPESAS OPERACIONAIS</t>
  </si>
  <si>
    <t xml:space="preserve">    Frete e Transporte de Mercadorias</t>
  </si>
  <si>
    <t xml:space="preserve">    Manutenção de Máquinas e Peças</t>
  </si>
  <si>
    <t xml:space="preserve">(=) TOTAL DESPESAS OPERACIONAIS</t>
  </si>
  <si>
    <t xml:space="preserve">(-) DESPESAS COM PESSOAL</t>
  </si>
  <si>
    <t xml:space="preserve">    Salário e Ordenados</t>
  </si>
  <si>
    <t xml:space="preserve">    Férias</t>
  </si>
  <si>
    <t xml:space="preserve">    Acertos e Recisões</t>
  </si>
  <si>
    <t xml:space="preserve">    Vales e Adiantamentos</t>
  </si>
  <si>
    <t xml:space="preserve">    Fgts, Gps e Pis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</si>
  <si>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</si>
  <si>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</si>
  <si>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</si>
  <si>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</si>
  <si>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</si>
  <si>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</si>
  <si>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 xml:space="preserve">(=) TOTAL DESPESAS COM PESSOAL</t>
  </si>
  <si>
    <t xml:space="preserve">(-) DESPESAS ADMINISTRATIVAS E GERAIS</t>
  </si>
  <si>
    <t xml:space="preserve">    Outras Despesas</t>
  </si>
  <si>
    <t xml:space="preserve">    Títulos de Capitalização</t>
  </si>
  <si>
    <t xml:space="preserve">    Aluguéis e Condomínios</t>
  </si>
  <si>
    <t xml:space="preserve">    Publicidade</t>
  </si>
  <si>
    <t xml:space="preserve">    Assessoria Técnica Profissional</t>
  </si>
  <si>
    <t xml:space="preserve">    Combustíveis</t>
  </si>
  <si>
    <t xml:space="preserve">    Advogados - Honorários</t>
  </si>
  <si>
    <t xml:space="preserve">    Honorários Contábeis (Contabilidade)</t>
  </si>
  <si>
    <t xml:space="preserve">    Compra de Veículos</t>
  </si>
  <si>
    <t xml:space="preserve">    Tráfego/Social Mídia</t>
  </si>
  <si>
    <t xml:space="preserve">    Web Site e Sistema ERP</t>
  </si>
  <si>
    <t xml:space="preserve">    Seguros</t>
  </si>
  <si>
    <t xml:space="preserve">    Viagens e estadas</t>
  </si>
  <si>
    <t xml:space="preserve">    Consulta de Crédito Cliente</t>
  </si>
  <si>
    <t xml:space="preserve">    Segurança e Monitoramento</t>
  </si>
  <si>
    <t xml:space="preserve">    Água</t>
  </si>
  <si>
    <t xml:space="preserve">    Manutenção de Imóveis</t>
  </si>
  <si>
    <t xml:space="preserve">    Manutenção de Veiculos e Estacionamento</t>
  </si>
  <si>
    <t xml:space="preserve">    Energia Elétrica</t>
  </si>
  <si>
    <t xml:space="preserve">    Telefonia Fixa e Internet</t>
  </si>
  <si>
    <t xml:space="preserve">    Material de Escritório</t>
  </si>
  <si>
    <t xml:space="preserve">    Alimentação</t>
  </si>
  <si>
    <t xml:space="preserve">    Compra de Computadores e Eletrônicos</t>
  </si>
  <si>
    <t xml:space="preserve">    Telefonia Móvel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</si>
  <si>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</si>
  <si>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</si>
  <si>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</si>
  <si>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Gasto com Reforma</t>
  </si>
  <si>
    <t xml:space="preserve">    Material de Copa e Cozinha</t>
  </si>
  <si>
    <t xml:space="preserve">    Manutenção de Moveis e Utensílios</t>
  </si>
  <si>
    <t xml:space="preserve">    Despesas com Documentos e Xerox</t>
  </si>
  <si>
    <t xml:space="preserve">(=) TOTAL DESPESAS ADMINISTRATIVAS</t>
  </si>
  <si>
    <t xml:space="preserve">(=) EBITDA</t>
  </si>
  <si>
    <t xml:space="preserve">(-) DESPESAS FINANCEIRAS</t>
  </si>
  <si>
    <t xml:space="preserve">    Empréstimos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</si>
  <si>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</si>
  <si>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</si>
  <si>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</si>
  <si>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</si>
  <si>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</si>
  <si>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</si>
  <si>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</si>
  <si>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</si>
  <si>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</si>
  <si>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</si>
  <si>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 xml:space="preserve">(=) TOTAL DESPESAS FINANCEIRAS</t>
  </si>
  <si>
    <t xml:space="preserve">(-) RETIRADAS DE SÓCIOS</t>
  </si>
  <si>
    <t xml:space="preserve">    Retiradas de Sócios</t>
  </si>
  <si>
    <t xml:space="preserve">(=) TOTAL RETIRADAS DE SÓCIOS</t>
  </si>
  <si>
    <t xml:space="preserve">(=) EBITDA FINAL</t>
  </si>
  <si>
    <t xml:space="preserve">MédiaMensal</t>
  </si>
  <si>
    <t xml:space="preserve">Simulador de Compra Parcelada</t>
  </si>
  <si>
    <t xml:space="preserve">Preencha os campos amarelos. O sistema calcula a parcela e diz se cabe no seu limite.</t>
  </si>
  <si>
    <t xml:space="preserve">DADOS DA COMPRA</t>
  </si>
  <si>
    <t xml:space="preserve">SUA CAPACIDADE DE PAGAMENTO</t>
  </si>
  <si>
    <t xml:space="preserve">Valor do produto (R$)</t>
  </si>
  <si>
    <t xml:space="preserve">Receita mensal média (R$)</t>
  </si>
  <si>
    <t xml:space="preserve">Entrada / sinal (R$)</t>
  </si>
  <si>
    <t xml:space="preserve">Despesas fixas mensais (R$)</t>
  </si>
  <si>
    <t xml:space="preserve">Número de parcelas</t>
  </si>
  <si>
    <t xml:space="preserve">% da sobra que pode comprometer</t>
  </si>
  <si>
    <t xml:space="preserve">Taxa de juros ao mês (%)</t>
  </si>
  <si>
    <t xml:space="preserve">Parcelas já ativas - categoria</t>
  </si>
  <si>
    <t xml:space="preserve">Parcelas já comprometidas/mês</t>
  </si>
  <si>
    <t xml:space="preserve">RESULTADO DA SIMULAÇÃO</t>
  </si>
  <si>
    <t xml:space="preserve">Valor financiado (produto - entrada)</t>
  </si>
  <si>
    <t xml:space="preserve">Valor da parcela mensal</t>
  </si>
  <si>
    <t xml:space="preserve">Total pago ao final (entrada + parcelas)</t>
  </si>
  <si>
    <t xml:space="preserve">Custo dos juros (total)</t>
  </si>
  <si>
    <t xml:space="preserve">Limite de parcela disponível (já descontando ativas)</t>
  </si>
  <si>
    <t xml:space="preserve">Painel de Produção de Peças</t>
  </si>
  <si>
    <t xml:space="preserve">Preencha peça, meta, produzido, refugo e custo. % atingido e status são automáticos.</t>
  </si>
  <si>
    <t xml:space="preserve">Peça / Produto</t>
  </si>
  <si>
    <t xml:space="preserve">Meta (un)</t>
  </si>
  <si>
    <t xml:space="preserve">Produzido (un)</t>
  </si>
  <si>
    <t xml:space="preserve">Refugo (un)</t>
  </si>
  <si>
    <t xml:space="preserve">% Atingido</t>
  </si>
  <si>
    <t xml:space="preserve">Custo unit. (R$)</t>
  </si>
  <si>
    <t xml:space="preserve">Camisa Social</t>
  </si>
  <si>
    <t xml:space="preserve">Calça Jeans</t>
  </si>
  <si>
    <t xml:space="preserve">Vestido</t>
  </si>
  <si>
    <t xml:space="preserve">Camiseta Básica</t>
  </si>
  <si>
    <t xml:space="preserve">Régua de Crédito</t>
  </si>
  <si>
    <t xml:space="preserve">Responda Sim/Não. O sistema soma os pontos e decide a liberação.</t>
  </si>
  <si>
    <t xml:space="preserve">Pergunta</t>
  </si>
  <si>
    <t xml:space="preserve">Resposta</t>
  </si>
  <si>
    <t xml:space="preserve">Pontos</t>
  </si>
  <si>
    <t xml:space="preserve">O cliente já comprou com a gente antes?</t>
  </si>
  <si>
    <t xml:space="preserve">Não</t>
  </si>
  <si>
    <t xml:space="preserve">Os pagamentos anteriores foram em dia?</t>
  </si>
  <si>
    <t xml:space="preserve">Possui CNPJ ativo / cadastro regular?</t>
  </si>
  <si>
    <t xml:space="preserve">Está com o nome limpo (sem SPC/Serasa)?</t>
  </si>
  <si>
    <t xml:space="preserve">Apresentou comprovante de renda/faturamento?</t>
  </si>
  <si>
    <t xml:space="preserve">O valor pedido está dentro do histórico dele?</t>
  </si>
  <si>
    <t xml:space="preserve">PONTUAÇÃO TOTAL</t>
  </si>
  <si>
    <t xml:space="preserve">Critério de decisão:</t>
  </si>
  <si>
    <t xml:space="preserve">80 a 100 pontos  →  Crédito liberado</t>
  </si>
  <si>
    <t xml:space="preserve">50 a 79 pontos  →  Liberar com cautela (pedir garantia)</t>
  </si>
  <si>
    <t xml:space="preserve">0 a 49 pontos  →  Crédito negado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</si>
</sst>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/mm/yyyy"/>
    <numFmt numFmtId="166" formatCode="&quot;R$ &quot;#,##0.00"/>
    <numFmt numFmtId="167" formatCode="&quot;R$ &quot;#,##0.00"/>
    <numFmt numFmtId="168" formatCode="&quot;R$ &quot;#,##0.00;[RED]&quot;(R$ &quot;#,##0.00\);\-"/>
    <numFmt numFmtId="169" formatCode="&quot;R$ &quot;#,##0.00;[RED]&quot;(R$ &quot;#,##0.00\);\-"/>
    <numFmt numFmtId="170" formatCode="0.0%;[RED]\-0.0%"/>
    <numFmt numFmtId="171" formatCode="0.0%"/>
    <numFmt numFmtId="172" formatCode="0"/>
    <numFmt numFmtId="173" formatCode="0%"/>
    <numFmt numFmtId="174" formatCode="0.00%"/>
    <numFmt numFmtId="175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1"/>
      <color rgb="FF1A1A1A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333333"/>
      <name val="Arial"/>
      <family val="0"/>
      <charset val="1"/>
    </font>
    <font>
      <b val="true"/>
      <sz val="12"/>
      <color rgb="FFC62828"/>
      <name val="Arial"/>
      <family val="0"/>
      <charset val="1"/>
    </font>
    <font>
      <b val="true"/>
      <sz val="16"/>
      <color rgb="FF1A1A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b val="true"/>
      <sz val="10"/>
      <color rgb="FFD4B035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2E7D32"/>
      <name val="Arial"/>
      <family val="0"/>
      <charset val="1"/>
    </font>
    <font>
      <sz val="11"/>
      <color rgb="FFC6282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8"/>
      <color rgb="FF1A1A1A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Entradas x Saídas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'Fluxo de Caixa'!C7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Caixa'!$C$8:$C$24</c:f>
              <c:numCache>
                <c:formatCode>"R$ "#,##0.00;[RED]"(R$ "#,##0.00\);\-</c:formatCode>
                <c:ptCount val="17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531416.69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136741.02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</c:numCache>
            </c:numRef>
          </c:val>
        </c:ser>
        <c:ser>
          <c:idx val="1"/>
          <c:order val="1"/>
          <c:tx>
            <c:strRef>
              <c:f>'Fluxo de Caixa'!D7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Caixa'!$D$8:$D$24</c:f>
              <c:numCache>
                <c:formatCode>"R$ "#,##0.00;[RED]"(R$ "#,##0.00\);\-</c:formatCode>
                <c:ptCount val="17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538520.08</c:v>
                </c:pt>
                <c:pt idx="5">
                  <c:v>653783.44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278911.47</c:v>
                </c:pt>
                <c:pt idx="13">
                  <c:v>291255.29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330121.16</c:v>
                </c:pt>
              </c:numCache>
            </c:numRef>
          </c:val>
        </c:ser>
        <c:gapWidth val="150"/>
        <c:overlap val="0"/>
        <c:axId val="58203060"/>
        <c:axId val="31518256"/>
      </c:barChart>
      <c:catAx>
        <c:axId val="582030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18256"/>
        <c:crosses val="autoZero"/>
        <c:auto val="1"/>
        <c:lblAlgn val="ctr"/>
        <c:lblOffset val="100"/>
        <c:noMultiLvlLbl val="0"/>
      </c:catAx>
      <c:valAx>
        <c:axId val="315182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030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Saldo Acumulado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de Caixa'!F7</c:f>
              <c:strCache>
                <c:ptCount val="1"/>
                <c:pt idx="0">
                  <c:v>Saldo Acumulado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Caixa'!$F$8:$F$24</c:f>
              <c:numCache>
                <c:formatCode>"R$ "#,##0.00;[RED]"(R$ "#,##0.00\);\-</c:formatCode>
                <c:ptCount val="17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-1068915.63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406957"/>
        <c:axId val="22123341"/>
      </c:lineChart>
      <c:catAx>
        <c:axId val="144069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23341"/>
        <c:crosses val="autoZero"/>
        <c:auto val="1"/>
        <c:lblAlgn val="ctr"/>
        <c:lblOffset val="100"/>
        <c:noMultiLvlLbl val="0"/>
      </c:catAx>
      <c:valAx>
        <c:axId val="2212334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069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'Produção de Peças'!C5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</c:ser>
        <c:ser>
          <c:idx val="1"/>
          <c:order val="1"/>
          <c:tx>
            <c:strRef>
              <c:f>'Produção de Peças'!D5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</c:ser>
        <c:gapWidth val="150"/>
        <c:overlap val="0"/>
        <c:axId val="61708218"/>
        <c:axId val="36298786"/>
      </c:barChart>
      <c:catAx>
        <c:axId val="617082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98786"/>
        <c:crosses val="autoZero"/>
        <c:auto val="1"/>
        <c:lblAlgn val="ctr"/>
        <c:lblOffset val="100"/>
        <c:noMultiLvlLbl val="0"/>
      </c:catAx>
      <c:valAx>
        <c:axId val="36298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082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485640</xdr:colOff>
      <xdr:row>1</xdr:row>
      <xdr:rowOff>584640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228600"/>
          <a:ext cx="1613520" cy="58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19</xdr:col>
      <xdr:colOff>576720</xdr:colOff>
      <xdr:row>22</xdr:row>
      <xdr:rowOff>44280</xdr:rowOff>
    </xdr:to>
    <xdr:graphicFrame>
      <xdr:nvGraphicFramePr>
        <xdr:cNvPr id="1" name="Chart 1"/>
        <xdr:cNvGraphicFramePr/>
      </xdr:nvGraphicFramePr>
      <xdr:xfrm>
        <a:off x="6884640" y="1200240"/>
        <a:ext cx="791496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19</xdr:col>
      <xdr:colOff>576720</xdr:colOff>
      <xdr:row>41</xdr:row>
      <xdr:rowOff>187200</xdr:rowOff>
    </xdr:to>
    <xdr:graphicFrame>
      <xdr:nvGraphicFramePr>
        <xdr:cNvPr id="2" name="Chart 2"/>
        <xdr:cNvGraphicFramePr/>
      </xdr:nvGraphicFramePr>
      <xdr:xfrm>
        <a:off x="6884640" y="4962600"/>
        <a:ext cx="7914960" cy="323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131040</xdr:rowOff>
    </xdr:from>
    <xdr:to>
      <xdr:col>18</xdr:col>
      <xdr:colOff>245520</xdr:colOff>
      <xdr:row>17</xdr:row>
      <xdr:rowOff>182880</xdr:rowOff>
    </xdr:to>
    <xdr:graphicFrame>
      <xdr:nvGraphicFramePr>
        <xdr:cNvPr id="3" name="Chart 1"/>
        <xdr:cNvGraphicFramePr/>
      </xdr:nvGraphicFramePr>
      <xdr:xfrm>
        <a:off x="8858160" y="759600"/>
        <a:ext cx="5749200" cy="286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7" min="2" style="1" width="16"/>
  </cols>
  <sheetData>
    <row r="1" customFormat="false" ht="18" hidden="false" customHeight="true" outlineLevel="0" collapsed="false"/>
    <row r="2" customFormat="false" ht="54.75" hidden="false" customHeight="true" outlineLevel="0" collapsed="false"/>
    <row r="3" customFormat="false" ht="15" hidden="false" customHeight="true" outlineLevel="0" collapsed="false"/>
    <row r="4" customFormat="false" ht="24" hidden="false" customHeight="true" outlineLevel="0" collapsed="false">
      <c r="B4" s="2" t="s">
        <v>0</v>
      </c>
      <c r="C4" s="2"/>
      <c r="D4" s="2"/>
      <c r="E4" s="2"/>
      <c r="F4" s="2"/>
      <c r="G4" s="2"/>
    </row>
    <row r="5" customFormat="false" ht="15" hidden="false" customHeight="true" outlineLevel="0" collapsed="false">
      <c r="B5" s="3" t="s">
        <v>1</v>
      </c>
      <c r="C5" s="3"/>
      <c r="D5" s="3"/>
      <c r="E5" s="3"/>
      <c r="F5" s="3"/>
      <c r="G5" s="3"/>
    </row>
    <row r="6" customFormat="false" ht="15" hidden="false" customHeight="true" outlineLevel="0" collapsed="false"/>
    <row r="7" customFormat="false" ht="15" hidden="false" customHeight="true" outlineLevel="0" collapsed="false">
      <c r="B7" s="4" t="s">
        <v>2</v>
      </c>
      <c r="C7" s="4"/>
      <c r="D7" s="4"/>
      <c r="E7" s="4"/>
      <c r="F7" s="4"/>
      <c r="G7" s="4"/>
    </row>
    <row r="8" customFormat="false" ht="15" hidden="false" customHeight="true" outlineLevel="0" collapsed="false">
      <c r="B8" s="5"/>
    </row>
    <row r="9" customFormat="false" ht="15" hidden="false" customHeight="true" outlineLevel="0" collapsed="false">
      <c r="B9" s="6" t="s">
        <v>3</v>
      </c>
      <c r="C9" s="6"/>
      <c r="D9" s="6"/>
      <c r="E9" s="6"/>
      <c r="F9" s="6"/>
      <c r="G9" s="6"/>
    </row>
    <row r="10" customFormat="false" ht="15" hidden="false" customHeight="true" outlineLevel="0" collapsed="false">
      <c r="B10" s="6" t="s">
        <v>4</v>
      </c>
      <c r="C10" s="6"/>
      <c r="D10" s="6"/>
      <c r="E10" s="6"/>
      <c r="F10" s="6"/>
      <c r="G10" s="6"/>
    </row>
    <row r="11" customFormat="false" ht="15" hidden="false" customHeight="true" outlineLevel="0" collapsed="false">
      <c r="B11" s="5"/>
    </row>
    <row r="12" customFormat="false" ht="15" hidden="false" customHeight="true" outlineLevel="0" collapsed="false">
      <c r="B12" s="7" t="s">
        <v>5</v>
      </c>
      <c r="C12" s="7"/>
      <c r="D12" s="7"/>
      <c r="E12" s="7"/>
      <c r="F12" s="7"/>
      <c r="G12" s="7"/>
    </row>
    <row r="13" customFormat="false" ht="15" hidden="false" customHeight="true" outlineLevel="0" collapsed="false">
      <c r="B13" s="6" t="s">
        <v>6</v>
      </c>
      <c r="C13" s="6"/>
      <c r="D13" s="6"/>
      <c r="E13" s="6"/>
      <c r="F13" s="6"/>
      <c r="G13" s="6"/>
    </row>
    <row r="14" customFormat="false" ht="15" hidden="false" customHeight="true" outlineLevel="0" collapsed="false">
      <c r="B14" s="6" t="s">
        <v>7</v>
      </c>
      <c r="C14" s="6"/>
      <c r="D14" s="6"/>
      <c r="E14" s="6"/>
      <c r="F14" s="6"/>
      <c r="G14" s="6"/>
    </row>
    <row r="15" customFormat="false" ht="15" hidden="false" customHeight="true" outlineLevel="0" collapsed="false">
      <c r="B15" s="6" t="s">
        <v>8</v>
      </c>
      <c r="C15" s="6"/>
      <c r="D15" s="6"/>
      <c r="E15" s="6"/>
      <c r="F15" s="6"/>
      <c r="G15" s="6"/>
    </row>
    <row r="16" customFormat="false" ht="15" hidden="false" customHeight="true" outlineLevel="0" collapsed="false">
      <c r="B16" s="6" t="s">
        <v>9</v>
      </c>
      <c r="C16" s="6"/>
      <c r="D16" s="6"/>
      <c r="E16" s="6"/>
      <c r="F16" s="6"/>
      <c r="G16" s="6"/>
    </row>
    <row r="17" customFormat="false" ht="15" hidden="false" customHeight="true" outlineLevel="0" collapsed="false">
      <c r="B17" s="6" t="s">
        <v>10</v>
      </c>
      <c r="C17" s="6"/>
      <c r="D17" s="6"/>
      <c r="E17" s="6"/>
      <c r="F17" s="6"/>
      <c r="G17" s="6"/>
    </row>
    <row r="18" customFormat="false" ht="15" hidden="false" customHeight="true" outlineLevel="0" collapsed="false">
      <c r="B18" s="6" t="s">
        <v>11</v>
      </c>
      <c r="C18" s="6"/>
      <c r="D18" s="6"/>
      <c r="E18" s="6"/>
      <c r="F18" s="6"/>
      <c r="G18" s="6"/>
    </row>
    <row r="19" customFormat="false" ht="15" hidden="false" customHeight="true" outlineLevel="0" collapsed="false">
      <c r="B19" s="6" t="s">
        <v>12</v>
      </c>
      <c r="C19" s="6"/>
      <c r="D19" s="6"/>
      <c r="E19" s="6"/>
      <c r="F19" s="6"/>
      <c r="G19" s="6"/>
    </row>
    <row r="20" customFormat="false" ht="15" hidden="false" customHeight="true" outlineLevel="0" collapsed="false">
      <c r="B20" s="5"/>
    </row>
    <row r="21" customFormat="false" ht="15" hidden="false" customHeight="true" outlineLevel="0" collapsed="false">
      <c r="B21" s="8" t="s">
        <v>13</v>
      </c>
      <c r="C21" s="8"/>
      <c r="D21" s="8"/>
      <c r="E21" s="8"/>
      <c r="F21" s="8"/>
      <c r="G21" s="8"/>
    </row>
    <row r="22" customFormat="false" ht="15" hidden="false" customHeight="true" outlineLevel="0" collapsed="false">
      <c r="B22" s="6" t="s">
        <v>14</v>
      </c>
      <c r="C22" s="6"/>
      <c r="D22" s="6"/>
      <c r="E22" s="6"/>
      <c r="F22" s="6"/>
      <c r="G22" s="6"/>
    </row>
    <row r="23" customFormat="false" ht="15" hidden="false" customHeight="true" outlineLevel="0" collapsed="false">
      <c r="B23" s="6" t="s">
        <v>15</v>
      </c>
      <c r="C23" s="6"/>
      <c r="D23" s="6"/>
      <c r="E23" s="6"/>
      <c r="F23" s="6"/>
      <c r="G23" s="6"/>
    </row>
    <row r="24" customFormat="false" ht="15" hidden="false" customHeight="true" outlineLevel="0" collapsed="false">
      <c r="B24" s="6" t="s">
        <v>16</v>
      </c>
      <c r="C24" s="6"/>
      <c r="D24" s="6"/>
      <c r="E24" s="6"/>
      <c r="F24" s="6"/>
      <c r="G24" s="6"/>
    </row>
  </sheetData>
  <mergeCells count="17">
    <mergeCell ref="B4:G4"/>
    <mergeCell ref="B5:G5"/>
    <mergeCell ref="B7:G7"/>
    <mergeCell ref="B9:G9"/>
    <mergeCell ref="B10:G10"/>
    <mergeCell ref="B12:G12"/>
    <mergeCell ref="B13:G13"/>
    <mergeCell ref="B14:G14"/>
    <mergeCell ref="B15:G15"/>
    <mergeCell ref="B16:G16"/>
    <mergeCell ref="B17:G17"/>
    <mergeCell ref="B18:G18"/>
    <mergeCell ref="B19:G19"/>
    <mergeCell ref="B21:G21"/>
    <mergeCell ref="B22:G22"/>
    <mergeCell ref="B23:G23"/>
    <mergeCell ref="B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4" min="4" style="1" width="3"/>
    <col collapsed="false" customWidth="true" hidden="false" outlineLevel="0" max="5" min="5" style="1" width="38"/>
    <col collapsed="false" customWidth="true" hidden="false" outlineLevel="0" max="6" min="6" style="1" width="3"/>
    <col collapsed="false" customWidth="true" hidden="false" outlineLevel="0" max="7" min="7" style="1" width="38"/>
  </cols>
  <sheetData>
    <row r="2" customFormat="false" ht="19.5" hidden="false" customHeight="true" outlineLevel="0" collapsed="false">
      <c r="B2" s="9" t="s">
        <v>17</v>
      </c>
      <c r="C2" s="9"/>
    </row>
    <row r="4" customFormat="false" ht="15" hidden="false" customHeight="true" outlineLevel="0" collapsed="false">
      <c r="B4" s="10" t="s">
        <v>18</v>
      </c>
      <c r="C4" s="10" t="s">
        <v>19</v>
      </c>
      <c r="E4" s="11" t="s">
        <v>20</v>
      </c>
      <c r="G4" s="12" t="s">
        <v>21</v>
      </c>
    </row>
    <row r="5" customFormat="false" ht="15" hidden="false" customHeight="true" outlineLevel="0" collapsed="false">
      <c r="B5" s="13" t="s">
        <v>22</v>
      </c>
      <c r="C5" s="14" t="s">
        <v>23</v>
      </c>
      <c r="E5" s="13" t="s">
        <v>24</v>
      </c>
      <c r="G5" s="13" t="s">
        <v>22</v>
      </c>
    </row>
    <row r="6" customFormat="false" ht="15" hidden="false" customHeight="true" outlineLevel="0" collapsed="false">
      <c r="B6" s="13" t="s">
        <v>25</v>
      </c>
      <c r="C6" s="14" t="s">
        <v>23</v>
      </c>
      <c r="E6" s="13" t="s">
        <v>26</v>
      </c>
      <c r="G6" s="13" t="s">
        <v>25</v>
      </c>
    </row>
    <row r="7" customFormat="false" ht="15" hidden="false" customHeight="true" outlineLevel="0" collapsed="false">
      <c r="B7" s="13" t="s">
        <v>27</v>
      </c>
      <c r="C7" s="14" t="s">
        <v>23</v>
      </c>
      <c r="E7" s="13" t="s">
        <v>28</v>
      </c>
      <c r="G7" s="13" t="s">
        <v>27</v>
      </c>
    </row>
    <row r="8" customFormat="false" ht="15" hidden="false" customHeight="true" outlineLevel="0" collapsed="false">
      <c r="E8" s="13" t="s">
        <v>29</v>
      </c>
      <c r="G8" s="13" t="s">
        <v>24</v>
      </c>
    </row>
    <row r="9" customFormat="false" ht="15" hidden="false" customHeight="true" outlineLevel="0" collapsed="false">
      <c r="E9" s="13" t="s">
        <v>30</v>
      </c>
      <c r="G9" s="13" t="s">
        <v>26</v>
      </c>
    </row>
    <row r="10" customFormat="false" ht="15" hidden="false" customHeight="true" outlineLevel="0" collapsed="false">
      <c r="E10" s="13" t="s">
        <v>31</v>
      </c>
      <c r="G10" s="13" t="s">
        <v>28</v>
      </c>
    </row>
    <row r="11" customFormat="false" ht="15" hidden="false" customHeight="true" outlineLevel="0" collapsed="false">
      <c r="E11" s="13" t="s">
        <v>32</v>
      </c>
      <c r="G11" s="13" t="s">
        <v>29</v>
      </c>
    </row>
    <row r="12" customFormat="false" ht="15" hidden="false" customHeight="true" outlineLevel="0" collapsed="false">
      <c r="E12" s="13" t="s">
        <v>33</v>
      </c>
      <c r="G12" s="13" t="s">
        <v>30</v>
      </c>
    </row>
    <row r="13" customFormat="false" ht="15" hidden="false" customHeight="true" outlineLevel="0" collapsed="false">
      <c r="E13" s="13" t="s">
        <v>34</v>
      </c>
      <c r="G13" s="13" t="s">
        <v>31</v>
      </c>
    </row>
    <row r="14" customFormat="false" ht="15" hidden="false" customHeight="true" outlineLevel="0" collapsed="false">
      <c r="E14" s="13" t="s">
        <v>35</v>
      </c>
      <c r="G14" s="13" t="s">
        <v>32</v>
      </c>
    </row>
    <row r="15" customFormat="false" ht="15" hidden="false" customHeight="true" outlineLevel="0" collapsed="false">
      <c r="E15" s="13" t="s">
        <v>36</v>
      </c>
      <c r="G15" s="13" t="s">
        <v>33</v>
      </c>
    </row>
    <row r="16" customFormat="false" ht="15" hidden="false" customHeight="true" outlineLevel="0" collapsed="false">
      <c r="E16" s="13" t="s">
        <v>37</v>
      </c>
      <c r="G16" s="13" t="s">
        <v>34</v>
      </c>
    </row>
    <row r="17" customFormat="false" ht="15" hidden="false" customHeight="true" outlineLevel="0" collapsed="false">
      <c r="E17" s="13" t="s">
        <v>38</v>
      </c>
      <c r="G17" s="13" t="s">
        <v>35</v>
      </c>
    </row>
    <row r="18" customFormat="false" ht="15" hidden="false" customHeight="true" outlineLevel="0" collapsed="false">
      <c r="E18" s="13" t="s">
        <v>39</v>
      </c>
      <c r="G18" s="13" t="s">
        <v>36</v>
      </c>
    </row>
    <row r="19" customFormat="false" ht="15" hidden="false" customHeight="true" outlineLevel="0" collapsed="false">
      <c r="E19" s="13" t="s">
        <v>40</v>
      </c>
      <c r="G19" s="13" t="s">
        <v>37</v>
      </c>
    </row>
    <row r="20" customFormat="false" ht="15" hidden="false" customHeight="true" outlineLevel="0" collapsed="false">
      <c r="E20" s="13" t="s">
        <v>41</v>
      </c>
      <c r="G20" s="13" t="s">
        <v>38</v>
      </c>
    </row>
    <row r="21" customFormat="false" ht="15" hidden="false" customHeight="true" outlineLevel="0" collapsed="false">
      <c r="E21" s="13" t="s">
        <v>42</v>
      </c>
      <c r="G21" s="13" t="s">
        <v>39</v>
      </c>
    </row>
    <row r="22" customFormat="false" ht="15" hidden="false" customHeight="true" outlineLevel="0" collapsed="false">
      <c r="E22" s="13" t="s">
        <v>43</v>
      </c>
      <c r="G22" s="13" t="s">
        <v>40</v>
      </c>
    </row>
    <row r="23" customFormat="false" ht="15" hidden="false" customHeight="true" outlineLevel="0" collapsed="false">
      <c r="E23" s="13" t="s">
        <v>44</v>
      </c>
      <c r="G23" s="13" t="s">
        <v>41</v>
      </c>
    </row>
    <row r="24" customFormat="false" ht="15" hidden="false" customHeight="true" outlineLevel="0" collapsed="false">
      <c r="E24" s="13" t="s">
        <v>45</v>
      </c>
      <c r="G24" s="13" t="s">
        <v>42</v>
      </c>
    </row>
    <row r="25" customFormat="false" ht="15" hidden="false" customHeight="true" outlineLevel="0" collapsed="false">
      <c r="E25" s="13" t="s">
        <v>46</v>
      </c>
      <c r="G25" s="13" t="s">
        <v>43</v>
      </c>
    </row>
    <row r="26" customFormat="false" ht="15" hidden="false" customHeight="true" outlineLevel="0" collapsed="false">
      <c r="E26" s="13" t="s">
        <v>47</v>
      </c>
      <c r="G26" s="13" t="s">
        <v>44</v>
      </c>
    </row>
    <row r="27" customFormat="false" ht="15" hidden="false" customHeight="true" outlineLevel="0" collapsed="false">
      <c r="E27" s="13" t="s">
        <v>48</v>
      </c>
      <c r="G27" s="13" t="s">
        <v>45</v>
      </c>
    </row>
    <row r="28" customFormat="false" ht="15" hidden="false" customHeight="true" outlineLevel="0" collapsed="false">
      <c r="E28" s="13" t="s">
        <v>49</v>
      </c>
      <c r="G28" s="13" t="s">
        <v>46</v>
      </c>
    </row>
    <row r="29" customFormat="false" ht="15" hidden="false" customHeight="true" outlineLevel="0" collapsed="false">
      <c r="E29" s="13" t="s">
        <v>50</v>
      </c>
      <c r="G29" s="13" t="s">
        <v>47</v>
      </c>
    </row>
    <row r="30" customFormat="false" ht="15" hidden="false" customHeight="true" outlineLevel="0" collapsed="false">
      <c r="E30" s="13" t="s">
        <v>51</v>
      </c>
      <c r="G30" s="13" t="s">
        <v>48</v>
      </c>
    </row>
    <row r="31" customFormat="false" ht="15" hidden="false" customHeight="true" outlineLevel="0" collapsed="false">
      <c r="E31" s="13" t="s">
        <v>52</v>
      </c>
      <c r="G31" s="13" t="s">
        <v>49</v>
      </c>
    </row>
    <row r="32" customFormat="false" ht="15" hidden="false" customHeight="true" outlineLevel="0" collapsed="false">
      <c r="E32" s="13" t="s">
        <v>53</v>
      </c>
      <c r="G32" s="13" t="s">
        <v>50</v>
      </c>
    </row>
    <row r="33" customFormat="false" ht="15" hidden="false" customHeight="true" outlineLevel="0" collapsed="false">
      <c r="E33" s="13" t="s">
        <v>54</v>
      </c>
      <c r="G33" s="13" t="s">
        <v>51</v>
      </c>
    </row>
    <row r="34" customFormat="false" ht="15" hidden="false" customHeight="true" outlineLevel="0" collapsed="false">
      <c r="E34" s="13" t="s">
        <v>55</v>
      </c>
      <c r="G34" s="13" t="s">
        <v>52</v>
      </c>
    </row>
    <row r="35" customFormat="false" ht="15" hidden="false" customHeight="true" outlineLevel="0" collapsed="false">
      <c r="E35" s="13" t="s">
        <v>56</v>
      </c>
      <c r="G35" s="13" t="s">
        <v>53</v>
      </c>
    </row>
    <row r="36" customFormat="false" ht="15" hidden="false" customHeight="true" outlineLevel="0" collapsed="false">
      <c r="E36" s="13" t="s">
        <v>57</v>
      </c>
      <c r="G36" s="13" t="s">
        <v>54</v>
      </c>
    </row>
    <row r="37" customFormat="false" ht="15" hidden="false" customHeight="true" outlineLevel="0" collapsed="false">
      <c r="E37" s="13" t="s">
        <v>58</v>
      </c>
      <c r="G37" s="13" t="s">
        <v>55</v>
      </c>
    </row>
    <row r="38" customFormat="false" ht="15" hidden="false" customHeight="true" outlineLevel="0" collapsed="false">
      <c r="E38" s="13" t="s">
        <v>59</v>
      </c>
      <c r="G38" s="13" t="s">
        <v>56</v>
      </c>
    </row>
    <row r="39" customFormat="false" ht="15" hidden="false" customHeight="true" outlineLevel="0" collapsed="false">
      <c r="E39" s="13" t="s">
        <v>60</v>
      </c>
      <c r="G39" s="13" t="s">
        <v>57</v>
      </c>
    </row>
    <row r="40" customFormat="false" ht="15" hidden="false" customHeight="true" outlineLevel="0" collapsed="false">
      <c r="E40" s="13" t="s">
        <v>61</v>
      </c>
      <c r="G40" s="13" t="s">
        <v>58</v>
      </c>
    </row>
    <row r="41" customFormat="false" ht="15" hidden="false" customHeight="true" outlineLevel="0" collapsed="false">
      <c r="E41" s="13" t="s">
        <v>62</v>
      </c>
      <c r="G41" s="13" t="s">
        <v>59</v>
      </c>
    </row>
    <row r="42" customFormat="false" ht="15" hidden="false" customHeight="true" outlineLevel="0" collapsed="false">
      <c r="E42" s="13" t="s">
        <v>63</v>
      </c>
      <c r="G42" s="13" t="s">
        <v>60</v>
      </c>
    </row>
    <row r="43" customFormat="false" ht="15" hidden="false" customHeight="true" outlineLevel="0" collapsed="false">
      <c r="E43" s="13" t="s">
        <v>64</v>
      </c>
      <c r="G43" s="13" t="s">
        <v>61</v>
      </c>
    </row>
    <row r="44" customFormat="false" ht="15" hidden="false" customHeight="true" outlineLevel="0" collapsed="false">
      <c r="E44" s="13" t="s">
        <v>65</v>
      </c>
      <c r="G44" s="13" t="s">
        <v>62</v>
      </c>
    </row>
    <row r="45" customFormat="false" ht="15" hidden="false" customHeight="true" outlineLevel="0" collapsed="false">
      <c r="E45" s="13" t="s">
        <v>66</v>
      </c>
      <c r="G45" s="13" t="s">
        <v>63</v>
      </c>
    </row>
    <row r="46" customFormat="false" ht="15" hidden="false" customHeight="true" outlineLevel="0" collapsed="false">
      <c r="E46" s="13" t="s">
        <v>67</v>
      </c>
      <c r="G46" s="13" t="s">
        <v>64</v>
      </c>
    </row>
    <row r="47" customFormat="false" ht="15" hidden="false" customHeight="true" outlineLevel="0" collapsed="false">
      <c r="E47" s="13" t="s">
        <v>68</v>
      </c>
      <c r="G47" s="13" t="s">
        <v>65</v>
      </c>
    </row>
    <row r="48" customFormat="false" ht="15" hidden="false" customHeight="true" outlineLevel="0" collapsed="false">
      <c r="E48" s="13" t="s">
        <v>69</v>
      </c>
      <c r="G48" s="13" t="s">
        <v>66</v>
      </c>
    </row>
    <row r="49" customFormat="false" ht="15" hidden="false" customHeight="true" outlineLevel="0" collapsed="false">
      <c r="E49" s="13" t="s">
        <v>70</v>
      </c>
      <c r="G49" s="13" t="s">
        <v>67</v>
      </c>
    </row>
    <row r="50" customFormat="false" ht="15" hidden="false" customHeight="true" outlineLevel="0" collapsed="false">
      <c r="E50" s="13" t="s">
        <v>71</v>
      </c>
      <c r="G50" s="13" t="s">
        <v>68</v>
      </c>
    </row>
    <row r="51" customFormat="false" ht="15" hidden="false" customHeight="true" outlineLevel="0" collapsed="false">
      <c r="E51" s="13" t="s">
        <v>72</v>
      </c>
      <c r="G51" s="13" t="s">
        <v>69</v>
      </c>
    </row>
    <row r="52" customFormat="false" ht="15" hidden="false" customHeight="true" outlineLevel="0" collapsed="false">
      <c r="E52" s="13" t="s">
        <v>73</v>
      </c>
      <c r="G52" s="13" t="s">
        <v>70</v>
      </c>
    </row>
    <row r="53" customFormat="false" ht="15" hidden="false" customHeight="true" outlineLevel="0" collapsed="false">
      <c r="E53" s="13" t="s">
        <v>74</v>
      </c>
      <c r="G53" s="13" t="s">
        <v>71</v>
      </c>
    </row>
    <row r="54" customFormat="false" ht="15" hidden="false" customHeight="true" outlineLevel="0" collapsed="false">
      <c r="E54" s="13" t="s">
        <v>75</v>
      </c>
      <c r="G54" s="13" t="s">
        <v>72</v>
      </c>
    </row>
    <row r="55" customFormat="false" ht="15" hidden="false" customHeight="true" outlineLevel="0" collapsed="false">
      <c r="E55" s="13" t="s">
        <v>76</v>
      </c>
      <c r="G55" s="13" t="s">
        <v>73</v>
      </c>
    </row>
    <row r="56" customFormat="false" ht="15" hidden="false" customHeight="true" outlineLevel="0" collapsed="false">
      <c r="E56" s="13" t="s">
        <v>77</v>
      </c>
      <c r="G56" s="13" t="s">
        <v>74</v>
      </c>
    </row>
    <row r="57" customFormat="false" ht="15" hidden="false" customHeight="true" outlineLevel="0" collapsed="false">
      <c r="E57" s="13" t="s">
        <v>78</v>
      </c>
      <c r="G57" s="13" t="s">
        <v>75</v>
      </c>
    </row>
    <row r="58" customFormat="false" ht="15" hidden="false" customHeight="true" outlineLevel="0" collapsed="false">
      <c r="E58" s="13" t="s">
        <v>79</v>
      </c>
      <c r="G58" s="13" t="s">
        <v>76</v>
      </c>
    </row>
    <row r="59" customFormat="false" ht="15" hidden="false" customHeight="true" outlineLevel="0" collapsed="false">
      <c r="E59" s="13" t="s">
        <v>80</v>
      </c>
      <c r="G59" s="13" t="s">
        <v>77</v>
      </c>
    </row>
    <row r="60" customFormat="false" ht="15" hidden="false" customHeight="true" outlineLevel="0" collapsed="false">
      <c r="E60" s="13" t="s">
        <v>81</v>
      </c>
      <c r="G60" s="13" t="s">
        <v>78</v>
      </c>
    </row>
    <row r="61" customFormat="false" ht="15" hidden="false" customHeight="true" outlineLevel="0" collapsed="false">
      <c r="E61" s="13" t="s">
        <v>82</v>
      </c>
      <c r="G61" s="13" t="s">
        <v>79</v>
      </c>
    </row>
    <row r="62" customFormat="false" ht="15" hidden="false" customHeight="true" outlineLevel="0" collapsed="false">
      <c r="E62" s="13" t="s">
        <v>83</v>
      </c>
      <c r="G62" s="13" t="s">
        <v>80</v>
      </c>
    </row>
    <row r="63" customFormat="false" ht="15" hidden="false" customHeight="true" outlineLevel="0" collapsed="false">
      <c r="E63" s="13" t="s">
        <v>84</v>
      </c>
      <c r="G63" s="13" t="s">
        <v>81</v>
      </c>
    </row>
    <row r="64" customFormat="false" ht="15" hidden="false" customHeight="true" outlineLevel="0" collapsed="false">
      <c r="E64" s="13" t="s">
        <v>85</v>
      </c>
      <c r="G64" s="13" t="s">
        <v>82</v>
      </c>
    </row>
    <row r="65" customFormat="false" ht="15" hidden="false" customHeight="true" outlineLevel="0" collapsed="false">
      <c r="E65" s="13" t="s">
        <v>86</v>
      </c>
      <c r="G65" s="13" t="s">
        <v>83</v>
      </c>
    </row>
    <row r="66" customFormat="false" ht="15" hidden="false" customHeight="true" outlineLevel="0" collapsed="false">
      <c r="E66" s="13" t="s">
        <v>87</v>
      </c>
      <c r="G66" s="13" t="s">
        <v>84</v>
      </c>
    </row>
    <row r="67" customFormat="false" ht="15" hidden="false" customHeight="true" outlineLevel="0" collapsed="false">
      <c r="E67" s="13" t="s">
        <v>88</v>
      </c>
      <c r="G67" s="13" t="s">
        <v>85</v>
      </c>
    </row>
    <row r="68" customFormat="false" ht="15" hidden="false" customHeight="true" outlineLevel="0" collapsed="false">
      <c r="E68" s="13" t="s">
        <v>89</v>
      </c>
      <c r="G68" s="13" t="s">
        <v>86</v>
      </c>
    </row>
    <row r="69" customFormat="false" ht="15" hidden="false" customHeight="true" outlineLevel="0" collapsed="false">
      <c r="E69" s="13" t="s">
        <v>90</v>
      </c>
      <c r="G69" s="13" t="s">
        <v>87</v>
      </c>
    </row>
    <row r="70" customFormat="false" ht="15" hidden="false" customHeight="true" outlineLevel="0" collapsed="false">
      <c r="E70" s="13" t="s">
        <v>91</v>
      </c>
      <c r="G70" s="13" t="s">
        <v>88</v>
      </c>
    </row>
    <row r="71" customFormat="false" ht="15" hidden="false" customHeight="true" outlineLevel="0" collapsed="false">
      <c r="E71" s="13" t="s">
        <v>92</v>
      </c>
      <c r="G71" s="13" t="s">
        <v>89</v>
      </c>
    </row>
    <row r="72" customFormat="false" ht="15" hidden="false" customHeight="true" outlineLevel="0" collapsed="false">
      <c r="E72" s="13" t="s">
        <v>93</v>
      </c>
      <c r="G72" s="13" t="s">
        <v>90</v>
      </c>
    </row>
    <row r="73" customFormat="false" ht="15" hidden="false" customHeight="true" outlineLevel="0" collapsed="false">
      <c r="E73" s="13" t="s">
        <v>94</v>
      </c>
      <c r="G73" s="13" t="s">
        <v>91</v>
      </c>
    </row>
    <row r="74" customFormat="false" ht="15" hidden="false" customHeight="true" outlineLevel="0" collapsed="false">
      <c r="E74" s="13" t="s">
        <v>95</v>
      </c>
      <c r="G74" s="13" t="s">
        <v>92</v>
      </c>
    </row>
    <row r="75" customFormat="false" ht="15" hidden="false" customHeight="true" outlineLevel="0" collapsed="false">
      <c r="E75" s="13" t="s">
        <v>96</v>
      </c>
      <c r="G75" s="13" t="s">
        <v>93</v>
      </c>
    </row>
    <row r="76" customFormat="false" ht="15" hidden="false" customHeight="true" outlineLevel="0" collapsed="false">
      <c r="E76" s="13" t="s">
        <v>97</v>
      </c>
      <c r="G76" s="13" t="s">
        <v>94</v>
      </c>
    </row>
    <row r="77" customFormat="false" ht="15" hidden="false" customHeight="true" outlineLevel="0" collapsed="false">
      <c r="G77" s="13" t="s">
        <v>95</v>
      </c>
    </row>
    <row r="78" customFormat="false" ht="15" hidden="false" customHeight="true" outlineLevel="0" collapsed="false">
      <c r="G78" s="13" t="s">
        <v>96</v>
      </c>
    </row>
    <row r="79" customFormat="false" ht="15" hidden="false" customHeight="true" outlineLevel="0" collapsed="false">
      <c r="G79" s="13" t="s">
        <v>97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12"/>
  </cols>
  <sheetData>
    <row r="2" customFormat="false" ht="19.5" hidden="false" customHeight="true" outlineLevel="0" collapsed="false">
      <c r="B2" s="15" t="s">
        <v>98</v>
      </c>
      <c r="C2" s="15"/>
      <c r="D2" s="15"/>
      <c r="E2" s="15"/>
      <c r="F2" s="15"/>
      <c r="G2" s="15"/>
    </row>
    <row r="3" customFormat="false" ht="15" hidden="false" customHeight="true" outlineLevel="0" collapsed="false">
      <c r="B3" s="16" t="s">
        <v>99</v>
      </c>
      <c r="C3" s="16"/>
      <c r="D3" s="16"/>
      <c r="E3" s="16"/>
      <c r="F3" s="16"/>
      <c r="G3" s="16"/>
    </row>
    <row r="5" customFormat="false" ht="15" hidden="false" customHeight="true" outlineLevel="0" collapsed="false">
      <c r="B5" s="10" t="s">
        <v>100</v>
      </c>
      <c r="C5" s="10" t="s">
        <v>101</v>
      </c>
      <c r="D5" s="10" t="s">
        <v>19</v>
      </c>
      <c r="E5" s="10" t="s">
        <v>102</v>
      </c>
      <c r="F5" s="10" t="s">
        <v>103</v>
      </c>
      <c r="G5" s="10" t="s">
        <v>104</v>
      </c>
    </row>
    <row r="6" customFormat="false" ht="15" hidden="false" customHeight="true" outlineLevel="0" collapsed="false">
      <c r="B6" s="17" t="n">
        <v>45536</v>
      </c>
      <c r="C6" s="18" t="s">
        <v>105</v>
      </c>
      <c r="D6" s="18" t="s">
        <v>106</v>
      </c>
      <c r="E6" s="18" t="s">
        <v>77</v>
      </c>
      <c r="F6" s="19" t="n">
        <v>13783</v>
      </c>
      <c r="G6" s="20" t="s">
        <v>107</v>
      </c>
    </row>
    <row r="7" customFormat="false" ht="15" hidden="false" customHeight="true" outlineLevel="0" collapsed="false">
      <c r="B7" s="17" t="n">
        <v>45536</v>
      </c>
      <c r="C7" s="18" t="s">
        <v>108</v>
      </c>
      <c r="D7" s="18" t="s">
        <v>106</v>
      </c>
      <c r="E7" s="18" t="s">
        <v>52</v>
      </c>
      <c r="F7" s="19" t="n">
        <v>3885</v>
      </c>
      <c r="G7" s="20" t="s">
        <v>107</v>
      </c>
    </row>
    <row r="8" customFormat="false" ht="15" hidden="false" customHeight="true" outlineLevel="0" collapsed="false">
      <c r="B8" s="17" t="n">
        <v>45597</v>
      </c>
      <c r="C8" s="18" t="s">
        <v>109</v>
      </c>
      <c r="D8" s="18" t="s">
        <v>106</v>
      </c>
      <c r="E8" s="18" t="s">
        <v>77</v>
      </c>
      <c r="F8" s="19" t="n">
        <v>17592</v>
      </c>
      <c r="G8" s="20" t="s">
        <v>110</v>
      </c>
    </row>
    <row r="9" customFormat="false" ht="15" hidden="false" customHeight="true" outlineLevel="0" collapsed="false">
      <c r="B9" s="17" t="n">
        <v>45627</v>
      </c>
      <c r="C9" s="18" t="s">
        <v>111</v>
      </c>
      <c r="D9" s="18" t="s">
        <v>106</v>
      </c>
      <c r="E9" s="18" t="s">
        <v>77</v>
      </c>
      <c r="F9" s="19" t="n">
        <v>20252</v>
      </c>
      <c r="G9" s="20" t="s">
        <v>112</v>
      </c>
    </row>
    <row r="10" customFormat="false" ht="15" hidden="false" customHeight="true" outlineLevel="0" collapsed="false">
      <c r="B10" s="17" t="n">
        <v>45627</v>
      </c>
      <c r="C10" s="18" t="s">
        <v>113</v>
      </c>
      <c r="D10" s="18" t="s">
        <v>106</v>
      </c>
      <c r="E10" s="18" t="s">
        <v>51</v>
      </c>
      <c r="F10" s="19" t="n">
        <v>5000</v>
      </c>
      <c r="G10" s="20" t="s">
        <v>112</v>
      </c>
    </row>
    <row r="11" customFormat="false" ht="15" hidden="false" customHeight="true" outlineLevel="0" collapsed="false">
      <c r="B11" s="17" t="n">
        <v>45627</v>
      </c>
      <c r="C11" s="18" t="s">
        <v>114</v>
      </c>
      <c r="D11" s="18" t="s">
        <v>106</v>
      </c>
      <c r="E11" s="18" t="s">
        <v>59</v>
      </c>
      <c r="F11" s="19" t="n">
        <v>300</v>
      </c>
      <c r="G11" s="20" t="s">
        <v>112</v>
      </c>
    </row>
    <row r="12" customFormat="false" ht="15" hidden="false" customHeight="true" outlineLevel="0" collapsed="false">
      <c r="B12" s="17" t="n">
        <v>45658</v>
      </c>
      <c r="C12" s="18" t="s">
        <v>115</v>
      </c>
      <c r="D12" s="18" t="s">
        <v>116</v>
      </c>
      <c r="E12" s="18" t="s">
        <v>22</v>
      </c>
      <c r="F12" s="19" t="n">
        <v>121549.92</v>
      </c>
      <c r="G12" s="20" t="s">
        <v>117</v>
      </c>
    </row>
    <row r="13" customFormat="false" ht="15" hidden="false" customHeight="true" outlineLevel="0" collapsed="false">
      <c r="B13" s="17" t="n">
        <v>45658</v>
      </c>
      <c r="C13" s="18" t="s">
        <v>118</v>
      </c>
      <c r="D13" s="18" t="s">
        <v>106</v>
      </c>
      <c r="E13" s="18" t="s">
        <v>52</v>
      </c>
      <c r="F13" s="19" t="n">
        <v>5263</v>
      </c>
      <c r="G13" s="20" t="s">
        <v>117</v>
      </c>
    </row>
    <row r="14" customFormat="false" ht="15" hidden="false" customHeight="true" outlineLevel="0" collapsed="false">
      <c r="B14" s="17" t="n">
        <v>45658</v>
      </c>
      <c r="C14" s="18" t="s">
        <v>119</v>
      </c>
      <c r="D14" s="18" t="s">
        <v>106</v>
      </c>
      <c r="E14" s="18" t="s">
        <v>51</v>
      </c>
      <c r="F14" s="19" t="n">
        <v>23868.1</v>
      </c>
      <c r="G14" s="20" t="s">
        <v>117</v>
      </c>
    </row>
    <row r="15" customFormat="false" ht="15" hidden="false" customHeight="true" outlineLevel="0" collapsed="false">
      <c r="B15" s="17" t="n">
        <v>45658</v>
      </c>
      <c r="C15" s="18" t="s">
        <v>120</v>
      </c>
      <c r="D15" s="18" t="s">
        <v>106</v>
      </c>
      <c r="E15" s="18" t="s">
        <v>87</v>
      </c>
      <c r="F15" s="19" t="n">
        <v>7473.57</v>
      </c>
      <c r="G15" s="20" t="s">
        <v>117</v>
      </c>
    </row>
    <row r="16" customFormat="false" ht="15" hidden="false" customHeight="true" outlineLevel="0" collapsed="false">
      <c r="B16" s="17" t="n">
        <v>45658</v>
      </c>
      <c r="C16" s="18" t="s">
        <v>121</v>
      </c>
      <c r="D16" s="18" t="s">
        <v>106</v>
      </c>
      <c r="E16" s="18" t="s">
        <v>67</v>
      </c>
      <c r="F16" s="19" t="n">
        <v>383</v>
      </c>
      <c r="G16" s="20" t="s">
        <v>117</v>
      </c>
    </row>
    <row r="17" customFormat="false" ht="15" hidden="false" customHeight="true" outlineLevel="0" collapsed="false">
      <c r="B17" s="17" t="n">
        <v>45658</v>
      </c>
      <c r="C17" s="18" t="s">
        <v>122</v>
      </c>
      <c r="D17" s="18" t="s">
        <v>106</v>
      </c>
      <c r="E17" s="18" t="s">
        <v>71</v>
      </c>
      <c r="F17" s="19" t="n">
        <v>760.38</v>
      </c>
      <c r="G17" s="20" t="s">
        <v>117</v>
      </c>
    </row>
    <row r="18" customFormat="false" ht="15" hidden="false" customHeight="true" outlineLevel="0" collapsed="false">
      <c r="B18" s="17" t="n">
        <v>45658</v>
      </c>
      <c r="C18" s="18" t="s">
        <v>123</v>
      </c>
      <c r="D18" s="18" t="s">
        <v>106</v>
      </c>
      <c r="E18" s="18" t="s">
        <v>61</v>
      </c>
      <c r="F18" s="19" t="n">
        <v>3266.32</v>
      </c>
      <c r="G18" s="20" t="s">
        <v>117</v>
      </c>
    </row>
    <row r="19" customFormat="false" ht="15" hidden="false" customHeight="true" outlineLevel="0" collapsed="false">
      <c r="B19" s="17" t="n">
        <v>45658</v>
      </c>
      <c r="C19" s="18" t="s">
        <v>124</v>
      </c>
      <c r="D19" s="18" t="s">
        <v>106</v>
      </c>
      <c r="E19" s="18" t="s">
        <v>64</v>
      </c>
      <c r="F19" s="19" t="n">
        <v>428.66</v>
      </c>
      <c r="G19" s="20" t="s">
        <v>117</v>
      </c>
    </row>
    <row r="20" customFormat="false" ht="15" hidden="false" customHeight="true" outlineLevel="0" collapsed="false">
      <c r="B20" s="17" t="n">
        <v>45658</v>
      </c>
      <c r="C20" s="18" t="s">
        <v>125</v>
      </c>
      <c r="D20" s="18" t="s">
        <v>106</v>
      </c>
      <c r="E20" s="18" t="s">
        <v>62</v>
      </c>
      <c r="F20" s="19" t="n">
        <v>140</v>
      </c>
      <c r="G20" s="20" t="s">
        <v>117</v>
      </c>
    </row>
    <row r="21" customFormat="false" ht="15" hidden="false" customHeight="true" outlineLevel="0" collapsed="false">
      <c r="B21" s="17" t="n">
        <v>45658</v>
      </c>
      <c r="C21" s="18" t="s">
        <v>126</v>
      </c>
      <c r="D21" s="18" t="s">
        <v>106</v>
      </c>
      <c r="E21" s="18" t="s">
        <v>49</v>
      </c>
      <c r="F21" s="19" t="n">
        <v>2380</v>
      </c>
      <c r="G21" s="20" t="s">
        <v>117</v>
      </c>
    </row>
    <row r="22" customFormat="false" ht="15" hidden="false" customHeight="true" outlineLevel="0" collapsed="false">
      <c r="B22" s="17" t="n">
        <v>45658</v>
      </c>
      <c r="C22" s="18" t="s">
        <v>127</v>
      </c>
      <c r="D22" s="18" t="s">
        <v>106</v>
      </c>
      <c r="E22" s="18" t="s">
        <v>50</v>
      </c>
      <c r="F22" s="19" t="n">
        <v>3930</v>
      </c>
      <c r="G22" s="20" t="s">
        <v>117</v>
      </c>
    </row>
    <row r="23" customFormat="false" ht="15" hidden="false" customHeight="true" outlineLevel="0" collapsed="false">
      <c r="B23" s="17" t="n">
        <v>45658</v>
      </c>
      <c r="C23" s="18" t="s">
        <v>128</v>
      </c>
      <c r="D23" s="18" t="s">
        <v>106</v>
      </c>
      <c r="E23" s="18" t="s">
        <v>68</v>
      </c>
      <c r="F23" s="19" t="n">
        <v>124.84</v>
      </c>
      <c r="G23" s="20" t="s">
        <v>117</v>
      </c>
    </row>
    <row r="24" customFormat="false" ht="15" hidden="false" customHeight="true" outlineLevel="0" collapsed="false">
      <c r="B24" s="17" t="n">
        <v>45658</v>
      </c>
      <c r="C24" s="18" t="s">
        <v>129</v>
      </c>
      <c r="D24" s="18" t="s">
        <v>106</v>
      </c>
      <c r="E24" s="18" t="s">
        <v>69</v>
      </c>
      <c r="F24" s="19" t="n">
        <v>224.36</v>
      </c>
      <c r="G24" s="20" t="s">
        <v>117</v>
      </c>
    </row>
    <row r="25" customFormat="false" ht="15" hidden="false" customHeight="true" outlineLevel="0" collapsed="false">
      <c r="B25" s="17" t="n">
        <v>45658</v>
      </c>
      <c r="C25" s="18" t="s">
        <v>130</v>
      </c>
      <c r="D25" s="18" t="s">
        <v>106</v>
      </c>
      <c r="E25" s="18" t="s">
        <v>48</v>
      </c>
      <c r="F25" s="19" t="n">
        <v>20</v>
      </c>
      <c r="G25" s="20" t="s">
        <v>117</v>
      </c>
    </row>
    <row r="26" customFormat="false" ht="15" hidden="false" customHeight="true" outlineLevel="0" collapsed="false">
      <c r="B26" s="17" t="n">
        <v>45658</v>
      </c>
      <c r="C26" s="18" t="s">
        <v>131</v>
      </c>
      <c r="D26" s="18" t="s">
        <v>106</v>
      </c>
      <c r="E26" s="18" t="s">
        <v>24</v>
      </c>
      <c r="F26" s="19" t="n">
        <v>137102.37</v>
      </c>
      <c r="G26" s="20" t="s">
        <v>117</v>
      </c>
    </row>
    <row r="27" customFormat="false" ht="15" hidden="false" customHeight="true" outlineLevel="0" collapsed="false">
      <c r="B27" s="17" t="n">
        <v>45689</v>
      </c>
      <c r="C27" s="18" t="s">
        <v>132</v>
      </c>
      <c r="D27" s="18" t="s">
        <v>116</v>
      </c>
      <c r="E27" s="18" t="s">
        <v>22</v>
      </c>
      <c r="F27" s="19" t="n">
        <v>250599.51</v>
      </c>
      <c r="G27" s="20" t="s">
        <v>133</v>
      </c>
    </row>
    <row r="28" customFormat="false" ht="15" hidden="false" customHeight="true" outlineLevel="0" collapsed="false">
      <c r="B28" s="17" t="n">
        <v>45689</v>
      </c>
      <c r="C28" s="18" t="s">
        <v>134</v>
      </c>
      <c r="D28" s="18" t="s">
        <v>106</v>
      </c>
      <c r="E28" s="18" t="s">
        <v>52</v>
      </c>
      <c r="F28" s="19" t="n">
        <v>5275.93</v>
      </c>
      <c r="G28" s="20" t="s">
        <v>133</v>
      </c>
    </row>
    <row r="29" customFormat="false" ht="15" hidden="false" customHeight="true" outlineLevel="0" collapsed="false">
      <c r="B29" s="17" t="n">
        <v>45689</v>
      </c>
      <c r="C29" s="18" t="s">
        <v>135</v>
      </c>
      <c r="D29" s="18" t="s">
        <v>106</v>
      </c>
      <c r="E29" s="18" t="s">
        <v>51</v>
      </c>
      <c r="F29" s="19" t="n">
        <v>21582.64</v>
      </c>
      <c r="G29" s="20" t="s">
        <v>133</v>
      </c>
    </row>
    <row r="30" customFormat="false" ht="15" hidden="false" customHeight="true" outlineLevel="0" collapsed="false">
      <c r="B30" s="17" t="n">
        <v>45689</v>
      </c>
      <c r="C30" s="18" t="s">
        <v>136</v>
      </c>
      <c r="D30" s="18" t="s">
        <v>106</v>
      </c>
      <c r="E30" s="18" t="s">
        <v>59</v>
      </c>
      <c r="F30" s="19" t="n">
        <v>1000</v>
      </c>
      <c r="G30" s="20" t="s">
        <v>133</v>
      </c>
    </row>
    <row r="31" customFormat="false" ht="15" hidden="false" customHeight="true" outlineLevel="0" collapsed="false">
      <c r="B31" s="17" t="n">
        <v>45689</v>
      </c>
      <c r="C31" s="18" t="s">
        <v>137</v>
      </c>
      <c r="D31" s="18" t="s">
        <v>106</v>
      </c>
      <c r="E31" s="18" t="s">
        <v>87</v>
      </c>
      <c r="F31" s="19" t="n">
        <v>4205.34</v>
      </c>
      <c r="G31" s="20" t="s">
        <v>133</v>
      </c>
    </row>
    <row r="32" customFormat="false" ht="15" hidden="false" customHeight="true" outlineLevel="0" collapsed="false">
      <c r="B32" s="17" t="n">
        <v>45689</v>
      </c>
      <c r="C32" s="18" t="s">
        <v>138</v>
      </c>
      <c r="D32" s="18" t="s">
        <v>106</v>
      </c>
      <c r="E32" s="18" t="s">
        <v>67</v>
      </c>
      <c r="F32" s="19" t="n">
        <v>316.58</v>
      </c>
      <c r="G32" s="20" t="s">
        <v>133</v>
      </c>
    </row>
    <row r="33" customFormat="false" ht="15" hidden="false" customHeight="true" outlineLevel="0" collapsed="false">
      <c r="B33" s="17" t="n">
        <v>45689</v>
      </c>
      <c r="C33" s="18" t="s">
        <v>139</v>
      </c>
      <c r="D33" s="18" t="s">
        <v>106</v>
      </c>
      <c r="E33" s="18" t="s">
        <v>61</v>
      </c>
      <c r="F33" s="19" t="n">
        <v>4119.21</v>
      </c>
      <c r="G33" s="20" t="s">
        <v>133</v>
      </c>
    </row>
    <row r="34" customFormat="false" ht="15" hidden="false" customHeight="true" outlineLevel="0" collapsed="false">
      <c r="B34" s="17" t="n">
        <v>45689</v>
      </c>
      <c r="C34" s="18" t="s">
        <v>140</v>
      </c>
      <c r="D34" s="18" t="s">
        <v>106</v>
      </c>
      <c r="E34" s="18" t="s">
        <v>64</v>
      </c>
      <c r="F34" s="19" t="n">
        <v>463</v>
      </c>
      <c r="G34" s="20" t="s">
        <v>133</v>
      </c>
    </row>
    <row r="35" customFormat="false" ht="15" hidden="false" customHeight="true" outlineLevel="0" collapsed="false">
      <c r="B35" s="17" t="n">
        <v>45689</v>
      </c>
      <c r="C35" s="18" t="s">
        <v>141</v>
      </c>
      <c r="D35" s="18" t="s">
        <v>106</v>
      </c>
      <c r="E35" s="18" t="s">
        <v>62</v>
      </c>
      <c r="F35" s="19" t="n">
        <v>1240</v>
      </c>
      <c r="G35" s="20" t="s">
        <v>133</v>
      </c>
    </row>
    <row r="36" customFormat="false" ht="15" hidden="false" customHeight="true" outlineLevel="0" collapsed="false">
      <c r="B36" s="17" t="n">
        <v>45689</v>
      </c>
      <c r="C36" s="18" t="s">
        <v>142</v>
      </c>
      <c r="D36" s="18" t="s">
        <v>106</v>
      </c>
      <c r="E36" s="18" t="s">
        <v>50</v>
      </c>
      <c r="F36" s="19" t="n">
        <v>2195.42</v>
      </c>
      <c r="G36" s="20" t="s">
        <v>133</v>
      </c>
    </row>
    <row r="37" customFormat="false" ht="15" hidden="false" customHeight="true" outlineLevel="0" collapsed="false">
      <c r="B37" s="17" t="n">
        <v>45689</v>
      </c>
      <c r="C37" s="18" t="s">
        <v>143</v>
      </c>
      <c r="D37" s="18" t="s">
        <v>106</v>
      </c>
      <c r="E37" s="18" t="s">
        <v>69</v>
      </c>
      <c r="F37" s="19" t="n">
        <v>293.24</v>
      </c>
      <c r="G37" s="20" t="s">
        <v>133</v>
      </c>
    </row>
    <row r="38" customFormat="false" ht="15" hidden="false" customHeight="true" outlineLevel="0" collapsed="false">
      <c r="B38" s="17" t="n">
        <v>45689</v>
      </c>
      <c r="C38" s="18" t="s">
        <v>144</v>
      </c>
      <c r="D38" s="18" t="s">
        <v>106</v>
      </c>
      <c r="E38" s="18" t="s">
        <v>42</v>
      </c>
      <c r="F38" s="19" t="n">
        <v>10917.99</v>
      </c>
      <c r="G38" s="20" t="s">
        <v>133</v>
      </c>
    </row>
    <row r="39" customFormat="false" ht="15" hidden="false" customHeight="true" outlineLevel="0" collapsed="false">
      <c r="B39" s="17" t="n">
        <v>45689</v>
      </c>
      <c r="C39" s="18" t="s">
        <v>145</v>
      </c>
      <c r="D39" s="18" t="s">
        <v>106</v>
      </c>
      <c r="E39" s="18" t="s">
        <v>83</v>
      </c>
      <c r="F39" s="19" t="n">
        <v>156.18</v>
      </c>
      <c r="G39" s="20" t="s">
        <v>133</v>
      </c>
    </row>
    <row r="40" customFormat="false" ht="15" hidden="false" customHeight="true" outlineLevel="0" collapsed="false">
      <c r="B40" s="17" t="n">
        <v>45689</v>
      </c>
      <c r="C40" s="18" t="s">
        <v>146</v>
      </c>
      <c r="D40" s="18" t="s">
        <v>106</v>
      </c>
      <c r="E40" s="18" t="s">
        <v>93</v>
      </c>
      <c r="F40" s="19" t="n">
        <v>1131.91</v>
      </c>
      <c r="G40" s="20" t="s">
        <v>133</v>
      </c>
    </row>
    <row r="41" customFormat="false" ht="15" hidden="false" customHeight="true" outlineLevel="0" collapsed="false">
      <c r="B41" s="17" t="n">
        <v>45689</v>
      </c>
      <c r="C41" s="18" t="s">
        <v>147</v>
      </c>
      <c r="D41" s="18" t="s">
        <v>106</v>
      </c>
      <c r="E41" s="18" t="s">
        <v>76</v>
      </c>
      <c r="F41" s="19" t="n">
        <v>1100</v>
      </c>
      <c r="G41" s="20" t="s">
        <v>133</v>
      </c>
    </row>
    <row r="42" customFormat="false" ht="15" hidden="false" customHeight="true" outlineLevel="0" collapsed="false">
      <c r="B42" s="17" t="n">
        <v>45689</v>
      </c>
      <c r="C42" s="18" t="s">
        <v>148</v>
      </c>
      <c r="D42" s="18" t="s">
        <v>106</v>
      </c>
      <c r="E42" s="18" t="s">
        <v>97</v>
      </c>
      <c r="F42" s="19" t="n">
        <v>50000</v>
      </c>
      <c r="G42" s="20" t="s">
        <v>133</v>
      </c>
    </row>
    <row r="43" customFormat="false" ht="15" hidden="false" customHeight="true" outlineLevel="0" collapsed="false">
      <c r="B43" s="17" t="n">
        <v>45689</v>
      </c>
      <c r="C43" s="18" t="s">
        <v>149</v>
      </c>
      <c r="D43" s="18" t="s">
        <v>106</v>
      </c>
      <c r="E43" s="18" t="s">
        <v>45</v>
      </c>
      <c r="F43" s="19" t="n">
        <v>70.61</v>
      </c>
      <c r="G43" s="20" t="s">
        <v>133</v>
      </c>
    </row>
    <row r="44" customFormat="false" ht="15" hidden="false" customHeight="true" outlineLevel="0" collapsed="false">
      <c r="B44" s="17" t="n">
        <v>45689</v>
      </c>
      <c r="C44" s="18" t="s">
        <v>150</v>
      </c>
      <c r="D44" s="18" t="s">
        <v>106</v>
      </c>
      <c r="E44" s="18" t="s">
        <v>43</v>
      </c>
      <c r="F44" s="19" t="n">
        <v>670.3</v>
      </c>
      <c r="G44" s="20" t="s">
        <v>133</v>
      </c>
    </row>
    <row r="45" customFormat="false" ht="15" hidden="false" customHeight="true" outlineLevel="0" collapsed="false">
      <c r="B45" s="17" t="n">
        <v>45689</v>
      </c>
      <c r="C45" s="18" t="s">
        <v>151</v>
      </c>
      <c r="D45" s="18" t="s">
        <v>106</v>
      </c>
      <c r="E45" s="18" t="s">
        <v>44</v>
      </c>
      <c r="F45" s="19" t="n">
        <v>39</v>
      </c>
      <c r="G45" s="20" t="s">
        <v>133</v>
      </c>
    </row>
    <row r="46" customFormat="false" ht="15" hidden="false" customHeight="true" outlineLevel="0" collapsed="false">
      <c r="B46" s="17" t="n">
        <v>45689</v>
      </c>
      <c r="C46" s="18" t="s">
        <v>152</v>
      </c>
      <c r="D46" s="18" t="s">
        <v>106</v>
      </c>
      <c r="E46" s="18" t="s">
        <v>48</v>
      </c>
      <c r="F46" s="19" t="n">
        <v>30</v>
      </c>
      <c r="G46" s="20" t="s">
        <v>133</v>
      </c>
    </row>
    <row r="47" customFormat="false" ht="15" hidden="false" customHeight="true" outlineLevel="0" collapsed="false">
      <c r="B47" s="17" t="n">
        <v>45689</v>
      </c>
      <c r="C47" s="18" t="s">
        <v>153</v>
      </c>
      <c r="D47" s="18" t="s">
        <v>106</v>
      </c>
      <c r="E47" s="18" t="s">
        <v>24</v>
      </c>
      <c r="F47" s="19" t="n">
        <v>225127.02</v>
      </c>
      <c r="G47" s="20" t="s">
        <v>133</v>
      </c>
    </row>
    <row r="48" customFormat="false" ht="15" hidden="false" customHeight="true" outlineLevel="0" collapsed="false">
      <c r="B48" s="17" t="n">
        <v>45717</v>
      </c>
      <c r="C48" s="18" t="s">
        <v>154</v>
      </c>
      <c r="D48" s="18" t="s">
        <v>116</v>
      </c>
      <c r="E48" s="18" t="s">
        <v>22</v>
      </c>
      <c r="F48" s="19" t="n">
        <v>302093.57</v>
      </c>
      <c r="G48" s="20" t="s">
        <v>155</v>
      </c>
    </row>
    <row r="49" customFormat="false" ht="15" hidden="false" customHeight="true" outlineLevel="0" collapsed="false">
      <c r="B49" s="17" t="n">
        <v>45717</v>
      </c>
      <c r="C49" s="18" t="s">
        <v>156</v>
      </c>
      <c r="D49" s="18" t="s">
        <v>106</v>
      </c>
      <c r="E49" s="18" t="s">
        <v>77</v>
      </c>
      <c r="F49" s="19" t="n">
        <v>3.3</v>
      </c>
      <c r="G49" s="20" t="s">
        <v>155</v>
      </c>
    </row>
    <row r="50" customFormat="false" ht="15" hidden="false" customHeight="true" outlineLevel="0" collapsed="false">
      <c r="B50" s="17" t="n">
        <v>45717</v>
      </c>
      <c r="C50" s="18" t="s">
        <v>157</v>
      </c>
      <c r="D50" s="18" t="s">
        <v>106</v>
      </c>
      <c r="E50" s="18" t="s">
        <v>52</v>
      </c>
      <c r="F50" s="19" t="n">
        <v>5919.74</v>
      </c>
      <c r="G50" s="20" t="s">
        <v>155</v>
      </c>
    </row>
    <row r="51" customFormat="false" ht="15" hidden="false" customHeight="true" outlineLevel="0" collapsed="false">
      <c r="B51" s="17" t="n">
        <v>45717</v>
      </c>
      <c r="C51" s="18" t="s">
        <v>158</v>
      </c>
      <c r="D51" s="18" t="s">
        <v>106</v>
      </c>
      <c r="E51" s="18" t="s">
        <v>51</v>
      </c>
      <c r="F51" s="19" t="n">
        <v>23176.52</v>
      </c>
      <c r="G51" s="20" t="s">
        <v>155</v>
      </c>
    </row>
    <row r="52" customFormat="false" ht="15" hidden="false" customHeight="true" outlineLevel="0" collapsed="false">
      <c r="B52" s="17" t="n">
        <v>45717</v>
      </c>
      <c r="C52" s="18" t="s">
        <v>159</v>
      </c>
      <c r="D52" s="18" t="s">
        <v>106</v>
      </c>
      <c r="E52" s="18" t="s">
        <v>59</v>
      </c>
      <c r="F52" s="19" t="n">
        <v>1500.02</v>
      </c>
      <c r="G52" s="20" t="s">
        <v>155</v>
      </c>
    </row>
    <row r="53" customFormat="false" ht="15" hidden="false" customHeight="true" outlineLevel="0" collapsed="false">
      <c r="B53" s="17" t="n">
        <v>45717</v>
      </c>
      <c r="C53" s="18" t="s">
        <v>160</v>
      </c>
      <c r="D53" s="18" t="s">
        <v>106</v>
      </c>
      <c r="E53" s="18" t="s">
        <v>87</v>
      </c>
      <c r="F53" s="19" t="n">
        <v>6201.8</v>
      </c>
      <c r="G53" s="20" t="s">
        <v>155</v>
      </c>
    </row>
    <row r="54" customFormat="false" ht="15" hidden="false" customHeight="true" outlineLevel="0" collapsed="false">
      <c r="B54" s="17" t="n">
        <v>45717</v>
      </c>
      <c r="C54" s="18" t="s">
        <v>161</v>
      </c>
      <c r="D54" s="18" t="s">
        <v>106</v>
      </c>
      <c r="E54" s="18" t="s">
        <v>67</v>
      </c>
      <c r="F54" s="19" t="n">
        <v>250</v>
      </c>
      <c r="G54" s="20" t="s">
        <v>155</v>
      </c>
    </row>
    <row r="55" customFormat="false" ht="15" hidden="false" customHeight="true" outlineLevel="0" collapsed="false">
      <c r="B55" s="17" t="n">
        <v>45717</v>
      </c>
      <c r="C55" s="18" t="s">
        <v>162</v>
      </c>
      <c r="D55" s="18" t="s">
        <v>106</v>
      </c>
      <c r="E55" s="18" t="s">
        <v>71</v>
      </c>
      <c r="F55" s="19" t="n">
        <v>2849.74</v>
      </c>
      <c r="G55" s="20" t="s">
        <v>155</v>
      </c>
    </row>
    <row r="56" customFormat="false" ht="15" hidden="false" customHeight="true" outlineLevel="0" collapsed="false">
      <c r="B56" s="17" t="n">
        <v>45717</v>
      </c>
      <c r="C56" s="18" t="s">
        <v>163</v>
      </c>
      <c r="D56" s="18" t="s">
        <v>106</v>
      </c>
      <c r="E56" s="18" t="s">
        <v>61</v>
      </c>
      <c r="F56" s="19" t="n">
        <v>3285.31</v>
      </c>
      <c r="G56" s="20" t="s">
        <v>155</v>
      </c>
    </row>
    <row r="57" customFormat="false" ht="15" hidden="false" customHeight="true" outlineLevel="0" collapsed="false">
      <c r="B57" s="17" t="n">
        <v>45717</v>
      </c>
      <c r="C57" s="18" t="s">
        <v>164</v>
      </c>
      <c r="D57" s="18" t="s">
        <v>106</v>
      </c>
      <c r="E57" s="18" t="s">
        <v>64</v>
      </c>
      <c r="F57" s="19" t="n">
        <v>269.82</v>
      </c>
      <c r="G57" s="20" t="s">
        <v>155</v>
      </c>
    </row>
    <row r="58" customFormat="false" ht="15" hidden="false" customHeight="true" outlineLevel="0" collapsed="false">
      <c r="B58" s="17" t="n">
        <v>45717</v>
      </c>
      <c r="C58" s="18" t="s">
        <v>165</v>
      </c>
      <c r="D58" s="18" t="s">
        <v>106</v>
      </c>
      <c r="E58" s="18" t="s">
        <v>62</v>
      </c>
      <c r="F58" s="19" t="n">
        <v>140</v>
      </c>
      <c r="G58" s="20" t="s">
        <v>155</v>
      </c>
    </row>
    <row r="59" customFormat="false" ht="15" hidden="false" customHeight="true" outlineLevel="0" collapsed="false">
      <c r="B59" s="17" t="n">
        <v>45717</v>
      </c>
      <c r="C59" s="18" t="s">
        <v>166</v>
      </c>
      <c r="D59" s="18" t="s">
        <v>106</v>
      </c>
      <c r="E59" s="18" t="s">
        <v>49</v>
      </c>
      <c r="F59" s="19" t="n">
        <v>2780</v>
      </c>
      <c r="G59" s="20" t="s">
        <v>155</v>
      </c>
    </row>
    <row r="60" customFormat="false" ht="15" hidden="false" customHeight="true" outlineLevel="0" collapsed="false">
      <c r="B60" s="17" t="n">
        <v>45717</v>
      </c>
      <c r="C60" s="18" t="s">
        <v>167</v>
      </c>
      <c r="D60" s="18" t="s">
        <v>106</v>
      </c>
      <c r="E60" s="18" t="s">
        <v>50</v>
      </c>
      <c r="F60" s="19" t="n">
        <v>572.47</v>
      </c>
      <c r="G60" s="20" t="s">
        <v>155</v>
      </c>
    </row>
    <row r="61" customFormat="false" ht="15" hidden="false" customHeight="true" outlineLevel="0" collapsed="false">
      <c r="B61" s="17" t="n">
        <v>45717</v>
      </c>
      <c r="C61" s="18" t="s">
        <v>168</v>
      </c>
      <c r="D61" s="18" t="s">
        <v>106</v>
      </c>
      <c r="E61" s="18" t="s">
        <v>68</v>
      </c>
      <c r="F61" s="19" t="n">
        <v>109.53</v>
      </c>
      <c r="G61" s="20" t="s">
        <v>155</v>
      </c>
    </row>
    <row r="62" customFormat="false" ht="15" hidden="false" customHeight="true" outlineLevel="0" collapsed="false">
      <c r="B62" s="17" t="n">
        <v>45717</v>
      </c>
      <c r="C62" s="18" t="s">
        <v>169</v>
      </c>
      <c r="D62" s="18" t="s">
        <v>106</v>
      </c>
      <c r="E62" s="18" t="s">
        <v>69</v>
      </c>
      <c r="F62" s="19" t="n">
        <v>196.62</v>
      </c>
      <c r="G62" s="20" t="s">
        <v>155</v>
      </c>
    </row>
    <row r="63" customFormat="false" ht="15" hidden="false" customHeight="true" outlineLevel="0" collapsed="false">
      <c r="B63" s="17" t="n">
        <v>45717</v>
      </c>
      <c r="C63" s="18" t="s">
        <v>170</v>
      </c>
      <c r="D63" s="18" t="s">
        <v>106</v>
      </c>
      <c r="E63" s="18" t="s">
        <v>78</v>
      </c>
      <c r="F63" s="19" t="n">
        <v>520</v>
      </c>
      <c r="G63" s="20" t="s">
        <v>155</v>
      </c>
    </row>
    <row r="64" customFormat="false" ht="15" hidden="false" customHeight="true" outlineLevel="0" collapsed="false">
      <c r="B64" s="17" t="n">
        <v>45717</v>
      </c>
      <c r="C64" s="18" t="s">
        <v>171</v>
      </c>
      <c r="D64" s="18" t="s">
        <v>106</v>
      </c>
      <c r="E64" s="18" t="s">
        <v>83</v>
      </c>
      <c r="F64" s="19" t="n">
        <v>156.18</v>
      </c>
      <c r="G64" s="20" t="s">
        <v>155</v>
      </c>
    </row>
    <row r="65" customFormat="false" ht="15" hidden="false" customHeight="true" outlineLevel="0" collapsed="false">
      <c r="B65" s="17" t="n">
        <v>45717</v>
      </c>
      <c r="C65" s="18" t="s">
        <v>172</v>
      </c>
      <c r="D65" s="18" t="s">
        <v>106</v>
      </c>
      <c r="E65" s="18" t="s">
        <v>76</v>
      </c>
      <c r="F65" s="19" t="n">
        <v>1100</v>
      </c>
      <c r="G65" s="20" t="s">
        <v>155</v>
      </c>
    </row>
    <row r="66" customFormat="false" ht="15" hidden="false" customHeight="true" outlineLevel="0" collapsed="false">
      <c r="B66" s="17" t="n">
        <v>45717</v>
      </c>
      <c r="C66" s="18" t="s">
        <v>173</v>
      </c>
      <c r="D66" s="18" t="s">
        <v>106</v>
      </c>
      <c r="E66" s="18" t="s">
        <v>97</v>
      </c>
      <c r="F66" s="19" t="n">
        <v>50000</v>
      </c>
      <c r="G66" s="20" t="s">
        <v>155</v>
      </c>
    </row>
    <row r="67" customFormat="false" ht="15" hidden="false" customHeight="true" outlineLevel="0" collapsed="false">
      <c r="B67" s="17" t="n">
        <v>45717</v>
      </c>
      <c r="C67" s="18" t="s">
        <v>174</v>
      </c>
      <c r="D67" s="18" t="s">
        <v>106</v>
      </c>
      <c r="E67" s="18" t="s">
        <v>45</v>
      </c>
      <c r="F67" s="19" t="n">
        <v>132.6</v>
      </c>
      <c r="G67" s="20" t="s">
        <v>155</v>
      </c>
    </row>
    <row r="68" customFormat="false" ht="15" hidden="false" customHeight="true" outlineLevel="0" collapsed="false">
      <c r="B68" s="17" t="n">
        <v>45717</v>
      </c>
      <c r="C68" s="18" t="s">
        <v>175</v>
      </c>
      <c r="D68" s="18" t="s">
        <v>106</v>
      </c>
      <c r="E68" s="18" t="s">
        <v>43</v>
      </c>
      <c r="F68" s="19" t="n">
        <v>887.51</v>
      </c>
      <c r="G68" s="20" t="s">
        <v>155</v>
      </c>
    </row>
    <row r="69" customFormat="false" ht="15" hidden="false" customHeight="true" outlineLevel="0" collapsed="false">
      <c r="B69" s="17" t="n">
        <v>45717</v>
      </c>
      <c r="C69" s="18" t="s">
        <v>176</v>
      </c>
      <c r="D69" s="18" t="s">
        <v>106</v>
      </c>
      <c r="E69" s="18" t="s">
        <v>48</v>
      </c>
      <c r="F69" s="19" t="n">
        <v>40</v>
      </c>
      <c r="G69" s="20" t="s">
        <v>155</v>
      </c>
    </row>
    <row r="70" customFormat="false" ht="15" hidden="false" customHeight="true" outlineLevel="0" collapsed="false">
      <c r="B70" s="17" t="n">
        <v>45717</v>
      </c>
      <c r="C70" s="18" t="s">
        <v>177</v>
      </c>
      <c r="D70" s="18" t="s">
        <v>106</v>
      </c>
      <c r="E70" s="18" t="s">
        <v>92</v>
      </c>
      <c r="F70" s="19" t="n">
        <v>50</v>
      </c>
      <c r="G70" s="20" t="s">
        <v>155</v>
      </c>
    </row>
    <row r="71" customFormat="false" ht="15" hidden="false" customHeight="true" outlineLevel="0" collapsed="false">
      <c r="B71" s="17" t="n">
        <v>45717</v>
      </c>
      <c r="C71" s="18" t="s">
        <v>178</v>
      </c>
      <c r="D71" s="18" t="s">
        <v>106</v>
      </c>
      <c r="E71" s="18" t="s">
        <v>46</v>
      </c>
      <c r="F71" s="19" t="n">
        <v>86</v>
      </c>
      <c r="G71" s="20" t="s">
        <v>155</v>
      </c>
    </row>
    <row r="72" customFormat="false" ht="15" hidden="false" customHeight="true" outlineLevel="0" collapsed="false">
      <c r="B72" s="17" t="n">
        <v>45717</v>
      </c>
      <c r="C72" s="18" t="s">
        <v>179</v>
      </c>
      <c r="D72" s="18" t="s">
        <v>106</v>
      </c>
      <c r="E72" s="18" t="s">
        <v>60</v>
      </c>
      <c r="F72" s="19" t="n">
        <v>487.21</v>
      </c>
      <c r="G72" s="20" t="s">
        <v>155</v>
      </c>
    </row>
    <row r="73" customFormat="false" ht="15" hidden="false" customHeight="true" outlineLevel="0" collapsed="false">
      <c r="B73" s="17" t="n">
        <v>45717</v>
      </c>
      <c r="C73" s="18" t="s">
        <v>180</v>
      </c>
      <c r="D73" s="18" t="s">
        <v>106</v>
      </c>
      <c r="E73" s="18" t="s">
        <v>80</v>
      </c>
      <c r="F73" s="19" t="n">
        <v>3.7</v>
      </c>
      <c r="G73" s="20" t="s">
        <v>155</v>
      </c>
    </row>
    <row r="74" customFormat="false" ht="15" hidden="false" customHeight="true" outlineLevel="0" collapsed="false">
      <c r="B74" s="17" t="n">
        <v>45717</v>
      </c>
      <c r="C74" s="18" t="s">
        <v>181</v>
      </c>
      <c r="D74" s="18" t="s">
        <v>106</v>
      </c>
      <c r="E74" s="18" t="s">
        <v>53</v>
      </c>
      <c r="F74" s="19" t="n">
        <v>800</v>
      </c>
      <c r="G74" s="20" t="s">
        <v>155</v>
      </c>
    </row>
    <row r="75" customFormat="false" ht="15" hidden="false" customHeight="true" outlineLevel="0" collapsed="false">
      <c r="B75" s="17" t="n">
        <v>45717</v>
      </c>
      <c r="C75" s="18" t="s">
        <v>182</v>
      </c>
      <c r="D75" s="18" t="s">
        <v>106</v>
      </c>
      <c r="E75" s="18" t="s">
        <v>72</v>
      </c>
      <c r="F75" s="19" t="n">
        <v>300</v>
      </c>
      <c r="G75" s="20" t="s">
        <v>155</v>
      </c>
    </row>
    <row r="76" customFormat="false" ht="15" hidden="false" customHeight="true" outlineLevel="0" collapsed="false">
      <c r="B76" s="17" t="n">
        <v>45717</v>
      </c>
      <c r="C76" s="18" t="s">
        <v>183</v>
      </c>
      <c r="D76" s="18" t="s">
        <v>106</v>
      </c>
      <c r="E76" s="18" t="s">
        <v>24</v>
      </c>
      <c r="F76" s="19" t="n">
        <v>215036.99</v>
      </c>
      <c r="G76" s="20" t="s">
        <v>155</v>
      </c>
    </row>
    <row r="77" customFormat="false" ht="15" hidden="false" customHeight="true" outlineLevel="0" collapsed="false">
      <c r="B77" s="17" t="n">
        <v>45748</v>
      </c>
      <c r="C77" s="18" t="s">
        <v>184</v>
      </c>
      <c r="D77" s="18" t="s">
        <v>116</v>
      </c>
      <c r="E77" s="18" t="s">
        <v>22</v>
      </c>
      <c r="F77" s="19" t="n">
        <v>350632.1</v>
      </c>
      <c r="G77" s="20" t="s">
        <v>185</v>
      </c>
    </row>
    <row r="78" customFormat="false" ht="15" hidden="false" customHeight="true" outlineLevel="0" collapsed="false">
      <c r="B78" s="17" t="n">
        <v>45748</v>
      </c>
      <c r="C78" s="18" t="s">
        <v>186</v>
      </c>
      <c r="D78" s="18" t="s">
        <v>106</v>
      </c>
      <c r="E78" s="18" t="s">
        <v>77</v>
      </c>
      <c r="F78" s="19" t="n">
        <v>646.87</v>
      </c>
      <c r="G78" s="20" t="s">
        <v>185</v>
      </c>
    </row>
    <row r="79" customFormat="false" ht="15" hidden="false" customHeight="true" outlineLevel="0" collapsed="false">
      <c r="B79" s="17" t="n">
        <v>45748</v>
      </c>
      <c r="C79" s="18" t="s">
        <v>187</v>
      </c>
      <c r="D79" s="18" t="s">
        <v>106</v>
      </c>
      <c r="E79" s="18" t="s">
        <v>52</v>
      </c>
      <c r="F79" s="19" t="n">
        <v>5514.62</v>
      </c>
      <c r="G79" s="20" t="s">
        <v>185</v>
      </c>
    </row>
    <row r="80" customFormat="false" ht="15" hidden="false" customHeight="true" outlineLevel="0" collapsed="false">
      <c r="B80" s="17" t="n">
        <v>45748</v>
      </c>
      <c r="C80" s="18" t="s">
        <v>188</v>
      </c>
      <c r="D80" s="18" t="s">
        <v>106</v>
      </c>
      <c r="E80" s="18" t="s">
        <v>51</v>
      </c>
      <c r="F80" s="19" t="n">
        <v>27082.92</v>
      </c>
      <c r="G80" s="20" t="s">
        <v>185</v>
      </c>
    </row>
    <row r="81" customFormat="false" ht="15" hidden="false" customHeight="true" outlineLevel="0" collapsed="false">
      <c r="B81" s="17" t="n">
        <v>45748</v>
      </c>
      <c r="C81" s="18" t="s">
        <v>189</v>
      </c>
      <c r="D81" s="18" t="s">
        <v>106</v>
      </c>
      <c r="E81" s="18" t="s">
        <v>59</v>
      </c>
      <c r="F81" s="19" t="n">
        <v>1000</v>
      </c>
      <c r="G81" s="20" t="s">
        <v>185</v>
      </c>
    </row>
    <row r="82" customFormat="false" ht="15" hidden="false" customHeight="true" outlineLevel="0" collapsed="false">
      <c r="B82" s="17" t="n">
        <v>45748</v>
      </c>
      <c r="C82" s="18" t="s">
        <v>190</v>
      </c>
      <c r="D82" s="18" t="s">
        <v>106</v>
      </c>
      <c r="E82" s="18" t="s">
        <v>67</v>
      </c>
      <c r="F82" s="19" t="n">
        <v>48.93</v>
      </c>
      <c r="G82" s="20" t="s">
        <v>185</v>
      </c>
    </row>
    <row r="83" customFormat="false" ht="15" hidden="false" customHeight="true" outlineLevel="0" collapsed="false">
      <c r="B83" s="17" t="n">
        <v>45748</v>
      </c>
      <c r="C83" s="18" t="s">
        <v>191</v>
      </c>
      <c r="D83" s="18" t="s">
        <v>106</v>
      </c>
      <c r="E83" s="18" t="s">
        <v>71</v>
      </c>
      <c r="F83" s="19" t="n">
        <v>5353.37</v>
      </c>
      <c r="G83" s="20" t="s">
        <v>185</v>
      </c>
    </row>
    <row r="84" customFormat="false" ht="15" hidden="false" customHeight="true" outlineLevel="0" collapsed="false">
      <c r="B84" s="17" t="n">
        <v>45748</v>
      </c>
      <c r="C84" s="18" t="s">
        <v>192</v>
      </c>
      <c r="D84" s="18" t="s">
        <v>106</v>
      </c>
      <c r="E84" s="18" t="s">
        <v>61</v>
      </c>
      <c r="F84" s="19" t="n">
        <v>4631.51</v>
      </c>
      <c r="G84" s="20" t="s">
        <v>185</v>
      </c>
    </row>
    <row r="85" customFormat="false" ht="15" hidden="false" customHeight="true" outlineLevel="0" collapsed="false">
      <c r="B85" s="17" t="n">
        <v>45748</v>
      </c>
      <c r="C85" s="18" t="s">
        <v>193</v>
      </c>
      <c r="D85" s="18" t="s">
        <v>106</v>
      </c>
      <c r="E85" s="18" t="s">
        <v>64</v>
      </c>
      <c r="F85" s="19" t="n">
        <v>269.82</v>
      </c>
      <c r="G85" s="20" t="s">
        <v>185</v>
      </c>
    </row>
    <row r="86" customFormat="false" ht="15" hidden="false" customHeight="true" outlineLevel="0" collapsed="false">
      <c r="B86" s="17" t="n">
        <v>45748</v>
      </c>
      <c r="C86" s="18" t="s">
        <v>194</v>
      </c>
      <c r="D86" s="18" t="s">
        <v>106</v>
      </c>
      <c r="E86" s="18" t="s">
        <v>62</v>
      </c>
      <c r="F86" s="19" t="n">
        <v>140</v>
      </c>
      <c r="G86" s="20" t="s">
        <v>185</v>
      </c>
    </row>
    <row r="87" customFormat="false" ht="15" hidden="false" customHeight="true" outlineLevel="0" collapsed="false">
      <c r="B87" s="17" t="n">
        <v>45748</v>
      </c>
      <c r="C87" s="18" t="s">
        <v>195</v>
      </c>
      <c r="D87" s="18" t="s">
        <v>106</v>
      </c>
      <c r="E87" s="18" t="s">
        <v>49</v>
      </c>
      <c r="F87" s="19" t="n">
        <v>2460</v>
      </c>
      <c r="G87" s="20" t="s">
        <v>185</v>
      </c>
    </row>
    <row r="88" customFormat="false" ht="15" hidden="false" customHeight="true" outlineLevel="0" collapsed="false">
      <c r="B88" s="17" t="n">
        <v>45748</v>
      </c>
      <c r="C88" s="18" t="s">
        <v>196</v>
      </c>
      <c r="D88" s="18" t="s">
        <v>106</v>
      </c>
      <c r="E88" s="18" t="s">
        <v>50</v>
      </c>
      <c r="F88" s="19" t="n">
        <v>3907.98</v>
      </c>
      <c r="G88" s="20" t="s">
        <v>185</v>
      </c>
    </row>
    <row r="89" customFormat="false" ht="15" hidden="false" customHeight="true" outlineLevel="0" collapsed="false">
      <c r="B89" s="17" t="n">
        <v>45748</v>
      </c>
      <c r="C89" s="18" t="s">
        <v>197</v>
      </c>
      <c r="D89" s="18" t="s">
        <v>106</v>
      </c>
      <c r="E89" s="18" t="s">
        <v>68</v>
      </c>
      <c r="F89" s="19" t="n">
        <v>290.1</v>
      </c>
      <c r="G89" s="20" t="s">
        <v>185</v>
      </c>
    </row>
    <row r="90" customFormat="false" ht="15" hidden="false" customHeight="true" outlineLevel="0" collapsed="false">
      <c r="B90" s="17" t="n">
        <v>45748</v>
      </c>
      <c r="C90" s="18" t="s">
        <v>198</v>
      </c>
      <c r="D90" s="18" t="s">
        <v>106</v>
      </c>
      <c r="E90" s="18" t="s">
        <v>69</v>
      </c>
      <c r="F90" s="19" t="n">
        <v>332.28</v>
      </c>
      <c r="G90" s="20" t="s">
        <v>185</v>
      </c>
    </row>
    <row r="91" customFormat="false" ht="15" hidden="false" customHeight="true" outlineLevel="0" collapsed="false">
      <c r="B91" s="17" t="n">
        <v>45748</v>
      </c>
      <c r="C91" s="18" t="s">
        <v>199</v>
      </c>
      <c r="D91" s="18" t="s">
        <v>106</v>
      </c>
      <c r="E91" s="18" t="s">
        <v>78</v>
      </c>
      <c r="F91" s="19" t="n">
        <v>630</v>
      </c>
      <c r="G91" s="20" t="s">
        <v>185</v>
      </c>
    </row>
    <row r="92" customFormat="false" ht="15" hidden="false" customHeight="true" outlineLevel="0" collapsed="false">
      <c r="B92" s="17" t="n">
        <v>45748</v>
      </c>
      <c r="C92" s="18" t="s">
        <v>200</v>
      </c>
      <c r="D92" s="18" t="s">
        <v>106</v>
      </c>
      <c r="E92" s="18" t="s">
        <v>42</v>
      </c>
      <c r="F92" s="19" t="n">
        <v>2170.05</v>
      </c>
      <c r="G92" s="20" t="s">
        <v>185</v>
      </c>
    </row>
    <row r="93" customFormat="false" ht="15" hidden="false" customHeight="true" outlineLevel="0" collapsed="false">
      <c r="B93" s="17" t="n">
        <v>45748</v>
      </c>
      <c r="C93" s="18" t="s">
        <v>201</v>
      </c>
      <c r="D93" s="18" t="s">
        <v>106</v>
      </c>
      <c r="E93" s="18" t="s">
        <v>76</v>
      </c>
      <c r="F93" s="19" t="n">
        <v>1100</v>
      </c>
      <c r="G93" s="20" t="s">
        <v>185</v>
      </c>
    </row>
    <row r="94" customFormat="false" ht="15" hidden="false" customHeight="true" outlineLevel="0" collapsed="false">
      <c r="B94" s="17" t="n">
        <v>45748</v>
      </c>
      <c r="C94" s="18" t="s">
        <v>202</v>
      </c>
      <c r="D94" s="18" t="s">
        <v>106</v>
      </c>
      <c r="E94" s="18" t="s">
        <v>97</v>
      </c>
      <c r="F94" s="19" t="n">
        <v>50000</v>
      </c>
      <c r="G94" s="20" t="s">
        <v>185</v>
      </c>
    </row>
    <row r="95" customFormat="false" ht="15" hidden="false" customHeight="true" outlineLevel="0" collapsed="false">
      <c r="B95" s="17" t="n">
        <v>45748</v>
      </c>
      <c r="C95" s="18" t="s">
        <v>203</v>
      </c>
      <c r="D95" s="18" t="s">
        <v>106</v>
      </c>
      <c r="E95" s="18" t="s">
        <v>45</v>
      </c>
      <c r="F95" s="19" t="n">
        <v>130.94</v>
      </c>
      <c r="G95" s="20" t="s">
        <v>185</v>
      </c>
    </row>
    <row r="96" customFormat="false" ht="15" hidden="false" customHeight="true" outlineLevel="0" collapsed="false">
      <c r="B96" s="17" t="n">
        <v>45748</v>
      </c>
      <c r="C96" s="18" t="s">
        <v>204</v>
      </c>
      <c r="D96" s="18" t="s">
        <v>106</v>
      </c>
      <c r="E96" s="18" t="s">
        <v>43</v>
      </c>
      <c r="F96" s="19" t="n">
        <v>1040.05</v>
      </c>
      <c r="G96" s="20" t="s">
        <v>185</v>
      </c>
    </row>
    <row r="97" customFormat="false" ht="15" hidden="false" customHeight="true" outlineLevel="0" collapsed="false">
      <c r="B97" s="17" t="n">
        <v>45748</v>
      </c>
      <c r="C97" s="18" t="s">
        <v>205</v>
      </c>
      <c r="D97" s="18" t="s">
        <v>106</v>
      </c>
      <c r="E97" s="18" t="s">
        <v>44</v>
      </c>
      <c r="F97" s="19" t="n">
        <v>110</v>
      </c>
      <c r="G97" s="20" t="s">
        <v>185</v>
      </c>
    </row>
    <row r="98" customFormat="false" ht="15" hidden="false" customHeight="true" outlineLevel="0" collapsed="false">
      <c r="B98" s="17" t="n">
        <v>45748</v>
      </c>
      <c r="C98" s="18" t="s">
        <v>206</v>
      </c>
      <c r="D98" s="18" t="s">
        <v>106</v>
      </c>
      <c r="E98" s="18" t="s">
        <v>48</v>
      </c>
      <c r="F98" s="19" t="n">
        <v>35</v>
      </c>
      <c r="G98" s="20" t="s">
        <v>185</v>
      </c>
    </row>
    <row r="99" customFormat="false" ht="15" hidden="false" customHeight="true" outlineLevel="0" collapsed="false">
      <c r="B99" s="17" t="n">
        <v>45748</v>
      </c>
      <c r="C99" s="18" t="s">
        <v>207</v>
      </c>
      <c r="D99" s="18" t="s">
        <v>106</v>
      </c>
      <c r="E99" s="18" t="s">
        <v>92</v>
      </c>
      <c r="F99" s="19" t="n">
        <v>150</v>
      </c>
      <c r="G99" s="20" t="s">
        <v>185</v>
      </c>
    </row>
    <row r="100" customFormat="false" ht="15" hidden="false" customHeight="true" outlineLevel="0" collapsed="false">
      <c r="B100" s="17" t="n">
        <v>45748</v>
      </c>
      <c r="C100" s="18" t="s">
        <v>208</v>
      </c>
      <c r="D100" s="18" t="s">
        <v>106</v>
      </c>
      <c r="E100" s="18" t="s">
        <v>46</v>
      </c>
      <c r="F100" s="19" t="n">
        <v>305</v>
      </c>
      <c r="G100" s="20" t="s">
        <v>185</v>
      </c>
    </row>
    <row r="101" customFormat="false" ht="15" hidden="false" customHeight="true" outlineLevel="0" collapsed="false">
      <c r="B101" s="17" t="n">
        <v>45748</v>
      </c>
      <c r="C101" s="18" t="s">
        <v>209</v>
      </c>
      <c r="D101" s="18" t="s">
        <v>106</v>
      </c>
      <c r="E101" s="18" t="s">
        <v>65</v>
      </c>
      <c r="F101" s="19" t="n">
        <v>263.22</v>
      </c>
      <c r="G101" s="20" t="s">
        <v>185</v>
      </c>
    </row>
    <row r="102" customFormat="false" ht="15" hidden="false" customHeight="true" outlineLevel="0" collapsed="false">
      <c r="B102" s="17" t="n">
        <v>45748</v>
      </c>
      <c r="C102" s="18" t="s">
        <v>210</v>
      </c>
      <c r="D102" s="18" t="s">
        <v>106</v>
      </c>
      <c r="E102" s="18" t="s">
        <v>91</v>
      </c>
      <c r="F102" s="19" t="n">
        <v>2448</v>
      </c>
      <c r="G102" s="20" t="s">
        <v>185</v>
      </c>
    </row>
    <row r="103" customFormat="false" ht="15" hidden="false" customHeight="true" outlineLevel="0" collapsed="false">
      <c r="B103" s="17" t="n">
        <v>45748</v>
      </c>
      <c r="C103" s="18" t="s">
        <v>211</v>
      </c>
      <c r="D103" s="18" t="s">
        <v>106</v>
      </c>
      <c r="E103" s="18" t="s">
        <v>60</v>
      </c>
      <c r="F103" s="19" t="n">
        <v>298.48</v>
      </c>
      <c r="G103" s="20" t="s">
        <v>185</v>
      </c>
    </row>
    <row r="104" customFormat="false" ht="15" hidden="false" customHeight="true" outlineLevel="0" collapsed="false">
      <c r="B104" s="17" t="n">
        <v>45748</v>
      </c>
      <c r="C104" s="18" t="s">
        <v>212</v>
      </c>
      <c r="D104" s="18" t="s">
        <v>106</v>
      </c>
      <c r="E104" s="18" t="s">
        <v>58</v>
      </c>
      <c r="F104" s="19" t="n">
        <v>17635.02</v>
      </c>
      <c r="G104" s="20" t="s">
        <v>185</v>
      </c>
    </row>
    <row r="105" customFormat="false" ht="15" hidden="false" customHeight="true" outlineLevel="0" collapsed="false">
      <c r="B105" s="17" t="n">
        <v>45748</v>
      </c>
      <c r="C105" s="18" t="s">
        <v>213</v>
      </c>
      <c r="D105" s="18" t="s">
        <v>106</v>
      </c>
      <c r="E105" s="18" t="s">
        <v>63</v>
      </c>
      <c r="F105" s="19" t="n">
        <v>12013.66</v>
      </c>
      <c r="G105" s="20" t="s">
        <v>185</v>
      </c>
    </row>
    <row r="106" customFormat="false" ht="15" hidden="false" customHeight="true" outlineLevel="0" collapsed="false">
      <c r="B106" s="17" t="n">
        <v>45748</v>
      </c>
      <c r="C106" s="18" t="s">
        <v>214</v>
      </c>
      <c r="D106" s="18" t="s">
        <v>106</v>
      </c>
      <c r="E106" s="18" t="s">
        <v>79</v>
      </c>
      <c r="F106" s="19" t="n">
        <v>1360</v>
      </c>
      <c r="G106" s="20" t="s">
        <v>185</v>
      </c>
    </row>
    <row r="107" customFormat="false" ht="15" hidden="false" customHeight="true" outlineLevel="0" collapsed="false">
      <c r="B107" s="17" t="n">
        <v>45748</v>
      </c>
      <c r="C107" s="18" t="s">
        <v>215</v>
      </c>
      <c r="D107" s="18" t="s">
        <v>106</v>
      </c>
      <c r="E107" s="18" t="s">
        <v>74</v>
      </c>
      <c r="F107" s="19" t="n">
        <v>786.86</v>
      </c>
      <c r="G107" s="20" t="s">
        <v>185</v>
      </c>
    </row>
    <row r="108" customFormat="false" ht="15" hidden="false" customHeight="true" outlineLevel="0" collapsed="false">
      <c r="B108" s="17" t="n">
        <v>45748</v>
      </c>
      <c r="C108" s="18" t="s">
        <v>216</v>
      </c>
      <c r="D108" s="18" t="s">
        <v>106</v>
      </c>
      <c r="E108" s="18" t="s">
        <v>24</v>
      </c>
      <c r="F108" s="19" t="n">
        <v>291300.58</v>
      </c>
      <c r="G108" s="20" t="s">
        <v>185</v>
      </c>
    </row>
    <row r="109" customFormat="false" ht="15" hidden="false" customHeight="true" outlineLevel="0" collapsed="false">
      <c r="B109" s="17" t="n">
        <v>45778</v>
      </c>
      <c r="C109" s="18" t="s">
        <v>217</v>
      </c>
      <c r="D109" s="18" t="s">
        <v>116</v>
      </c>
      <c r="E109" s="18" t="s">
        <v>22</v>
      </c>
      <c r="F109" s="19" t="n">
        <v>517822</v>
      </c>
      <c r="G109" s="20" t="s">
        <v>218</v>
      </c>
    </row>
    <row r="110" customFormat="false" ht="15" hidden="false" customHeight="true" outlineLevel="0" collapsed="false">
      <c r="B110" s="17" t="n">
        <v>45778</v>
      </c>
      <c r="C110" s="18" t="s">
        <v>219</v>
      </c>
      <c r="D110" s="18" t="s">
        <v>106</v>
      </c>
      <c r="E110" s="18" t="s">
        <v>77</v>
      </c>
      <c r="F110" s="19" t="n">
        <v>154.1</v>
      </c>
      <c r="G110" s="20" t="s">
        <v>218</v>
      </c>
    </row>
    <row r="111" customFormat="false" ht="15" hidden="false" customHeight="true" outlineLevel="0" collapsed="false">
      <c r="B111" s="17" t="n">
        <v>45778</v>
      </c>
      <c r="C111" s="18" t="s">
        <v>220</v>
      </c>
      <c r="D111" s="18" t="s">
        <v>106</v>
      </c>
      <c r="E111" s="18" t="s">
        <v>52</v>
      </c>
      <c r="F111" s="19" t="n">
        <v>5667.46</v>
      </c>
      <c r="G111" s="20" t="s">
        <v>218</v>
      </c>
    </row>
    <row r="112" customFormat="false" ht="15" hidden="false" customHeight="true" outlineLevel="0" collapsed="false">
      <c r="B112" s="17" t="n">
        <v>45778</v>
      </c>
      <c r="C112" s="18" t="s">
        <v>221</v>
      </c>
      <c r="D112" s="18" t="s">
        <v>106</v>
      </c>
      <c r="E112" s="18" t="s">
        <v>51</v>
      </c>
      <c r="F112" s="19" t="n">
        <v>27532.27</v>
      </c>
      <c r="G112" s="20" t="s">
        <v>218</v>
      </c>
    </row>
    <row r="113" customFormat="false" ht="15" hidden="false" customHeight="true" outlineLevel="0" collapsed="false">
      <c r="B113" s="17" t="n">
        <v>45778</v>
      </c>
      <c r="C113" s="18" t="s">
        <v>222</v>
      </c>
      <c r="D113" s="18" t="s">
        <v>106</v>
      </c>
      <c r="E113" s="18" t="s">
        <v>59</v>
      </c>
      <c r="F113" s="19" t="n">
        <v>1000</v>
      </c>
      <c r="G113" s="20" t="s">
        <v>218</v>
      </c>
    </row>
    <row r="114" customFormat="false" ht="15" hidden="false" customHeight="true" outlineLevel="0" collapsed="false">
      <c r="B114" s="17" t="n">
        <v>45778</v>
      </c>
      <c r="C114" s="18" t="s">
        <v>223</v>
      </c>
      <c r="D114" s="18" t="s">
        <v>106</v>
      </c>
      <c r="E114" s="18" t="s">
        <v>67</v>
      </c>
      <c r="F114" s="19" t="n">
        <v>130.86</v>
      </c>
      <c r="G114" s="20" t="s">
        <v>218</v>
      </c>
    </row>
    <row r="115" customFormat="false" ht="15" hidden="false" customHeight="true" outlineLevel="0" collapsed="false">
      <c r="B115" s="17" t="n">
        <v>45778</v>
      </c>
      <c r="C115" s="18" t="s">
        <v>224</v>
      </c>
      <c r="D115" s="18" t="s">
        <v>106</v>
      </c>
      <c r="E115" s="18" t="s">
        <v>71</v>
      </c>
      <c r="F115" s="19" t="n">
        <v>1360</v>
      </c>
      <c r="G115" s="20" t="s">
        <v>218</v>
      </c>
    </row>
    <row r="116" customFormat="false" ht="15" hidden="false" customHeight="true" outlineLevel="0" collapsed="false">
      <c r="B116" s="17" t="n">
        <v>45778</v>
      </c>
      <c r="C116" s="18" t="s">
        <v>225</v>
      </c>
      <c r="D116" s="18" t="s">
        <v>106</v>
      </c>
      <c r="E116" s="18" t="s">
        <v>61</v>
      </c>
      <c r="F116" s="19" t="n">
        <v>8005.04</v>
      </c>
      <c r="G116" s="20" t="s">
        <v>218</v>
      </c>
    </row>
    <row r="117" customFormat="false" ht="15" hidden="false" customHeight="true" outlineLevel="0" collapsed="false">
      <c r="B117" s="17" t="n">
        <v>45778</v>
      </c>
      <c r="C117" s="18" t="s">
        <v>226</v>
      </c>
      <c r="D117" s="18" t="s">
        <v>106</v>
      </c>
      <c r="E117" s="18" t="s">
        <v>64</v>
      </c>
      <c r="F117" s="19" t="n">
        <v>269.84</v>
      </c>
      <c r="G117" s="20" t="s">
        <v>218</v>
      </c>
    </row>
    <row r="118" customFormat="false" ht="15" hidden="false" customHeight="true" outlineLevel="0" collapsed="false">
      <c r="B118" s="17" t="n">
        <v>45778</v>
      </c>
      <c r="C118" s="18" t="s">
        <v>227</v>
      </c>
      <c r="D118" s="18" t="s">
        <v>106</v>
      </c>
      <c r="E118" s="18" t="s">
        <v>62</v>
      </c>
      <c r="F118" s="19" t="n">
        <v>140</v>
      </c>
      <c r="G118" s="20" t="s">
        <v>218</v>
      </c>
    </row>
    <row r="119" customFormat="false" ht="15" hidden="false" customHeight="true" outlineLevel="0" collapsed="false">
      <c r="B119" s="17" t="n">
        <v>45778</v>
      </c>
      <c r="C119" s="18" t="s">
        <v>228</v>
      </c>
      <c r="D119" s="18" t="s">
        <v>106</v>
      </c>
      <c r="E119" s="18" t="s">
        <v>49</v>
      </c>
      <c r="F119" s="19" t="n">
        <v>2740</v>
      </c>
      <c r="G119" s="20" t="s">
        <v>218</v>
      </c>
    </row>
    <row r="120" customFormat="false" ht="15" hidden="false" customHeight="true" outlineLevel="0" collapsed="false">
      <c r="B120" s="17" t="n">
        <v>45778</v>
      </c>
      <c r="C120" s="18" t="s">
        <v>229</v>
      </c>
      <c r="D120" s="18" t="s">
        <v>106</v>
      </c>
      <c r="E120" s="18" t="s">
        <v>50</v>
      </c>
      <c r="F120" s="19" t="n">
        <v>4520.65</v>
      </c>
      <c r="G120" s="20" t="s">
        <v>218</v>
      </c>
    </row>
    <row r="121" customFormat="false" ht="15" hidden="false" customHeight="true" outlineLevel="0" collapsed="false">
      <c r="B121" s="17" t="n">
        <v>45778</v>
      </c>
      <c r="C121" s="18" t="s">
        <v>230</v>
      </c>
      <c r="D121" s="18" t="s">
        <v>106</v>
      </c>
      <c r="E121" s="18" t="s">
        <v>68</v>
      </c>
      <c r="F121" s="19" t="n">
        <v>111.8</v>
      </c>
      <c r="G121" s="20" t="s">
        <v>218</v>
      </c>
    </row>
    <row r="122" customFormat="false" ht="15" hidden="false" customHeight="true" outlineLevel="0" collapsed="false">
      <c r="B122" s="17" t="n">
        <v>45778</v>
      </c>
      <c r="C122" s="18" t="s">
        <v>231</v>
      </c>
      <c r="D122" s="18" t="s">
        <v>106</v>
      </c>
      <c r="E122" s="18" t="s">
        <v>69</v>
      </c>
      <c r="F122" s="19" t="n">
        <v>332.28</v>
      </c>
      <c r="G122" s="20" t="s">
        <v>218</v>
      </c>
    </row>
    <row r="123" customFormat="false" ht="15" hidden="false" customHeight="true" outlineLevel="0" collapsed="false">
      <c r="B123" s="17" t="n">
        <v>45778</v>
      </c>
      <c r="C123" s="18" t="s">
        <v>232</v>
      </c>
      <c r="D123" s="18" t="s">
        <v>106</v>
      </c>
      <c r="E123" s="18" t="s">
        <v>78</v>
      </c>
      <c r="F123" s="19" t="n">
        <v>520</v>
      </c>
      <c r="G123" s="20" t="s">
        <v>218</v>
      </c>
    </row>
    <row r="124" customFormat="false" ht="15" hidden="false" customHeight="true" outlineLevel="0" collapsed="false">
      <c r="B124" s="17" t="n">
        <v>45778</v>
      </c>
      <c r="C124" s="18" t="s">
        <v>233</v>
      </c>
      <c r="D124" s="18" t="s">
        <v>106</v>
      </c>
      <c r="E124" s="18" t="s">
        <v>76</v>
      </c>
      <c r="F124" s="19" t="n">
        <v>1100</v>
      </c>
      <c r="G124" s="20" t="s">
        <v>218</v>
      </c>
    </row>
    <row r="125" customFormat="false" ht="15" hidden="false" customHeight="true" outlineLevel="0" collapsed="false">
      <c r="B125" s="17" t="n">
        <v>45778</v>
      </c>
      <c r="C125" s="18" t="s">
        <v>234</v>
      </c>
      <c r="D125" s="18" t="s">
        <v>106</v>
      </c>
      <c r="E125" s="18" t="s">
        <v>97</v>
      </c>
      <c r="F125" s="19" t="n">
        <v>50087.5</v>
      </c>
      <c r="G125" s="20" t="s">
        <v>218</v>
      </c>
    </row>
    <row r="126" customFormat="false" ht="15" hidden="false" customHeight="true" outlineLevel="0" collapsed="false">
      <c r="B126" s="17" t="n">
        <v>45778</v>
      </c>
      <c r="C126" s="18" t="s">
        <v>235</v>
      </c>
      <c r="D126" s="18" t="s">
        <v>106</v>
      </c>
      <c r="E126" s="18" t="s">
        <v>45</v>
      </c>
      <c r="F126" s="19" t="n">
        <v>163.13</v>
      </c>
      <c r="G126" s="20" t="s">
        <v>218</v>
      </c>
    </row>
    <row r="127" customFormat="false" ht="15" hidden="false" customHeight="true" outlineLevel="0" collapsed="false">
      <c r="B127" s="17" t="n">
        <v>45778</v>
      </c>
      <c r="C127" s="18" t="s">
        <v>236</v>
      </c>
      <c r="D127" s="18" t="s">
        <v>106</v>
      </c>
      <c r="E127" s="18" t="s">
        <v>43</v>
      </c>
      <c r="F127" s="19" t="n">
        <v>1396.51</v>
      </c>
      <c r="G127" s="20" t="s">
        <v>218</v>
      </c>
    </row>
    <row r="128" customFormat="false" ht="15" hidden="false" customHeight="true" outlineLevel="0" collapsed="false">
      <c r="B128" s="17" t="n">
        <v>45778</v>
      </c>
      <c r="C128" s="18" t="s">
        <v>237</v>
      </c>
      <c r="D128" s="18" t="s">
        <v>106</v>
      </c>
      <c r="E128" s="18" t="s">
        <v>44</v>
      </c>
      <c r="F128" s="19" t="n">
        <v>300</v>
      </c>
      <c r="G128" s="20" t="s">
        <v>218</v>
      </c>
    </row>
    <row r="129" customFormat="false" ht="15" hidden="false" customHeight="true" outlineLevel="0" collapsed="false">
      <c r="B129" s="17" t="n">
        <v>45778</v>
      </c>
      <c r="C129" s="18" t="s">
        <v>238</v>
      </c>
      <c r="D129" s="18" t="s">
        <v>106</v>
      </c>
      <c r="E129" s="18" t="s">
        <v>92</v>
      </c>
      <c r="F129" s="19" t="n">
        <v>70</v>
      </c>
      <c r="G129" s="20" t="s">
        <v>218</v>
      </c>
    </row>
    <row r="130" customFormat="false" ht="15" hidden="false" customHeight="true" outlineLevel="0" collapsed="false">
      <c r="B130" s="17" t="n">
        <v>45778</v>
      </c>
      <c r="C130" s="18" t="s">
        <v>239</v>
      </c>
      <c r="D130" s="18" t="s">
        <v>106</v>
      </c>
      <c r="E130" s="18" t="s">
        <v>46</v>
      </c>
      <c r="F130" s="19" t="n">
        <v>914</v>
      </c>
      <c r="G130" s="20" t="s">
        <v>218</v>
      </c>
    </row>
    <row r="131" customFormat="false" ht="15" hidden="false" customHeight="true" outlineLevel="0" collapsed="false">
      <c r="B131" s="17" t="n">
        <v>45778</v>
      </c>
      <c r="C131" s="18" t="s">
        <v>240</v>
      </c>
      <c r="D131" s="18" t="s">
        <v>106</v>
      </c>
      <c r="E131" s="18" t="s">
        <v>65</v>
      </c>
      <c r="F131" s="19" t="n">
        <v>243.22</v>
      </c>
      <c r="G131" s="20" t="s">
        <v>218</v>
      </c>
    </row>
    <row r="132" customFormat="false" ht="15" hidden="false" customHeight="true" outlineLevel="0" collapsed="false">
      <c r="B132" s="17" t="n">
        <v>45778</v>
      </c>
      <c r="C132" s="18" t="s">
        <v>241</v>
      </c>
      <c r="D132" s="18" t="s">
        <v>106</v>
      </c>
      <c r="E132" s="18" t="s">
        <v>60</v>
      </c>
      <c r="F132" s="19" t="n">
        <v>518.67</v>
      </c>
      <c r="G132" s="20" t="s">
        <v>218</v>
      </c>
    </row>
    <row r="133" customFormat="false" ht="15" hidden="false" customHeight="true" outlineLevel="0" collapsed="false">
      <c r="B133" s="17" t="n">
        <v>45778</v>
      </c>
      <c r="C133" s="18" t="s">
        <v>242</v>
      </c>
      <c r="D133" s="18" t="s">
        <v>106</v>
      </c>
      <c r="E133" s="18" t="s">
        <v>53</v>
      </c>
      <c r="F133" s="19" t="n">
        <v>49.9</v>
      </c>
      <c r="G133" s="20" t="s">
        <v>218</v>
      </c>
    </row>
    <row r="134" customFormat="false" ht="15" hidden="false" customHeight="true" outlineLevel="0" collapsed="false">
      <c r="B134" s="17" t="n">
        <v>45778</v>
      </c>
      <c r="C134" s="18" t="s">
        <v>243</v>
      </c>
      <c r="D134" s="18" t="s">
        <v>106</v>
      </c>
      <c r="E134" s="18" t="s">
        <v>58</v>
      </c>
      <c r="F134" s="19" t="n">
        <v>17660.87</v>
      </c>
      <c r="G134" s="20" t="s">
        <v>218</v>
      </c>
    </row>
    <row r="135" customFormat="false" ht="15" hidden="false" customHeight="true" outlineLevel="0" collapsed="false">
      <c r="B135" s="17" t="n">
        <v>45778</v>
      </c>
      <c r="C135" s="18" t="s">
        <v>244</v>
      </c>
      <c r="D135" s="18" t="s">
        <v>106</v>
      </c>
      <c r="E135" s="18" t="s">
        <v>63</v>
      </c>
      <c r="F135" s="19" t="n">
        <v>12013.66</v>
      </c>
      <c r="G135" s="20" t="s">
        <v>218</v>
      </c>
    </row>
    <row r="136" customFormat="false" ht="15" hidden="false" customHeight="true" outlineLevel="0" collapsed="false">
      <c r="B136" s="17" t="n">
        <v>45778</v>
      </c>
      <c r="C136" s="18" t="s">
        <v>245</v>
      </c>
      <c r="D136" s="18" t="s">
        <v>106</v>
      </c>
      <c r="E136" s="18" t="s">
        <v>79</v>
      </c>
      <c r="F136" s="19" t="n">
        <v>30.6</v>
      </c>
      <c r="G136" s="20" t="s">
        <v>218</v>
      </c>
    </row>
    <row r="137" customFormat="false" ht="15" hidden="false" customHeight="true" outlineLevel="0" collapsed="false">
      <c r="B137" s="17" t="n">
        <v>45778</v>
      </c>
      <c r="C137" s="18" t="s">
        <v>246</v>
      </c>
      <c r="D137" s="18" t="s">
        <v>106</v>
      </c>
      <c r="E137" s="18" t="s">
        <v>74</v>
      </c>
      <c r="F137" s="19" t="n">
        <v>38.99</v>
      </c>
      <c r="G137" s="20" t="s">
        <v>218</v>
      </c>
    </row>
    <row r="138" customFormat="false" ht="15" hidden="false" customHeight="true" outlineLevel="0" collapsed="false">
      <c r="B138" s="17" t="n">
        <v>45778</v>
      </c>
      <c r="C138" s="18" t="s">
        <v>247</v>
      </c>
      <c r="D138" s="18" t="s">
        <v>106</v>
      </c>
      <c r="E138" s="18" t="s">
        <v>90</v>
      </c>
      <c r="F138" s="19" t="n">
        <v>30</v>
      </c>
      <c r="G138" s="20" t="s">
        <v>218</v>
      </c>
    </row>
    <row r="139" customFormat="false" ht="15" hidden="false" customHeight="true" outlineLevel="0" collapsed="false">
      <c r="B139" s="17" t="n">
        <v>45778</v>
      </c>
      <c r="C139" s="18" t="s">
        <v>248</v>
      </c>
      <c r="D139" s="18" t="s">
        <v>106</v>
      </c>
      <c r="E139" s="18" t="s">
        <v>85</v>
      </c>
      <c r="F139" s="19" t="n">
        <v>1777.34</v>
      </c>
      <c r="G139" s="20" t="s">
        <v>218</v>
      </c>
    </row>
    <row r="140" customFormat="false" ht="15" hidden="false" customHeight="true" outlineLevel="0" collapsed="false">
      <c r="B140" s="17" t="n">
        <v>45778</v>
      </c>
      <c r="C140" s="18" t="s">
        <v>249</v>
      </c>
      <c r="D140" s="18" t="s">
        <v>106</v>
      </c>
      <c r="E140" s="18" t="s">
        <v>24</v>
      </c>
      <c r="F140" s="19" t="n">
        <v>343316.08</v>
      </c>
      <c r="G140" s="20" t="s">
        <v>218</v>
      </c>
    </row>
    <row r="141" customFormat="false" ht="15" hidden="false" customHeight="true" outlineLevel="0" collapsed="false">
      <c r="B141" s="17" t="n">
        <v>45809</v>
      </c>
      <c r="C141" s="18" t="s">
        <v>250</v>
      </c>
      <c r="D141" s="18" t="s">
        <v>116</v>
      </c>
      <c r="E141" s="18" t="s">
        <v>22</v>
      </c>
      <c r="F141" s="19" t="n">
        <v>511174.69</v>
      </c>
      <c r="G141" s="20" t="s">
        <v>251</v>
      </c>
    </row>
    <row r="142" customFormat="false" ht="15" hidden="false" customHeight="true" outlineLevel="0" collapsed="false">
      <c r="B142" s="17" t="n">
        <v>45809</v>
      </c>
      <c r="C142" s="18" t="s">
        <v>252</v>
      </c>
      <c r="D142" s="18" t="s">
        <v>106</v>
      </c>
      <c r="E142" s="18" t="s">
        <v>52</v>
      </c>
      <c r="F142" s="19" t="n">
        <v>5501</v>
      </c>
      <c r="G142" s="20" t="s">
        <v>251</v>
      </c>
    </row>
    <row r="143" customFormat="false" ht="15" hidden="false" customHeight="true" outlineLevel="0" collapsed="false">
      <c r="B143" s="17" t="n">
        <v>45809</v>
      </c>
      <c r="C143" s="18" t="s">
        <v>253</v>
      </c>
      <c r="D143" s="18" t="s">
        <v>106</v>
      </c>
      <c r="E143" s="18" t="s">
        <v>51</v>
      </c>
      <c r="F143" s="19" t="n">
        <v>26127.57</v>
      </c>
      <c r="G143" s="20" t="s">
        <v>251</v>
      </c>
    </row>
    <row r="144" customFormat="false" ht="15" hidden="false" customHeight="true" outlineLevel="0" collapsed="false">
      <c r="B144" s="17" t="n">
        <v>45809</v>
      </c>
      <c r="C144" s="18" t="s">
        <v>254</v>
      </c>
      <c r="D144" s="18" t="s">
        <v>106</v>
      </c>
      <c r="E144" s="18" t="s">
        <v>59</v>
      </c>
      <c r="F144" s="19" t="n">
        <v>1300</v>
      </c>
      <c r="G144" s="20" t="s">
        <v>251</v>
      </c>
    </row>
    <row r="145" customFormat="false" ht="15" hidden="false" customHeight="true" outlineLevel="0" collapsed="false">
      <c r="B145" s="17" t="n">
        <v>45809</v>
      </c>
      <c r="C145" s="18" t="s">
        <v>255</v>
      </c>
      <c r="D145" s="18" t="s">
        <v>106</v>
      </c>
      <c r="E145" s="18" t="s">
        <v>87</v>
      </c>
      <c r="F145" s="19" t="n">
        <v>2621</v>
      </c>
      <c r="G145" s="20" t="s">
        <v>251</v>
      </c>
    </row>
    <row r="146" customFormat="false" ht="15" hidden="false" customHeight="true" outlineLevel="0" collapsed="false">
      <c r="B146" s="17" t="n">
        <v>45809</v>
      </c>
      <c r="C146" s="18" t="s">
        <v>256</v>
      </c>
      <c r="D146" s="18" t="s">
        <v>106</v>
      </c>
      <c r="E146" s="18" t="s">
        <v>67</v>
      </c>
      <c r="F146" s="19" t="n">
        <v>318.21</v>
      </c>
      <c r="G146" s="20" t="s">
        <v>251</v>
      </c>
    </row>
    <row r="147" customFormat="false" ht="15" hidden="false" customHeight="true" outlineLevel="0" collapsed="false">
      <c r="B147" s="17" t="n">
        <v>45809</v>
      </c>
      <c r="C147" s="18" t="s">
        <v>257</v>
      </c>
      <c r="D147" s="18" t="s">
        <v>106</v>
      </c>
      <c r="E147" s="18" t="s">
        <v>61</v>
      </c>
      <c r="F147" s="19" t="n">
        <v>7505.06</v>
      </c>
      <c r="G147" s="20" t="s">
        <v>251</v>
      </c>
    </row>
    <row r="148" customFormat="false" ht="15" hidden="false" customHeight="true" outlineLevel="0" collapsed="false">
      <c r="B148" s="17" t="n">
        <v>45809</v>
      </c>
      <c r="C148" s="18" t="s">
        <v>258</v>
      </c>
      <c r="D148" s="18" t="s">
        <v>106</v>
      </c>
      <c r="E148" s="18" t="s">
        <v>64</v>
      </c>
      <c r="F148" s="19" t="n">
        <v>269.95</v>
      </c>
      <c r="G148" s="20" t="s">
        <v>251</v>
      </c>
    </row>
    <row r="149" customFormat="false" ht="15" hidden="false" customHeight="true" outlineLevel="0" collapsed="false">
      <c r="B149" s="17" t="n">
        <v>45809</v>
      </c>
      <c r="C149" s="18" t="s">
        <v>259</v>
      </c>
      <c r="D149" s="18" t="s">
        <v>106</v>
      </c>
      <c r="E149" s="18" t="s">
        <v>62</v>
      </c>
      <c r="F149" s="19" t="n">
        <v>140</v>
      </c>
      <c r="G149" s="20" t="s">
        <v>251</v>
      </c>
    </row>
    <row r="150" customFormat="false" ht="15" hidden="false" customHeight="true" outlineLevel="0" collapsed="false">
      <c r="B150" s="17" t="n">
        <v>45809</v>
      </c>
      <c r="C150" s="18" t="s">
        <v>260</v>
      </c>
      <c r="D150" s="18" t="s">
        <v>106</v>
      </c>
      <c r="E150" s="18" t="s">
        <v>49</v>
      </c>
      <c r="F150" s="19" t="n">
        <v>3820</v>
      </c>
      <c r="G150" s="20" t="s">
        <v>251</v>
      </c>
    </row>
    <row r="151" customFormat="false" ht="15" hidden="false" customHeight="true" outlineLevel="0" collapsed="false">
      <c r="B151" s="17" t="n">
        <v>45809</v>
      </c>
      <c r="C151" s="18" t="s">
        <v>261</v>
      </c>
      <c r="D151" s="18" t="s">
        <v>106</v>
      </c>
      <c r="E151" s="18" t="s">
        <v>50</v>
      </c>
      <c r="F151" s="19" t="n">
        <v>5617.27</v>
      </c>
      <c r="G151" s="20" t="s">
        <v>251</v>
      </c>
    </row>
    <row r="152" customFormat="false" ht="15" hidden="false" customHeight="true" outlineLevel="0" collapsed="false">
      <c r="B152" s="17" t="n">
        <v>45809</v>
      </c>
      <c r="C152" s="18" t="s">
        <v>262</v>
      </c>
      <c r="D152" s="18" t="s">
        <v>106</v>
      </c>
      <c r="E152" s="18" t="s">
        <v>68</v>
      </c>
      <c r="F152" s="19" t="n">
        <v>110.19</v>
      </c>
      <c r="G152" s="20" t="s">
        <v>251</v>
      </c>
    </row>
    <row r="153" customFormat="false" ht="15" hidden="false" customHeight="true" outlineLevel="0" collapsed="false">
      <c r="B153" s="17" t="n">
        <v>45809</v>
      </c>
      <c r="C153" s="18" t="s">
        <v>263</v>
      </c>
      <c r="D153" s="18" t="s">
        <v>106</v>
      </c>
      <c r="E153" s="18" t="s">
        <v>69</v>
      </c>
      <c r="F153" s="19" t="n">
        <v>332.28</v>
      </c>
      <c r="G153" s="20" t="s">
        <v>251</v>
      </c>
    </row>
    <row r="154" customFormat="false" ht="15" hidden="false" customHeight="true" outlineLevel="0" collapsed="false">
      <c r="B154" s="17" t="n">
        <v>45809</v>
      </c>
      <c r="C154" s="18" t="s">
        <v>264</v>
      </c>
      <c r="D154" s="18" t="s">
        <v>106</v>
      </c>
      <c r="E154" s="18" t="s">
        <v>83</v>
      </c>
      <c r="F154" s="19" t="n">
        <v>234.78</v>
      </c>
      <c r="G154" s="20" t="s">
        <v>251</v>
      </c>
    </row>
    <row r="155" customFormat="false" ht="15" hidden="false" customHeight="true" outlineLevel="0" collapsed="false">
      <c r="B155" s="17" t="n">
        <v>45809</v>
      </c>
      <c r="C155" s="18" t="s">
        <v>265</v>
      </c>
      <c r="D155" s="18" t="s">
        <v>106</v>
      </c>
      <c r="E155" s="18" t="s">
        <v>93</v>
      </c>
      <c r="F155" s="19" t="n">
        <v>658.07</v>
      </c>
      <c r="G155" s="20" t="s">
        <v>251</v>
      </c>
    </row>
    <row r="156" customFormat="false" ht="15" hidden="false" customHeight="true" outlineLevel="0" collapsed="false">
      <c r="B156" s="17" t="n">
        <v>45809</v>
      </c>
      <c r="C156" s="18" t="s">
        <v>266</v>
      </c>
      <c r="D156" s="18" t="s">
        <v>106</v>
      </c>
      <c r="E156" s="18" t="s">
        <v>76</v>
      </c>
      <c r="F156" s="19" t="n">
        <v>1100</v>
      </c>
      <c r="G156" s="20" t="s">
        <v>251</v>
      </c>
    </row>
    <row r="157" customFormat="false" ht="15" hidden="false" customHeight="true" outlineLevel="0" collapsed="false">
      <c r="B157" s="17" t="n">
        <v>45809</v>
      </c>
      <c r="C157" s="18" t="s">
        <v>267</v>
      </c>
      <c r="D157" s="18" t="s">
        <v>106</v>
      </c>
      <c r="E157" s="18" t="s">
        <v>97</v>
      </c>
      <c r="F157" s="19" t="n">
        <v>50000</v>
      </c>
      <c r="G157" s="20" t="s">
        <v>251</v>
      </c>
    </row>
    <row r="158" customFormat="false" ht="15" hidden="false" customHeight="true" outlineLevel="0" collapsed="false">
      <c r="B158" s="17" t="n">
        <v>45809</v>
      </c>
      <c r="C158" s="18" t="s">
        <v>268</v>
      </c>
      <c r="D158" s="18" t="s">
        <v>106</v>
      </c>
      <c r="E158" s="18" t="s">
        <v>45</v>
      </c>
      <c r="F158" s="19" t="n">
        <v>94.06</v>
      </c>
      <c r="G158" s="20" t="s">
        <v>251</v>
      </c>
    </row>
    <row r="159" customFormat="false" ht="15" hidden="false" customHeight="true" outlineLevel="0" collapsed="false">
      <c r="B159" s="17" t="n">
        <v>45809</v>
      </c>
      <c r="C159" s="18" t="s">
        <v>269</v>
      </c>
      <c r="D159" s="18" t="s">
        <v>106</v>
      </c>
      <c r="E159" s="18" t="s">
        <v>43</v>
      </c>
      <c r="F159" s="19" t="n">
        <v>1719.58</v>
      </c>
      <c r="G159" s="20" t="s">
        <v>251</v>
      </c>
    </row>
    <row r="160" customFormat="false" ht="15" hidden="false" customHeight="true" outlineLevel="0" collapsed="false">
      <c r="B160" s="17" t="n">
        <v>45809</v>
      </c>
      <c r="C160" s="18" t="s">
        <v>270</v>
      </c>
      <c r="D160" s="18" t="s">
        <v>106</v>
      </c>
      <c r="E160" s="18" t="s">
        <v>46</v>
      </c>
      <c r="F160" s="19" t="n">
        <v>50</v>
      </c>
      <c r="G160" s="20" t="s">
        <v>251</v>
      </c>
    </row>
    <row r="161" customFormat="false" ht="15" hidden="false" customHeight="true" outlineLevel="0" collapsed="false">
      <c r="B161" s="17" t="n">
        <v>45809</v>
      </c>
      <c r="C161" s="18" t="s">
        <v>271</v>
      </c>
      <c r="D161" s="18" t="s">
        <v>106</v>
      </c>
      <c r="E161" s="18" t="s">
        <v>65</v>
      </c>
      <c r="F161" s="19" t="n">
        <v>240.64</v>
      </c>
      <c r="G161" s="20" t="s">
        <v>251</v>
      </c>
    </row>
    <row r="162" customFormat="false" ht="15" hidden="false" customHeight="true" outlineLevel="0" collapsed="false">
      <c r="B162" s="17" t="n">
        <v>45809</v>
      </c>
      <c r="C162" s="18" t="s">
        <v>272</v>
      </c>
      <c r="D162" s="18" t="s">
        <v>106</v>
      </c>
      <c r="E162" s="18" t="s">
        <v>60</v>
      </c>
      <c r="F162" s="19" t="n">
        <v>387.32</v>
      </c>
      <c r="G162" s="20" t="s">
        <v>251</v>
      </c>
    </row>
    <row r="163" customFormat="false" ht="15" hidden="false" customHeight="true" outlineLevel="0" collapsed="false">
      <c r="B163" s="17" t="n">
        <v>45809</v>
      </c>
      <c r="C163" s="18" t="s">
        <v>273</v>
      </c>
      <c r="D163" s="18" t="s">
        <v>106</v>
      </c>
      <c r="E163" s="18" t="s">
        <v>53</v>
      </c>
      <c r="F163" s="19" t="n">
        <v>697.87</v>
      </c>
      <c r="G163" s="20" t="s">
        <v>251</v>
      </c>
    </row>
    <row r="164" customFormat="false" ht="15" hidden="false" customHeight="true" outlineLevel="0" collapsed="false">
      <c r="B164" s="17" t="n">
        <v>45809</v>
      </c>
      <c r="C164" s="18" t="s">
        <v>274</v>
      </c>
      <c r="D164" s="18" t="s">
        <v>106</v>
      </c>
      <c r="E164" s="18" t="s">
        <v>58</v>
      </c>
      <c r="F164" s="19" t="n">
        <v>33097.78</v>
      </c>
      <c r="G164" s="20" t="s">
        <v>251</v>
      </c>
    </row>
    <row r="165" customFormat="false" ht="15" hidden="false" customHeight="true" outlineLevel="0" collapsed="false">
      <c r="B165" s="17" t="n">
        <v>45809</v>
      </c>
      <c r="C165" s="18" t="s">
        <v>275</v>
      </c>
      <c r="D165" s="18" t="s">
        <v>106</v>
      </c>
      <c r="E165" s="18" t="s">
        <v>63</v>
      </c>
      <c r="F165" s="19" t="n">
        <v>12013.66</v>
      </c>
      <c r="G165" s="20" t="s">
        <v>251</v>
      </c>
    </row>
    <row r="166" customFormat="false" ht="15" hidden="false" customHeight="true" outlineLevel="0" collapsed="false">
      <c r="B166" s="17" t="n">
        <v>45809</v>
      </c>
      <c r="C166" s="18" t="s">
        <v>276</v>
      </c>
      <c r="D166" s="18" t="s">
        <v>106</v>
      </c>
      <c r="E166" s="18" t="s">
        <v>79</v>
      </c>
      <c r="F166" s="19" t="n">
        <v>30.6</v>
      </c>
      <c r="G166" s="20" t="s">
        <v>251</v>
      </c>
    </row>
    <row r="167" customFormat="false" ht="15" hidden="false" customHeight="true" outlineLevel="0" collapsed="false">
      <c r="B167" s="17" t="n">
        <v>45809</v>
      </c>
      <c r="C167" s="18" t="s">
        <v>277</v>
      </c>
      <c r="D167" s="18" t="s">
        <v>106</v>
      </c>
      <c r="E167" s="18" t="s">
        <v>74</v>
      </c>
      <c r="F167" s="19" t="n">
        <v>369.17</v>
      </c>
      <c r="G167" s="20" t="s">
        <v>251</v>
      </c>
    </row>
    <row r="168" customFormat="false" ht="15" hidden="false" customHeight="true" outlineLevel="0" collapsed="false">
      <c r="B168" s="17" t="n">
        <v>45809</v>
      </c>
      <c r="C168" s="18" t="s">
        <v>278</v>
      </c>
      <c r="D168" s="18" t="s">
        <v>106</v>
      </c>
      <c r="E168" s="18" t="s">
        <v>90</v>
      </c>
      <c r="F168" s="19" t="n">
        <v>1000</v>
      </c>
      <c r="G168" s="20" t="s">
        <v>251</v>
      </c>
    </row>
    <row r="169" customFormat="false" ht="15" hidden="false" customHeight="true" outlineLevel="0" collapsed="false">
      <c r="B169" s="17" t="n">
        <v>45809</v>
      </c>
      <c r="C169" s="18" t="s">
        <v>279</v>
      </c>
      <c r="D169" s="18" t="s">
        <v>106</v>
      </c>
      <c r="E169" s="18" t="s">
        <v>85</v>
      </c>
      <c r="F169" s="19" t="n">
        <v>1885.32</v>
      </c>
      <c r="G169" s="20" t="s">
        <v>251</v>
      </c>
    </row>
    <row r="170" customFormat="false" ht="15" hidden="false" customHeight="true" outlineLevel="0" collapsed="false">
      <c r="B170" s="17" t="n">
        <v>45809</v>
      </c>
      <c r="C170" s="18" t="s">
        <v>280</v>
      </c>
      <c r="D170" s="18" t="s">
        <v>106</v>
      </c>
      <c r="E170" s="18" t="s">
        <v>94</v>
      </c>
      <c r="F170" s="19" t="n">
        <v>800</v>
      </c>
      <c r="G170" s="20" t="s">
        <v>251</v>
      </c>
    </row>
    <row r="171" customFormat="false" ht="15" hidden="false" customHeight="true" outlineLevel="0" collapsed="false">
      <c r="B171" s="17" t="n">
        <v>45809</v>
      </c>
      <c r="C171" s="18" t="s">
        <v>281</v>
      </c>
      <c r="D171" s="18" t="s">
        <v>106</v>
      </c>
      <c r="E171" s="18" t="s">
        <v>47</v>
      </c>
      <c r="F171" s="19" t="n">
        <v>675.95</v>
      </c>
      <c r="G171" s="20" t="s">
        <v>251</v>
      </c>
    </row>
    <row r="172" customFormat="false" ht="15" hidden="false" customHeight="true" outlineLevel="0" collapsed="false">
      <c r="B172" s="17" t="n">
        <v>45809</v>
      </c>
      <c r="C172" s="18" t="s">
        <v>282</v>
      </c>
      <c r="D172" s="18" t="s">
        <v>106</v>
      </c>
      <c r="E172" s="18" t="s">
        <v>24</v>
      </c>
      <c r="F172" s="19" t="n">
        <v>402450.79</v>
      </c>
      <c r="G172" s="20" t="s">
        <v>251</v>
      </c>
    </row>
    <row r="173" customFormat="false" ht="15" hidden="false" customHeight="true" outlineLevel="0" collapsed="false">
      <c r="B173" s="17" t="n">
        <v>45839</v>
      </c>
      <c r="C173" s="18" t="s">
        <v>283</v>
      </c>
      <c r="D173" s="18" t="s">
        <v>116</v>
      </c>
      <c r="E173" s="18" t="s">
        <v>22</v>
      </c>
      <c r="F173" s="19" t="n">
        <v>525810.61</v>
      </c>
      <c r="G173" s="20" t="s">
        <v>284</v>
      </c>
    </row>
    <row r="174" customFormat="false" ht="15" hidden="false" customHeight="true" outlineLevel="0" collapsed="false">
      <c r="B174" s="17" t="n">
        <v>45839</v>
      </c>
      <c r="C174" s="18" t="s">
        <v>285</v>
      </c>
      <c r="D174" s="18" t="s">
        <v>106</v>
      </c>
      <c r="E174" s="18" t="s">
        <v>77</v>
      </c>
      <c r="F174" s="19" t="n">
        <v>4100</v>
      </c>
      <c r="G174" s="20" t="s">
        <v>284</v>
      </c>
    </row>
    <row r="175" customFormat="false" ht="15" hidden="false" customHeight="true" outlineLevel="0" collapsed="false">
      <c r="B175" s="17" t="n">
        <v>45839</v>
      </c>
      <c r="C175" s="18" t="s">
        <v>286</v>
      </c>
      <c r="D175" s="18" t="s">
        <v>106</v>
      </c>
      <c r="E175" s="18" t="s">
        <v>52</v>
      </c>
      <c r="F175" s="19" t="n">
        <v>5618.94</v>
      </c>
      <c r="G175" s="20" t="s">
        <v>284</v>
      </c>
    </row>
    <row r="176" customFormat="false" ht="15" hidden="false" customHeight="true" outlineLevel="0" collapsed="false">
      <c r="B176" s="17" t="n">
        <v>45839</v>
      </c>
      <c r="C176" s="18" t="s">
        <v>287</v>
      </c>
      <c r="D176" s="18" t="s">
        <v>106</v>
      </c>
      <c r="E176" s="18" t="s">
        <v>51</v>
      </c>
      <c r="F176" s="19" t="n">
        <v>32472.03</v>
      </c>
      <c r="G176" s="20" t="s">
        <v>284</v>
      </c>
    </row>
    <row r="177" customFormat="false" ht="15" hidden="false" customHeight="true" outlineLevel="0" collapsed="false">
      <c r="B177" s="17" t="n">
        <v>45839</v>
      </c>
      <c r="C177" s="18" t="s">
        <v>288</v>
      </c>
      <c r="D177" s="18" t="s">
        <v>106</v>
      </c>
      <c r="E177" s="18" t="s">
        <v>59</v>
      </c>
      <c r="F177" s="19" t="n">
        <v>1650</v>
      </c>
      <c r="G177" s="20" t="s">
        <v>284</v>
      </c>
    </row>
    <row r="178" customFormat="false" ht="15" hidden="false" customHeight="true" outlineLevel="0" collapsed="false">
      <c r="B178" s="17" t="n">
        <v>45839</v>
      </c>
      <c r="C178" s="18" t="s">
        <v>289</v>
      </c>
      <c r="D178" s="18" t="s">
        <v>106</v>
      </c>
      <c r="E178" s="18" t="s">
        <v>67</v>
      </c>
      <c r="F178" s="19" t="n">
        <v>30</v>
      </c>
      <c r="G178" s="20" t="s">
        <v>284</v>
      </c>
    </row>
    <row r="179" customFormat="false" ht="15" hidden="false" customHeight="true" outlineLevel="0" collapsed="false">
      <c r="B179" s="17" t="n">
        <v>45839</v>
      </c>
      <c r="C179" s="18" t="s">
        <v>290</v>
      </c>
      <c r="D179" s="18" t="s">
        <v>106</v>
      </c>
      <c r="E179" s="18" t="s">
        <v>61</v>
      </c>
      <c r="F179" s="19" t="n">
        <v>2633.53</v>
      </c>
      <c r="G179" s="20" t="s">
        <v>284</v>
      </c>
    </row>
    <row r="180" customFormat="false" ht="15" hidden="false" customHeight="true" outlineLevel="0" collapsed="false">
      <c r="B180" s="17" t="n">
        <v>45839</v>
      </c>
      <c r="C180" s="18" t="s">
        <v>291</v>
      </c>
      <c r="D180" s="18" t="s">
        <v>106</v>
      </c>
      <c r="E180" s="18" t="s">
        <v>64</v>
      </c>
      <c r="F180" s="19" t="n">
        <v>270.22</v>
      </c>
      <c r="G180" s="20" t="s">
        <v>284</v>
      </c>
    </row>
    <row r="181" customFormat="false" ht="15" hidden="false" customHeight="true" outlineLevel="0" collapsed="false">
      <c r="B181" s="17" t="n">
        <v>45839</v>
      </c>
      <c r="C181" s="18" t="s">
        <v>292</v>
      </c>
      <c r="D181" s="18" t="s">
        <v>106</v>
      </c>
      <c r="E181" s="18" t="s">
        <v>62</v>
      </c>
      <c r="F181" s="19" t="n">
        <v>140</v>
      </c>
      <c r="G181" s="20" t="s">
        <v>284</v>
      </c>
    </row>
    <row r="182" customFormat="false" ht="15" hidden="false" customHeight="true" outlineLevel="0" collapsed="false">
      <c r="B182" s="17" t="n">
        <v>45839</v>
      </c>
      <c r="C182" s="18" t="s">
        <v>293</v>
      </c>
      <c r="D182" s="18" t="s">
        <v>106</v>
      </c>
      <c r="E182" s="18" t="s">
        <v>49</v>
      </c>
      <c r="F182" s="19" t="n">
        <v>3160</v>
      </c>
      <c r="G182" s="20" t="s">
        <v>284</v>
      </c>
    </row>
    <row r="183" customFormat="false" ht="15" hidden="false" customHeight="true" outlineLevel="0" collapsed="false">
      <c r="B183" s="17" t="n">
        <v>45839</v>
      </c>
      <c r="C183" s="18" t="s">
        <v>294</v>
      </c>
      <c r="D183" s="18" t="s">
        <v>106</v>
      </c>
      <c r="E183" s="18" t="s">
        <v>50</v>
      </c>
      <c r="F183" s="19" t="n">
        <v>3941.68</v>
      </c>
      <c r="G183" s="20" t="s">
        <v>284</v>
      </c>
    </row>
    <row r="184" customFormat="false" ht="15" hidden="false" customHeight="true" outlineLevel="0" collapsed="false">
      <c r="B184" s="17" t="n">
        <v>45839</v>
      </c>
      <c r="C184" s="18" t="s">
        <v>295</v>
      </c>
      <c r="D184" s="18" t="s">
        <v>106</v>
      </c>
      <c r="E184" s="18" t="s">
        <v>68</v>
      </c>
      <c r="F184" s="19" t="n">
        <v>113</v>
      </c>
      <c r="G184" s="20" t="s">
        <v>284</v>
      </c>
    </row>
    <row r="185" customFormat="false" ht="15" hidden="false" customHeight="true" outlineLevel="0" collapsed="false">
      <c r="B185" s="17" t="n">
        <v>45839</v>
      </c>
      <c r="C185" s="18" t="s">
        <v>296</v>
      </c>
      <c r="D185" s="18" t="s">
        <v>106</v>
      </c>
      <c r="E185" s="18" t="s">
        <v>69</v>
      </c>
      <c r="F185" s="19" t="n">
        <v>327</v>
      </c>
      <c r="G185" s="20" t="s">
        <v>284</v>
      </c>
    </row>
    <row r="186" customFormat="false" ht="15" hidden="false" customHeight="true" outlineLevel="0" collapsed="false">
      <c r="B186" s="17" t="n">
        <v>45839</v>
      </c>
      <c r="C186" s="18" t="s">
        <v>297</v>
      </c>
      <c r="D186" s="18" t="s">
        <v>106</v>
      </c>
      <c r="E186" s="18" t="s">
        <v>76</v>
      </c>
      <c r="F186" s="19" t="n">
        <v>1100</v>
      </c>
      <c r="G186" s="20" t="s">
        <v>284</v>
      </c>
    </row>
    <row r="187" customFormat="false" ht="15" hidden="false" customHeight="true" outlineLevel="0" collapsed="false">
      <c r="B187" s="17" t="n">
        <v>45839</v>
      </c>
      <c r="C187" s="18" t="s">
        <v>298</v>
      </c>
      <c r="D187" s="18" t="s">
        <v>106</v>
      </c>
      <c r="E187" s="18" t="s">
        <v>97</v>
      </c>
      <c r="F187" s="19" t="n">
        <v>50000</v>
      </c>
      <c r="G187" s="20" t="s">
        <v>284</v>
      </c>
    </row>
    <row r="188" customFormat="false" ht="15" hidden="false" customHeight="true" outlineLevel="0" collapsed="false">
      <c r="B188" s="17" t="n">
        <v>45839</v>
      </c>
      <c r="C188" s="18" t="s">
        <v>299</v>
      </c>
      <c r="D188" s="18" t="s">
        <v>106</v>
      </c>
      <c r="E188" s="18" t="s">
        <v>45</v>
      </c>
      <c r="F188" s="19" t="n">
        <v>242.3</v>
      </c>
      <c r="G188" s="20" t="s">
        <v>284</v>
      </c>
    </row>
    <row r="189" customFormat="false" ht="15" hidden="false" customHeight="true" outlineLevel="0" collapsed="false">
      <c r="B189" s="17" t="n">
        <v>45839</v>
      </c>
      <c r="C189" s="18" t="s">
        <v>300</v>
      </c>
      <c r="D189" s="18" t="s">
        <v>106</v>
      </c>
      <c r="E189" s="18" t="s">
        <v>43</v>
      </c>
      <c r="F189" s="19" t="n">
        <v>1557.11</v>
      </c>
      <c r="G189" s="20" t="s">
        <v>284</v>
      </c>
    </row>
    <row r="190" customFormat="false" ht="15" hidden="false" customHeight="true" outlineLevel="0" collapsed="false">
      <c r="B190" s="17" t="n">
        <v>45839</v>
      </c>
      <c r="C190" s="18" t="s">
        <v>301</v>
      </c>
      <c r="D190" s="18" t="s">
        <v>106</v>
      </c>
      <c r="E190" s="18" t="s">
        <v>44</v>
      </c>
      <c r="F190" s="19" t="n">
        <v>915</v>
      </c>
      <c r="G190" s="20" t="s">
        <v>284</v>
      </c>
    </row>
    <row r="191" customFormat="false" ht="15" hidden="false" customHeight="true" outlineLevel="0" collapsed="false">
      <c r="B191" s="17" t="n">
        <v>45839</v>
      </c>
      <c r="C191" s="18" t="s">
        <v>302</v>
      </c>
      <c r="D191" s="18" t="s">
        <v>106</v>
      </c>
      <c r="E191" s="18" t="s">
        <v>48</v>
      </c>
      <c r="F191" s="19" t="n">
        <v>30</v>
      </c>
      <c r="G191" s="20" t="s">
        <v>284</v>
      </c>
    </row>
    <row r="192" customFormat="false" ht="15" hidden="false" customHeight="true" outlineLevel="0" collapsed="false">
      <c r="B192" s="17" t="n">
        <v>45839</v>
      </c>
      <c r="C192" s="18" t="s">
        <v>303</v>
      </c>
      <c r="D192" s="18" t="s">
        <v>106</v>
      </c>
      <c r="E192" s="18" t="s">
        <v>46</v>
      </c>
      <c r="F192" s="19" t="n">
        <v>728</v>
      </c>
      <c r="G192" s="20" t="s">
        <v>284</v>
      </c>
    </row>
    <row r="193" customFormat="false" ht="15" hidden="false" customHeight="true" outlineLevel="0" collapsed="false">
      <c r="B193" s="17" t="n">
        <v>45839</v>
      </c>
      <c r="C193" s="18" t="s">
        <v>304</v>
      </c>
      <c r="D193" s="18" t="s">
        <v>106</v>
      </c>
      <c r="E193" s="18" t="s">
        <v>65</v>
      </c>
      <c r="F193" s="19" t="n">
        <v>252.72</v>
      </c>
      <c r="G193" s="20" t="s">
        <v>284</v>
      </c>
    </row>
    <row r="194" customFormat="false" ht="15" hidden="false" customHeight="true" outlineLevel="0" collapsed="false">
      <c r="B194" s="17" t="n">
        <v>45839</v>
      </c>
      <c r="C194" s="18" t="s">
        <v>305</v>
      </c>
      <c r="D194" s="18" t="s">
        <v>106</v>
      </c>
      <c r="E194" s="18" t="s">
        <v>60</v>
      </c>
      <c r="F194" s="19" t="n">
        <v>327.05</v>
      </c>
      <c r="G194" s="20" t="s">
        <v>284</v>
      </c>
    </row>
    <row r="195" customFormat="false" ht="15" hidden="false" customHeight="true" outlineLevel="0" collapsed="false">
      <c r="B195" s="17" t="n">
        <v>45839</v>
      </c>
      <c r="C195" s="18" t="s">
        <v>306</v>
      </c>
      <c r="D195" s="18" t="s">
        <v>106</v>
      </c>
      <c r="E195" s="18" t="s">
        <v>53</v>
      </c>
      <c r="F195" s="19" t="n">
        <v>49.9</v>
      </c>
      <c r="G195" s="20" t="s">
        <v>284</v>
      </c>
    </row>
    <row r="196" customFormat="false" ht="15" hidden="false" customHeight="true" outlineLevel="0" collapsed="false">
      <c r="B196" s="17" t="n">
        <v>45839</v>
      </c>
      <c r="C196" s="18" t="s">
        <v>307</v>
      </c>
      <c r="D196" s="18" t="s">
        <v>106</v>
      </c>
      <c r="E196" s="18" t="s">
        <v>58</v>
      </c>
      <c r="F196" s="19" t="n">
        <v>75426.78</v>
      </c>
      <c r="G196" s="20" t="s">
        <v>284</v>
      </c>
    </row>
    <row r="197" customFormat="false" ht="15" hidden="false" customHeight="true" outlineLevel="0" collapsed="false">
      <c r="B197" s="17" t="n">
        <v>45839</v>
      </c>
      <c r="C197" s="18" t="s">
        <v>308</v>
      </c>
      <c r="D197" s="18" t="s">
        <v>106</v>
      </c>
      <c r="E197" s="18" t="s">
        <v>63</v>
      </c>
      <c r="F197" s="19" t="n">
        <v>12013.66</v>
      </c>
      <c r="G197" s="20" t="s">
        <v>284</v>
      </c>
    </row>
    <row r="198" customFormat="false" ht="15" hidden="false" customHeight="true" outlineLevel="0" collapsed="false">
      <c r="B198" s="17" t="n">
        <v>45839</v>
      </c>
      <c r="C198" s="18" t="s">
        <v>309</v>
      </c>
      <c r="D198" s="18" t="s">
        <v>106</v>
      </c>
      <c r="E198" s="18" t="s">
        <v>47</v>
      </c>
      <c r="F198" s="19" t="n">
        <v>675.95</v>
      </c>
      <c r="G198" s="20" t="s">
        <v>284</v>
      </c>
    </row>
    <row r="199" customFormat="false" ht="15" hidden="false" customHeight="true" outlineLevel="0" collapsed="false">
      <c r="B199" s="17" t="n">
        <v>45839</v>
      </c>
      <c r="C199" s="18" t="s">
        <v>310</v>
      </c>
      <c r="D199" s="18" t="s">
        <v>106</v>
      </c>
      <c r="E199" s="18" t="s">
        <v>54</v>
      </c>
      <c r="F199" s="19" t="n">
        <v>957</v>
      </c>
      <c r="G199" s="20" t="s">
        <v>284</v>
      </c>
    </row>
    <row r="200" customFormat="false" ht="15" hidden="false" customHeight="true" outlineLevel="0" collapsed="false">
      <c r="B200" s="17" t="n">
        <v>45839</v>
      </c>
      <c r="C200" s="18" t="s">
        <v>311</v>
      </c>
      <c r="D200" s="18" t="s">
        <v>106</v>
      </c>
      <c r="E200" s="18" t="s">
        <v>55</v>
      </c>
      <c r="F200" s="19" t="n">
        <v>3385.22</v>
      </c>
      <c r="G200" s="20" t="s">
        <v>284</v>
      </c>
    </row>
    <row r="201" customFormat="false" ht="15" hidden="false" customHeight="true" outlineLevel="0" collapsed="false">
      <c r="B201" s="17" t="n">
        <v>45839</v>
      </c>
      <c r="C201" s="18" t="s">
        <v>312</v>
      </c>
      <c r="D201" s="18" t="s">
        <v>106</v>
      </c>
      <c r="E201" s="18" t="s">
        <v>56</v>
      </c>
      <c r="F201" s="19" t="n">
        <v>500</v>
      </c>
      <c r="G201" s="20" t="s">
        <v>284</v>
      </c>
    </row>
    <row r="202" customFormat="false" ht="15" hidden="false" customHeight="true" outlineLevel="0" collapsed="false">
      <c r="B202" s="17" t="n">
        <v>45839</v>
      </c>
      <c r="C202" s="18" t="s">
        <v>313</v>
      </c>
      <c r="D202" s="18" t="s">
        <v>106</v>
      </c>
      <c r="E202" s="18" t="s">
        <v>57</v>
      </c>
      <c r="F202" s="19" t="n">
        <v>157.75</v>
      </c>
      <c r="G202" s="20" t="s">
        <v>284</v>
      </c>
    </row>
    <row r="203" customFormat="false" ht="15" hidden="false" customHeight="true" outlineLevel="0" collapsed="false">
      <c r="B203" s="17" t="n">
        <v>45839</v>
      </c>
      <c r="C203" s="18" t="s">
        <v>314</v>
      </c>
      <c r="D203" s="18" t="s">
        <v>106</v>
      </c>
      <c r="E203" s="18" t="s">
        <v>70</v>
      </c>
      <c r="F203" s="19" t="n">
        <v>6250</v>
      </c>
      <c r="G203" s="20" t="s">
        <v>284</v>
      </c>
    </row>
    <row r="204" customFormat="false" ht="15" hidden="false" customHeight="true" outlineLevel="0" collapsed="false">
      <c r="B204" s="17" t="n">
        <v>45839</v>
      </c>
      <c r="C204" s="18" t="s">
        <v>315</v>
      </c>
      <c r="D204" s="18" t="s">
        <v>106</v>
      </c>
      <c r="E204" s="18" t="s">
        <v>66</v>
      </c>
      <c r="F204" s="19" t="n">
        <v>15678</v>
      </c>
      <c r="G204" s="20" t="s">
        <v>284</v>
      </c>
    </row>
    <row r="205" customFormat="false" ht="15" hidden="false" customHeight="true" outlineLevel="0" collapsed="false">
      <c r="B205" s="17" t="n">
        <v>45839</v>
      </c>
      <c r="C205" s="18" t="s">
        <v>316</v>
      </c>
      <c r="D205" s="18" t="s">
        <v>106</v>
      </c>
      <c r="E205" s="18" t="s">
        <v>24</v>
      </c>
      <c r="F205" s="19" t="n">
        <v>316241.94</v>
      </c>
      <c r="G205" s="20" t="s">
        <v>284</v>
      </c>
    </row>
    <row r="206" customFormat="false" ht="15" hidden="false" customHeight="true" outlineLevel="0" collapsed="false">
      <c r="B206" s="17" t="n">
        <v>45870</v>
      </c>
      <c r="C206" s="18" t="s">
        <v>317</v>
      </c>
      <c r="D206" s="18" t="s">
        <v>116</v>
      </c>
      <c r="E206" s="18" t="s">
        <v>22</v>
      </c>
      <c r="F206" s="19" t="n">
        <v>527060.86</v>
      </c>
      <c r="G206" s="20" t="s">
        <v>318</v>
      </c>
    </row>
    <row r="207" customFormat="false" ht="15" hidden="false" customHeight="true" outlineLevel="0" collapsed="false">
      <c r="B207" s="17" t="n">
        <v>45870</v>
      </c>
      <c r="C207" s="18" t="s">
        <v>319</v>
      </c>
      <c r="D207" s="18" t="s">
        <v>106</v>
      </c>
      <c r="E207" s="18" t="s">
        <v>77</v>
      </c>
      <c r="F207" s="19" t="n">
        <v>2550</v>
      </c>
      <c r="G207" s="20" t="s">
        <v>318</v>
      </c>
    </row>
    <row r="208" customFormat="false" ht="15" hidden="false" customHeight="true" outlineLevel="0" collapsed="false">
      <c r="B208" s="17" t="n">
        <v>45870</v>
      </c>
      <c r="C208" s="18" t="s">
        <v>320</v>
      </c>
      <c r="D208" s="18" t="s">
        <v>106</v>
      </c>
      <c r="E208" s="18" t="s">
        <v>52</v>
      </c>
      <c r="F208" s="19" t="n">
        <v>6582.13</v>
      </c>
      <c r="G208" s="20" t="s">
        <v>318</v>
      </c>
    </row>
    <row r="209" customFormat="false" ht="15" hidden="false" customHeight="true" outlineLevel="0" collapsed="false">
      <c r="B209" s="17" t="n">
        <v>45870</v>
      </c>
      <c r="C209" s="18" t="s">
        <v>321</v>
      </c>
      <c r="D209" s="18" t="s">
        <v>106</v>
      </c>
      <c r="E209" s="18" t="s">
        <v>51</v>
      </c>
      <c r="F209" s="19" t="n">
        <v>27259.41</v>
      </c>
      <c r="G209" s="20" t="s">
        <v>318</v>
      </c>
    </row>
    <row r="210" customFormat="false" ht="15" hidden="false" customHeight="true" outlineLevel="0" collapsed="false">
      <c r="B210" s="17" t="n">
        <v>45870</v>
      </c>
      <c r="C210" s="18" t="s">
        <v>322</v>
      </c>
      <c r="D210" s="18" t="s">
        <v>106</v>
      </c>
      <c r="E210" s="18" t="s">
        <v>59</v>
      </c>
      <c r="F210" s="19" t="n">
        <v>800.01</v>
      </c>
      <c r="G210" s="20" t="s">
        <v>318</v>
      </c>
    </row>
    <row r="211" customFormat="false" ht="15" hidden="false" customHeight="true" outlineLevel="0" collapsed="false">
      <c r="B211" s="17" t="n">
        <v>45870</v>
      </c>
      <c r="C211" s="18" t="s">
        <v>323</v>
      </c>
      <c r="D211" s="18" t="s">
        <v>106</v>
      </c>
      <c r="E211" s="18" t="s">
        <v>71</v>
      </c>
      <c r="F211" s="19" t="n">
        <v>2906.98</v>
      </c>
      <c r="G211" s="20" t="s">
        <v>318</v>
      </c>
    </row>
    <row r="212" customFormat="false" ht="15" hidden="false" customHeight="true" outlineLevel="0" collapsed="false">
      <c r="B212" s="17" t="n">
        <v>45870</v>
      </c>
      <c r="C212" s="18" t="s">
        <v>324</v>
      </c>
      <c r="D212" s="18" t="s">
        <v>106</v>
      </c>
      <c r="E212" s="18" t="s">
        <v>61</v>
      </c>
      <c r="F212" s="19" t="n">
        <v>6200.07</v>
      </c>
      <c r="G212" s="20" t="s">
        <v>318</v>
      </c>
    </row>
    <row r="213" customFormat="false" ht="15" hidden="false" customHeight="true" outlineLevel="0" collapsed="false">
      <c r="B213" s="17" t="n">
        <v>45870</v>
      </c>
      <c r="C213" s="18" t="s">
        <v>325</v>
      </c>
      <c r="D213" s="18" t="s">
        <v>106</v>
      </c>
      <c r="E213" s="18" t="s">
        <v>64</v>
      </c>
      <c r="F213" s="19" t="n">
        <v>269.82</v>
      </c>
      <c r="G213" s="20" t="s">
        <v>318</v>
      </c>
    </row>
    <row r="214" customFormat="false" ht="15" hidden="false" customHeight="true" outlineLevel="0" collapsed="false">
      <c r="B214" s="17" t="n">
        <v>45870</v>
      </c>
      <c r="C214" s="18" t="s">
        <v>326</v>
      </c>
      <c r="D214" s="18" t="s">
        <v>106</v>
      </c>
      <c r="E214" s="18" t="s">
        <v>62</v>
      </c>
      <c r="F214" s="19" t="n">
        <v>140</v>
      </c>
      <c r="G214" s="20" t="s">
        <v>318</v>
      </c>
    </row>
    <row r="215" customFormat="false" ht="15" hidden="false" customHeight="true" outlineLevel="0" collapsed="false">
      <c r="B215" s="17" t="n">
        <v>45870</v>
      </c>
      <c r="C215" s="18" t="s">
        <v>327</v>
      </c>
      <c r="D215" s="18" t="s">
        <v>106</v>
      </c>
      <c r="E215" s="18" t="s">
        <v>49</v>
      </c>
      <c r="F215" s="19" t="n">
        <v>3240</v>
      </c>
      <c r="G215" s="20" t="s">
        <v>318</v>
      </c>
    </row>
    <row r="216" customFormat="false" ht="15" hidden="false" customHeight="true" outlineLevel="0" collapsed="false">
      <c r="B216" s="17" t="n">
        <v>45870</v>
      </c>
      <c r="C216" s="18" t="s">
        <v>328</v>
      </c>
      <c r="D216" s="18" t="s">
        <v>106</v>
      </c>
      <c r="E216" s="18" t="s">
        <v>50</v>
      </c>
      <c r="F216" s="19" t="n">
        <v>7706</v>
      </c>
      <c r="G216" s="20" t="s">
        <v>318</v>
      </c>
    </row>
    <row r="217" customFormat="false" ht="15" hidden="false" customHeight="true" outlineLevel="0" collapsed="false">
      <c r="B217" s="17" t="n">
        <v>45870</v>
      </c>
      <c r="C217" s="18" t="s">
        <v>329</v>
      </c>
      <c r="D217" s="18" t="s">
        <v>106</v>
      </c>
      <c r="E217" s="18" t="s">
        <v>68</v>
      </c>
      <c r="F217" s="19" t="n">
        <v>112.52</v>
      </c>
      <c r="G217" s="20" t="s">
        <v>318</v>
      </c>
    </row>
    <row r="218" customFormat="false" ht="15" hidden="false" customHeight="true" outlineLevel="0" collapsed="false">
      <c r="B218" s="17" t="n">
        <v>45870</v>
      </c>
      <c r="C218" s="18" t="s">
        <v>330</v>
      </c>
      <c r="D218" s="18" t="s">
        <v>106</v>
      </c>
      <c r="E218" s="18" t="s">
        <v>42</v>
      </c>
      <c r="F218" s="19" t="n">
        <v>148.64</v>
      </c>
      <c r="G218" s="20" t="s">
        <v>318</v>
      </c>
    </row>
    <row r="219" customFormat="false" ht="15" hidden="false" customHeight="true" outlineLevel="0" collapsed="false">
      <c r="B219" s="17" t="n">
        <v>45870</v>
      </c>
      <c r="C219" s="18" t="s">
        <v>331</v>
      </c>
      <c r="D219" s="18" t="s">
        <v>106</v>
      </c>
      <c r="E219" s="18" t="s">
        <v>76</v>
      </c>
      <c r="F219" s="19" t="n">
        <v>1100</v>
      </c>
      <c r="G219" s="20" t="s">
        <v>318</v>
      </c>
    </row>
    <row r="220" customFormat="false" ht="15" hidden="false" customHeight="true" outlineLevel="0" collapsed="false">
      <c r="B220" s="17" t="n">
        <v>45870</v>
      </c>
      <c r="C220" s="18" t="s">
        <v>332</v>
      </c>
      <c r="D220" s="18" t="s">
        <v>106</v>
      </c>
      <c r="E220" s="18" t="s">
        <v>97</v>
      </c>
      <c r="F220" s="19" t="n">
        <v>50150</v>
      </c>
      <c r="G220" s="20" t="s">
        <v>318</v>
      </c>
    </row>
    <row r="221" customFormat="false" ht="15" hidden="false" customHeight="true" outlineLevel="0" collapsed="false">
      <c r="B221" s="17" t="n">
        <v>45870</v>
      </c>
      <c r="C221" s="18" t="s">
        <v>333</v>
      </c>
      <c r="D221" s="18" t="s">
        <v>106</v>
      </c>
      <c r="E221" s="18" t="s">
        <v>45</v>
      </c>
      <c r="F221" s="19" t="n">
        <v>128.9</v>
      </c>
      <c r="G221" s="20" t="s">
        <v>318</v>
      </c>
    </row>
    <row r="222" customFormat="false" ht="15" hidden="false" customHeight="true" outlineLevel="0" collapsed="false">
      <c r="B222" s="17" t="n">
        <v>45870</v>
      </c>
      <c r="C222" s="18" t="s">
        <v>334</v>
      </c>
      <c r="D222" s="18" t="s">
        <v>106</v>
      </c>
      <c r="E222" s="18" t="s">
        <v>43</v>
      </c>
      <c r="F222" s="19" t="n">
        <v>1816.77</v>
      </c>
      <c r="G222" s="20" t="s">
        <v>318</v>
      </c>
    </row>
    <row r="223" customFormat="false" ht="15" hidden="false" customHeight="true" outlineLevel="0" collapsed="false">
      <c r="B223" s="17" t="n">
        <v>45870</v>
      </c>
      <c r="C223" s="18" t="s">
        <v>335</v>
      </c>
      <c r="D223" s="18" t="s">
        <v>106</v>
      </c>
      <c r="E223" s="18" t="s">
        <v>46</v>
      </c>
      <c r="F223" s="19" t="n">
        <v>750</v>
      </c>
      <c r="G223" s="20" t="s">
        <v>318</v>
      </c>
    </row>
    <row r="224" customFormat="false" ht="15" hidden="false" customHeight="true" outlineLevel="0" collapsed="false">
      <c r="B224" s="17" t="n">
        <v>45870</v>
      </c>
      <c r="C224" s="18" t="s">
        <v>336</v>
      </c>
      <c r="D224" s="18" t="s">
        <v>106</v>
      </c>
      <c r="E224" s="18" t="s">
        <v>65</v>
      </c>
      <c r="F224" s="19" t="n">
        <v>240</v>
      </c>
      <c r="G224" s="20" t="s">
        <v>318</v>
      </c>
    </row>
    <row r="225" customFormat="false" ht="15" hidden="false" customHeight="true" outlineLevel="0" collapsed="false">
      <c r="B225" s="17" t="n">
        <v>45870</v>
      </c>
      <c r="C225" s="18" t="s">
        <v>337</v>
      </c>
      <c r="D225" s="18" t="s">
        <v>106</v>
      </c>
      <c r="E225" s="18" t="s">
        <v>60</v>
      </c>
      <c r="F225" s="19" t="n">
        <v>327.05</v>
      </c>
      <c r="G225" s="20" t="s">
        <v>318</v>
      </c>
    </row>
    <row r="226" customFormat="false" ht="15" hidden="false" customHeight="true" outlineLevel="0" collapsed="false">
      <c r="B226" s="17" t="n">
        <v>45870</v>
      </c>
      <c r="C226" s="18" t="s">
        <v>338</v>
      </c>
      <c r="D226" s="18" t="s">
        <v>106</v>
      </c>
      <c r="E226" s="18" t="s">
        <v>53</v>
      </c>
      <c r="F226" s="19" t="n">
        <v>49.9</v>
      </c>
      <c r="G226" s="20" t="s">
        <v>318</v>
      </c>
    </row>
    <row r="227" customFormat="false" ht="15" hidden="false" customHeight="true" outlineLevel="0" collapsed="false">
      <c r="B227" s="17" t="n">
        <v>45870</v>
      </c>
      <c r="C227" s="18" t="s">
        <v>339</v>
      </c>
      <c r="D227" s="18" t="s">
        <v>106</v>
      </c>
      <c r="E227" s="18" t="s">
        <v>72</v>
      </c>
      <c r="F227" s="19" t="n">
        <v>200</v>
      </c>
      <c r="G227" s="20" t="s">
        <v>318</v>
      </c>
    </row>
    <row r="228" customFormat="false" ht="15" hidden="false" customHeight="true" outlineLevel="0" collapsed="false">
      <c r="B228" s="17" t="n">
        <v>45870</v>
      </c>
      <c r="C228" s="18" t="s">
        <v>340</v>
      </c>
      <c r="D228" s="18" t="s">
        <v>106</v>
      </c>
      <c r="E228" s="18" t="s">
        <v>58</v>
      </c>
      <c r="F228" s="19" t="n">
        <v>75486.78</v>
      </c>
      <c r="G228" s="20" t="s">
        <v>318</v>
      </c>
    </row>
    <row r="229" customFormat="false" ht="15" hidden="false" customHeight="true" outlineLevel="0" collapsed="false">
      <c r="B229" s="17" t="n">
        <v>45870</v>
      </c>
      <c r="C229" s="18" t="s">
        <v>341</v>
      </c>
      <c r="D229" s="18" t="s">
        <v>106</v>
      </c>
      <c r="E229" s="18" t="s">
        <v>63</v>
      </c>
      <c r="F229" s="19" t="n">
        <v>12013.66</v>
      </c>
      <c r="G229" s="20" t="s">
        <v>318</v>
      </c>
    </row>
    <row r="230" customFormat="false" ht="15" hidden="false" customHeight="true" outlineLevel="0" collapsed="false">
      <c r="B230" s="17" t="n">
        <v>45870</v>
      </c>
      <c r="C230" s="18" t="s">
        <v>342</v>
      </c>
      <c r="D230" s="18" t="s">
        <v>106</v>
      </c>
      <c r="E230" s="18" t="s">
        <v>74</v>
      </c>
      <c r="F230" s="19" t="n">
        <v>578.78</v>
      </c>
      <c r="G230" s="20" t="s">
        <v>318</v>
      </c>
    </row>
    <row r="231" customFormat="false" ht="15" hidden="false" customHeight="true" outlineLevel="0" collapsed="false">
      <c r="B231" s="17" t="n">
        <v>45870</v>
      </c>
      <c r="C231" s="18" t="s">
        <v>343</v>
      </c>
      <c r="D231" s="18" t="s">
        <v>106</v>
      </c>
      <c r="E231" s="18" t="s">
        <v>54</v>
      </c>
      <c r="F231" s="19" t="n">
        <v>957</v>
      </c>
      <c r="G231" s="20" t="s">
        <v>318</v>
      </c>
    </row>
    <row r="232" customFormat="false" ht="15" hidden="false" customHeight="true" outlineLevel="0" collapsed="false">
      <c r="B232" s="17" t="n">
        <v>45870</v>
      </c>
      <c r="C232" s="18" t="s">
        <v>344</v>
      </c>
      <c r="D232" s="18" t="s">
        <v>106</v>
      </c>
      <c r="E232" s="18" t="s">
        <v>57</v>
      </c>
      <c r="F232" s="19" t="n">
        <v>468.09</v>
      </c>
      <c r="G232" s="20" t="s">
        <v>318</v>
      </c>
    </row>
    <row r="233" customFormat="false" ht="15" hidden="false" customHeight="true" outlineLevel="0" collapsed="false">
      <c r="B233" s="17" t="n">
        <v>45870</v>
      </c>
      <c r="C233" s="18" t="s">
        <v>345</v>
      </c>
      <c r="D233" s="18" t="s">
        <v>106</v>
      </c>
      <c r="E233" s="18" t="s">
        <v>70</v>
      </c>
      <c r="F233" s="19" t="n">
        <v>7581</v>
      </c>
      <c r="G233" s="20" t="s">
        <v>318</v>
      </c>
    </row>
    <row r="234" customFormat="false" ht="15" hidden="false" customHeight="true" outlineLevel="0" collapsed="false">
      <c r="B234" s="17" t="n">
        <v>45870</v>
      </c>
      <c r="C234" s="18" t="s">
        <v>346</v>
      </c>
      <c r="D234" s="18" t="s">
        <v>106</v>
      </c>
      <c r="E234" s="18" t="s">
        <v>75</v>
      </c>
      <c r="F234" s="19" t="n">
        <v>50.21</v>
      </c>
      <c r="G234" s="20" t="s">
        <v>318</v>
      </c>
    </row>
    <row r="235" customFormat="false" ht="15" hidden="false" customHeight="true" outlineLevel="0" collapsed="false">
      <c r="B235" s="17" t="n">
        <v>45870</v>
      </c>
      <c r="C235" s="18" t="s">
        <v>347</v>
      </c>
      <c r="D235" s="18" t="s">
        <v>106</v>
      </c>
      <c r="E235" s="18" t="s">
        <v>24</v>
      </c>
      <c r="F235" s="19" t="n">
        <v>379079.51</v>
      </c>
      <c r="G235" s="20" t="s">
        <v>318</v>
      </c>
    </row>
    <row r="236" customFormat="false" ht="15" hidden="false" customHeight="true" outlineLevel="0" collapsed="false">
      <c r="B236" s="17" t="n">
        <v>45901</v>
      </c>
      <c r="C236" s="18" t="s">
        <v>348</v>
      </c>
      <c r="D236" s="18" t="s">
        <v>116</v>
      </c>
      <c r="E236" s="18" t="s">
        <v>22</v>
      </c>
      <c r="F236" s="19" t="n">
        <v>493730.9</v>
      </c>
      <c r="G236" s="20" t="s">
        <v>349</v>
      </c>
    </row>
    <row r="237" customFormat="false" ht="15" hidden="false" customHeight="true" outlineLevel="0" collapsed="false">
      <c r="B237" s="17" t="n">
        <v>45901</v>
      </c>
      <c r="C237" s="18" t="s">
        <v>350</v>
      </c>
      <c r="D237" s="18" t="s">
        <v>106</v>
      </c>
      <c r="E237" s="18" t="s">
        <v>52</v>
      </c>
      <c r="F237" s="19" t="n">
        <v>5713.82</v>
      </c>
      <c r="G237" s="20" t="s">
        <v>349</v>
      </c>
    </row>
    <row r="238" customFormat="false" ht="15" hidden="false" customHeight="true" outlineLevel="0" collapsed="false">
      <c r="B238" s="17" t="n">
        <v>45901</v>
      </c>
      <c r="C238" s="18" t="s">
        <v>351</v>
      </c>
      <c r="D238" s="18" t="s">
        <v>106</v>
      </c>
      <c r="E238" s="18" t="s">
        <v>51</v>
      </c>
      <c r="F238" s="19" t="n">
        <v>25797.32</v>
      </c>
      <c r="G238" s="20" t="s">
        <v>349</v>
      </c>
    </row>
    <row r="239" customFormat="false" ht="15" hidden="false" customHeight="true" outlineLevel="0" collapsed="false">
      <c r="B239" s="17" t="n">
        <v>45901</v>
      </c>
      <c r="C239" s="18" t="s">
        <v>352</v>
      </c>
      <c r="D239" s="18" t="s">
        <v>106</v>
      </c>
      <c r="E239" s="18" t="s">
        <v>59</v>
      </c>
      <c r="F239" s="19" t="n">
        <v>800</v>
      </c>
      <c r="G239" s="20" t="s">
        <v>349</v>
      </c>
    </row>
    <row r="240" customFormat="false" ht="15" hidden="false" customHeight="true" outlineLevel="0" collapsed="false">
      <c r="B240" s="17" t="n">
        <v>45901</v>
      </c>
      <c r="C240" s="18" t="s">
        <v>353</v>
      </c>
      <c r="D240" s="18" t="s">
        <v>106</v>
      </c>
      <c r="E240" s="18" t="s">
        <v>67</v>
      </c>
      <c r="F240" s="19" t="n">
        <v>118.25</v>
      </c>
      <c r="G240" s="20" t="s">
        <v>349</v>
      </c>
    </row>
    <row r="241" customFormat="false" ht="15" hidden="false" customHeight="true" outlineLevel="0" collapsed="false">
      <c r="B241" s="17" t="n">
        <v>45901</v>
      </c>
      <c r="C241" s="18" t="s">
        <v>354</v>
      </c>
      <c r="D241" s="18" t="s">
        <v>106</v>
      </c>
      <c r="E241" s="18" t="s">
        <v>61</v>
      </c>
      <c r="F241" s="19" t="n">
        <v>8446.24</v>
      </c>
      <c r="G241" s="20" t="s">
        <v>349</v>
      </c>
    </row>
    <row r="242" customFormat="false" ht="15" hidden="false" customHeight="true" outlineLevel="0" collapsed="false">
      <c r="B242" s="17" t="n">
        <v>45901</v>
      </c>
      <c r="C242" s="18" t="s">
        <v>355</v>
      </c>
      <c r="D242" s="18" t="s">
        <v>106</v>
      </c>
      <c r="E242" s="18" t="s">
        <v>64</v>
      </c>
      <c r="F242" s="19" t="n">
        <v>269.82</v>
      </c>
      <c r="G242" s="20" t="s">
        <v>349</v>
      </c>
    </row>
    <row r="243" customFormat="false" ht="15" hidden="false" customHeight="true" outlineLevel="0" collapsed="false">
      <c r="B243" s="17" t="n">
        <v>45901</v>
      </c>
      <c r="C243" s="18" t="s">
        <v>356</v>
      </c>
      <c r="D243" s="18" t="s">
        <v>106</v>
      </c>
      <c r="E243" s="18" t="s">
        <v>62</v>
      </c>
      <c r="F243" s="19" t="n">
        <v>140</v>
      </c>
      <c r="G243" s="20" t="s">
        <v>349</v>
      </c>
    </row>
    <row r="244" customFormat="false" ht="15" hidden="false" customHeight="true" outlineLevel="0" collapsed="false">
      <c r="B244" s="17" t="n">
        <v>45901</v>
      </c>
      <c r="C244" s="18" t="s">
        <v>357</v>
      </c>
      <c r="D244" s="18" t="s">
        <v>106</v>
      </c>
      <c r="E244" s="18" t="s">
        <v>50</v>
      </c>
      <c r="F244" s="19" t="n">
        <v>5233.77</v>
      </c>
      <c r="G244" s="20" t="s">
        <v>349</v>
      </c>
    </row>
    <row r="245" customFormat="false" ht="15" hidden="false" customHeight="true" outlineLevel="0" collapsed="false">
      <c r="B245" s="17" t="n">
        <v>45901</v>
      </c>
      <c r="C245" s="18" t="s">
        <v>358</v>
      </c>
      <c r="D245" s="18" t="s">
        <v>106</v>
      </c>
      <c r="E245" s="18" t="s">
        <v>68</v>
      </c>
      <c r="F245" s="19" t="n">
        <v>256.3</v>
      </c>
      <c r="G245" s="20" t="s">
        <v>349</v>
      </c>
    </row>
    <row r="246" customFormat="false" ht="15" hidden="false" customHeight="true" outlineLevel="0" collapsed="false">
      <c r="B246" s="17" t="n">
        <v>45901</v>
      </c>
      <c r="C246" s="18" t="s">
        <v>359</v>
      </c>
      <c r="D246" s="18" t="s">
        <v>106</v>
      </c>
      <c r="E246" s="18" t="s">
        <v>69</v>
      </c>
      <c r="F246" s="19" t="n">
        <v>306.36</v>
      </c>
      <c r="G246" s="20" t="s">
        <v>349</v>
      </c>
    </row>
    <row r="247" customFormat="false" ht="15" hidden="false" customHeight="true" outlineLevel="0" collapsed="false">
      <c r="B247" s="17" t="n">
        <v>45901</v>
      </c>
      <c r="C247" s="18" t="s">
        <v>360</v>
      </c>
      <c r="D247" s="18" t="s">
        <v>106</v>
      </c>
      <c r="E247" s="18" t="s">
        <v>78</v>
      </c>
      <c r="F247" s="19" t="n">
        <v>60</v>
      </c>
      <c r="G247" s="20" t="s">
        <v>349</v>
      </c>
    </row>
    <row r="248" customFormat="false" ht="15" hidden="false" customHeight="true" outlineLevel="0" collapsed="false">
      <c r="B248" s="17" t="n">
        <v>45901</v>
      </c>
      <c r="C248" s="18" t="s">
        <v>361</v>
      </c>
      <c r="D248" s="18" t="s">
        <v>106</v>
      </c>
      <c r="E248" s="18" t="s">
        <v>42</v>
      </c>
      <c r="F248" s="19" t="n">
        <v>4655.22</v>
      </c>
      <c r="G248" s="20" t="s">
        <v>349</v>
      </c>
    </row>
    <row r="249" customFormat="false" ht="15" hidden="false" customHeight="true" outlineLevel="0" collapsed="false">
      <c r="B249" s="17" t="n">
        <v>45901</v>
      </c>
      <c r="C249" s="18" t="s">
        <v>362</v>
      </c>
      <c r="D249" s="18" t="s">
        <v>106</v>
      </c>
      <c r="E249" s="18" t="s">
        <v>76</v>
      </c>
      <c r="F249" s="19" t="n">
        <v>1100</v>
      </c>
      <c r="G249" s="20" t="s">
        <v>349</v>
      </c>
    </row>
    <row r="250" customFormat="false" ht="15" hidden="false" customHeight="true" outlineLevel="0" collapsed="false">
      <c r="B250" s="17" t="n">
        <v>45901</v>
      </c>
      <c r="C250" s="18" t="s">
        <v>363</v>
      </c>
      <c r="D250" s="18" t="s">
        <v>106</v>
      </c>
      <c r="E250" s="18" t="s">
        <v>97</v>
      </c>
      <c r="F250" s="19" t="n">
        <v>50180</v>
      </c>
      <c r="G250" s="20" t="s">
        <v>349</v>
      </c>
    </row>
    <row r="251" customFormat="false" ht="15" hidden="false" customHeight="true" outlineLevel="0" collapsed="false">
      <c r="B251" s="17" t="n">
        <v>45901</v>
      </c>
      <c r="C251" s="18" t="s">
        <v>364</v>
      </c>
      <c r="D251" s="18" t="s">
        <v>106</v>
      </c>
      <c r="E251" s="18" t="s">
        <v>45</v>
      </c>
      <c r="F251" s="19" t="n">
        <v>147.58</v>
      </c>
      <c r="G251" s="20" t="s">
        <v>349</v>
      </c>
    </row>
    <row r="252" customFormat="false" ht="15" hidden="false" customHeight="true" outlineLevel="0" collapsed="false">
      <c r="B252" s="17" t="n">
        <v>45901</v>
      </c>
      <c r="C252" s="18" t="s">
        <v>365</v>
      </c>
      <c r="D252" s="18" t="s">
        <v>106</v>
      </c>
      <c r="E252" s="18" t="s">
        <v>43</v>
      </c>
      <c r="F252" s="19" t="n">
        <v>1422.23</v>
      </c>
      <c r="G252" s="20" t="s">
        <v>349</v>
      </c>
    </row>
    <row r="253" customFormat="false" ht="15" hidden="false" customHeight="true" outlineLevel="0" collapsed="false">
      <c r="B253" s="17" t="n">
        <v>45901</v>
      </c>
      <c r="C253" s="18" t="s">
        <v>366</v>
      </c>
      <c r="D253" s="18" t="s">
        <v>106</v>
      </c>
      <c r="E253" s="18" t="s">
        <v>48</v>
      </c>
      <c r="F253" s="19" t="n">
        <v>30</v>
      </c>
      <c r="G253" s="20" t="s">
        <v>349</v>
      </c>
    </row>
    <row r="254" customFormat="false" ht="15" hidden="false" customHeight="true" outlineLevel="0" collapsed="false">
      <c r="B254" s="17" t="n">
        <v>45901</v>
      </c>
      <c r="C254" s="18" t="s">
        <v>367</v>
      </c>
      <c r="D254" s="18" t="s">
        <v>106</v>
      </c>
      <c r="E254" s="18" t="s">
        <v>46</v>
      </c>
      <c r="F254" s="19" t="n">
        <v>302</v>
      </c>
      <c r="G254" s="20" t="s">
        <v>349</v>
      </c>
    </row>
    <row r="255" customFormat="false" ht="15" hidden="false" customHeight="true" outlineLevel="0" collapsed="false">
      <c r="B255" s="17" t="n">
        <v>45901</v>
      </c>
      <c r="C255" s="18" t="s">
        <v>368</v>
      </c>
      <c r="D255" s="18" t="s">
        <v>106</v>
      </c>
      <c r="E255" s="18" t="s">
        <v>65</v>
      </c>
      <c r="F255" s="19" t="n">
        <v>256.67</v>
      </c>
      <c r="G255" s="20" t="s">
        <v>349</v>
      </c>
    </row>
    <row r="256" customFormat="false" ht="15" hidden="false" customHeight="true" outlineLevel="0" collapsed="false">
      <c r="B256" s="17" t="n">
        <v>45901</v>
      </c>
      <c r="C256" s="18" t="s">
        <v>369</v>
      </c>
      <c r="D256" s="18" t="s">
        <v>106</v>
      </c>
      <c r="E256" s="18" t="s">
        <v>60</v>
      </c>
      <c r="F256" s="19" t="n">
        <v>328.05</v>
      </c>
      <c r="G256" s="20" t="s">
        <v>349</v>
      </c>
    </row>
    <row r="257" customFormat="false" ht="15" hidden="false" customHeight="true" outlineLevel="0" collapsed="false">
      <c r="B257" s="17" t="n">
        <v>45901</v>
      </c>
      <c r="C257" s="18" t="s">
        <v>370</v>
      </c>
      <c r="D257" s="18" t="s">
        <v>106</v>
      </c>
      <c r="E257" s="18" t="s">
        <v>80</v>
      </c>
      <c r="F257" s="19" t="n">
        <v>4500</v>
      </c>
      <c r="G257" s="20" t="s">
        <v>349</v>
      </c>
    </row>
    <row r="258" customFormat="false" ht="15" hidden="false" customHeight="true" outlineLevel="0" collapsed="false">
      <c r="B258" s="17" t="n">
        <v>45901</v>
      </c>
      <c r="C258" s="18" t="s">
        <v>371</v>
      </c>
      <c r="D258" s="18" t="s">
        <v>106</v>
      </c>
      <c r="E258" s="18" t="s">
        <v>53</v>
      </c>
      <c r="F258" s="19" t="n">
        <v>49.9</v>
      </c>
      <c r="G258" s="20" t="s">
        <v>349</v>
      </c>
    </row>
    <row r="259" customFormat="false" ht="15" hidden="false" customHeight="true" outlineLevel="0" collapsed="false">
      <c r="B259" s="17" t="n">
        <v>45901</v>
      </c>
      <c r="C259" s="18" t="s">
        <v>372</v>
      </c>
      <c r="D259" s="18" t="s">
        <v>106</v>
      </c>
      <c r="E259" s="18" t="s">
        <v>58</v>
      </c>
      <c r="F259" s="19" t="n">
        <v>81252.11</v>
      </c>
      <c r="G259" s="20" t="s">
        <v>349</v>
      </c>
    </row>
    <row r="260" customFormat="false" ht="15" hidden="false" customHeight="true" outlineLevel="0" collapsed="false">
      <c r="B260" s="17" t="n">
        <v>45901</v>
      </c>
      <c r="C260" s="18" t="s">
        <v>373</v>
      </c>
      <c r="D260" s="18" t="s">
        <v>106</v>
      </c>
      <c r="E260" s="18" t="s">
        <v>63</v>
      </c>
      <c r="F260" s="19" t="n">
        <v>12013.66</v>
      </c>
      <c r="G260" s="20" t="s">
        <v>349</v>
      </c>
    </row>
    <row r="261" customFormat="false" ht="15" hidden="false" customHeight="true" outlineLevel="0" collapsed="false">
      <c r="B261" s="17" t="n">
        <v>45901</v>
      </c>
      <c r="C261" s="18" t="s">
        <v>374</v>
      </c>
      <c r="D261" s="18" t="s">
        <v>106</v>
      </c>
      <c r="E261" s="18" t="s">
        <v>79</v>
      </c>
      <c r="F261" s="19" t="n">
        <v>220.95</v>
      </c>
      <c r="G261" s="20" t="s">
        <v>349</v>
      </c>
    </row>
    <row r="262" customFormat="false" ht="15" hidden="false" customHeight="true" outlineLevel="0" collapsed="false">
      <c r="B262" s="17" t="n">
        <v>45901</v>
      </c>
      <c r="C262" s="18" t="s">
        <v>375</v>
      </c>
      <c r="D262" s="18" t="s">
        <v>106</v>
      </c>
      <c r="E262" s="18" t="s">
        <v>74</v>
      </c>
      <c r="F262" s="19" t="n">
        <v>389.92</v>
      </c>
      <c r="G262" s="20" t="s">
        <v>349</v>
      </c>
    </row>
    <row r="263" customFormat="false" ht="15" hidden="false" customHeight="true" outlineLevel="0" collapsed="false">
      <c r="B263" s="17" t="n">
        <v>45901</v>
      </c>
      <c r="C263" s="18" t="s">
        <v>376</v>
      </c>
      <c r="D263" s="18" t="s">
        <v>106</v>
      </c>
      <c r="E263" s="18" t="s">
        <v>54</v>
      </c>
      <c r="F263" s="19" t="n">
        <v>957</v>
      </c>
      <c r="G263" s="20" t="s">
        <v>349</v>
      </c>
    </row>
    <row r="264" customFormat="false" ht="15" hidden="false" customHeight="true" outlineLevel="0" collapsed="false">
      <c r="B264" s="17" t="n">
        <v>45901</v>
      </c>
      <c r="C264" s="18" t="s">
        <v>377</v>
      </c>
      <c r="D264" s="18" t="s">
        <v>106</v>
      </c>
      <c r="E264" s="18" t="s">
        <v>57</v>
      </c>
      <c r="F264" s="19" t="n">
        <v>42.94</v>
      </c>
      <c r="G264" s="20" t="s">
        <v>349</v>
      </c>
    </row>
    <row r="265" customFormat="false" ht="15" hidden="false" customHeight="true" outlineLevel="0" collapsed="false">
      <c r="B265" s="17" t="n">
        <v>45901</v>
      </c>
      <c r="C265" s="18" t="s">
        <v>378</v>
      </c>
      <c r="D265" s="18" t="s">
        <v>106</v>
      </c>
      <c r="E265" s="18" t="s">
        <v>70</v>
      </c>
      <c r="F265" s="19" t="n">
        <v>8705</v>
      </c>
      <c r="G265" s="20" t="s">
        <v>349</v>
      </c>
    </row>
    <row r="266" customFormat="false" ht="15" hidden="false" customHeight="true" outlineLevel="0" collapsed="false">
      <c r="B266" s="17" t="n">
        <v>45901</v>
      </c>
      <c r="C266" s="18" t="s">
        <v>379</v>
      </c>
      <c r="D266" s="18" t="s">
        <v>106</v>
      </c>
      <c r="E266" s="18" t="s">
        <v>24</v>
      </c>
      <c r="F266" s="19" t="n">
        <v>334766.19</v>
      </c>
      <c r="G266" s="20" t="s">
        <v>349</v>
      </c>
    </row>
    <row r="267" customFormat="false" ht="15" hidden="false" customHeight="true" outlineLevel="0" collapsed="false">
      <c r="B267" s="17" t="n">
        <v>45931</v>
      </c>
      <c r="C267" s="18" t="s">
        <v>380</v>
      </c>
      <c r="D267" s="18" t="s">
        <v>116</v>
      </c>
      <c r="E267" s="18" t="s">
        <v>22</v>
      </c>
      <c r="F267" s="19" t="n">
        <v>584777.54</v>
      </c>
      <c r="G267" s="20" t="s">
        <v>381</v>
      </c>
    </row>
    <row r="268" customFormat="false" ht="15" hidden="false" customHeight="true" outlineLevel="0" collapsed="false">
      <c r="B268" s="17" t="n">
        <v>45931</v>
      </c>
      <c r="C268" s="18" t="s">
        <v>382</v>
      </c>
      <c r="D268" s="18" t="s">
        <v>106</v>
      </c>
      <c r="E268" s="18" t="s">
        <v>52</v>
      </c>
      <c r="F268" s="19" t="n">
        <v>10116.52</v>
      </c>
      <c r="G268" s="20" t="s">
        <v>381</v>
      </c>
    </row>
    <row r="269" customFormat="false" ht="15" hidden="false" customHeight="true" outlineLevel="0" collapsed="false">
      <c r="B269" s="17" t="n">
        <v>45931</v>
      </c>
      <c r="C269" s="18" t="s">
        <v>383</v>
      </c>
      <c r="D269" s="18" t="s">
        <v>106</v>
      </c>
      <c r="E269" s="18" t="s">
        <v>51</v>
      </c>
      <c r="F269" s="19" t="n">
        <v>22939.91</v>
      </c>
      <c r="G269" s="20" t="s">
        <v>381</v>
      </c>
    </row>
    <row r="270" customFormat="false" ht="15" hidden="false" customHeight="true" outlineLevel="0" collapsed="false">
      <c r="B270" s="17" t="n">
        <v>45931</v>
      </c>
      <c r="C270" s="18" t="s">
        <v>384</v>
      </c>
      <c r="D270" s="18" t="s">
        <v>106</v>
      </c>
      <c r="E270" s="18" t="s">
        <v>59</v>
      </c>
      <c r="F270" s="19" t="n">
        <v>3450.01</v>
      </c>
      <c r="G270" s="20" t="s">
        <v>381</v>
      </c>
    </row>
    <row r="271" customFormat="false" ht="15" hidden="false" customHeight="true" outlineLevel="0" collapsed="false">
      <c r="B271" s="17" t="n">
        <v>45931</v>
      </c>
      <c r="C271" s="18" t="s">
        <v>385</v>
      </c>
      <c r="D271" s="18" t="s">
        <v>106</v>
      </c>
      <c r="E271" s="18" t="s">
        <v>61</v>
      </c>
      <c r="F271" s="19" t="n">
        <v>6212.98</v>
      </c>
      <c r="G271" s="20" t="s">
        <v>381</v>
      </c>
    </row>
    <row r="272" customFormat="false" ht="15" hidden="false" customHeight="true" outlineLevel="0" collapsed="false">
      <c r="B272" s="17" t="n">
        <v>45931</v>
      </c>
      <c r="C272" s="18" t="s">
        <v>386</v>
      </c>
      <c r="D272" s="18" t="s">
        <v>106</v>
      </c>
      <c r="E272" s="18" t="s">
        <v>64</v>
      </c>
      <c r="F272" s="19" t="n">
        <v>269.82</v>
      </c>
      <c r="G272" s="20" t="s">
        <v>381</v>
      </c>
    </row>
    <row r="273" customFormat="false" ht="15" hidden="false" customHeight="true" outlineLevel="0" collapsed="false">
      <c r="B273" s="17" t="n">
        <v>45931</v>
      </c>
      <c r="C273" s="18" t="s">
        <v>387</v>
      </c>
      <c r="D273" s="18" t="s">
        <v>106</v>
      </c>
      <c r="E273" s="18" t="s">
        <v>62</v>
      </c>
      <c r="F273" s="19" t="n">
        <v>140</v>
      </c>
      <c r="G273" s="20" t="s">
        <v>381</v>
      </c>
    </row>
    <row r="274" customFormat="false" ht="15" hidden="false" customHeight="true" outlineLevel="0" collapsed="false">
      <c r="B274" s="17" t="n">
        <v>45931</v>
      </c>
      <c r="C274" s="18" t="s">
        <v>388</v>
      </c>
      <c r="D274" s="18" t="s">
        <v>106</v>
      </c>
      <c r="E274" s="18" t="s">
        <v>50</v>
      </c>
      <c r="F274" s="19" t="n">
        <v>2929.55</v>
      </c>
      <c r="G274" s="20" t="s">
        <v>381</v>
      </c>
    </row>
    <row r="275" customFormat="false" ht="15" hidden="false" customHeight="true" outlineLevel="0" collapsed="false">
      <c r="B275" s="17" t="n">
        <v>45931</v>
      </c>
      <c r="C275" s="18" t="s">
        <v>389</v>
      </c>
      <c r="D275" s="18" t="s">
        <v>106</v>
      </c>
      <c r="E275" s="18" t="s">
        <v>68</v>
      </c>
      <c r="F275" s="19" t="n">
        <v>299.36</v>
      </c>
      <c r="G275" s="20" t="s">
        <v>381</v>
      </c>
    </row>
    <row r="276" customFormat="false" ht="15" hidden="false" customHeight="true" outlineLevel="0" collapsed="false">
      <c r="B276" s="17" t="n">
        <v>45931</v>
      </c>
      <c r="C276" s="18" t="s">
        <v>390</v>
      </c>
      <c r="D276" s="18" t="s">
        <v>106</v>
      </c>
      <c r="E276" s="18" t="s">
        <v>69</v>
      </c>
      <c r="F276" s="19" t="n">
        <v>300.16</v>
      </c>
      <c r="G276" s="20" t="s">
        <v>381</v>
      </c>
    </row>
    <row r="277" customFormat="false" ht="15" hidden="false" customHeight="true" outlineLevel="0" collapsed="false">
      <c r="B277" s="17" t="n">
        <v>45931</v>
      </c>
      <c r="C277" s="18" t="s">
        <v>391</v>
      </c>
      <c r="D277" s="18" t="s">
        <v>106</v>
      </c>
      <c r="E277" s="18" t="s">
        <v>78</v>
      </c>
      <c r="F277" s="19" t="n">
        <v>100</v>
      </c>
      <c r="G277" s="20" t="s">
        <v>381</v>
      </c>
    </row>
    <row r="278" customFormat="false" ht="15" hidden="false" customHeight="true" outlineLevel="0" collapsed="false">
      <c r="B278" s="17" t="n">
        <v>45931</v>
      </c>
      <c r="C278" s="18" t="s">
        <v>392</v>
      </c>
      <c r="D278" s="18" t="s">
        <v>106</v>
      </c>
      <c r="E278" s="18" t="s">
        <v>42</v>
      </c>
      <c r="F278" s="19" t="n">
        <v>882.6</v>
      </c>
      <c r="G278" s="20" t="s">
        <v>381</v>
      </c>
    </row>
    <row r="279" customFormat="false" ht="15" hidden="false" customHeight="true" outlineLevel="0" collapsed="false">
      <c r="B279" s="17" t="n">
        <v>45931</v>
      </c>
      <c r="C279" s="18" t="s">
        <v>393</v>
      </c>
      <c r="D279" s="18" t="s">
        <v>106</v>
      </c>
      <c r="E279" s="18" t="s">
        <v>83</v>
      </c>
      <c r="F279" s="19" t="n">
        <v>104.13</v>
      </c>
      <c r="G279" s="20" t="s">
        <v>381</v>
      </c>
    </row>
    <row r="280" customFormat="false" ht="15" hidden="false" customHeight="true" outlineLevel="0" collapsed="false">
      <c r="B280" s="17" t="n">
        <v>45931</v>
      </c>
      <c r="C280" s="18" t="s">
        <v>394</v>
      </c>
      <c r="D280" s="18" t="s">
        <v>106</v>
      </c>
      <c r="E280" s="18" t="s">
        <v>76</v>
      </c>
      <c r="F280" s="19" t="n">
        <v>1100</v>
      </c>
      <c r="G280" s="20" t="s">
        <v>381</v>
      </c>
    </row>
    <row r="281" customFormat="false" ht="15" hidden="false" customHeight="true" outlineLevel="0" collapsed="false">
      <c r="B281" s="17" t="n">
        <v>45931</v>
      </c>
      <c r="C281" s="18" t="s">
        <v>395</v>
      </c>
      <c r="D281" s="18" t="s">
        <v>106</v>
      </c>
      <c r="E281" s="18" t="s">
        <v>97</v>
      </c>
      <c r="F281" s="19" t="n">
        <v>50000</v>
      </c>
      <c r="G281" s="20" t="s">
        <v>381</v>
      </c>
    </row>
    <row r="282" customFormat="false" ht="15" hidden="false" customHeight="true" outlineLevel="0" collapsed="false">
      <c r="B282" s="17" t="n">
        <v>45931</v>
      </c>
      <c r="C282" s="18" t="s">
        <v>396</v>
      </c>
      <c r="D282" s="18" t="s">
        <v>106</v>
      </c>
      <c r="E282" s="18" t="s">
        <v>45</v>
      </c>
      <c r="F282" s="19" t="n">
        <v>270.07</v>
      </c>
      <c r="G282" s="20" t="s">
        <v>381</v>
      </c>
    </row>
    <row r="283" customFormat="false" ht="15" hidden="false" customHeight="true" outlineLevel="0" collapsed="false">
      <c r="B283" s="17" t="n">
        <v>45931</v>
      </c>
      <c r="C283" s="18" t="s">
        <v>397</v>
      </c>
      <c r="D283" s="18" t="s">
        <v>106</v>
      </c>
      <c r="E283" s="18" t="s">
        <v>43</v>
      </c>
      <c r="F283" s="19" t="n">
        <v>1274.16</v>
      </c>
      <c r="G283" s="20" t="s">
        <v>381</v>
      </c>
    </row>
    <row r="284" customFormat="false" ht="15" hidden="false" customHeight="true" outlineLevel="0" collapsed="false">
      <c r="B284" s="17" t="n">
        <v>45931</v>
      </c>
      <c r="C284" s="18" t="s">
        <v>398</v>
      </c>
      <c r="D284" s="18" t="s">
        <v>106</v>
      </c>
      <c r="E284" s="18" t="s">
        <v>65</v>
      </c>
      <c r="F284" s="19" t="n">
        <v>240.01</v>
      </c>
      <c r="G284" s="20" t="s">
        <v>381</v>
      </c>
    </row>
    <row r="285" customFormat="false" ht="15" hidden="false" customHeight="true" outlineLevel="0" collapsed="false">
      <c r="B285" s="17" t="n">
        <v>45931</v>
      </c>
      <c r="C285" s="18" t="s">
        <v>399</v>
      </c>
      <c r="D285" s="18" t="s">
        <v>106</v>
      </c>
      <c r="E285" s="18" t="s">
        <v>60</v>
      </c>
      <c r="F285" s="19" t="n">
        <v>327.05</v>
      </c>
      <c r="G285" s="20" t="s">
        <v>381</v>
      </c>
    </row>
    <row r="286" customFormat="false" ht="15" hidden="false" customHeight="true" outlineLevel="0" collapsed="false">
      <c r="B286" s="17" t="n">
        <v>45931</v>
      </c>
      <c r="C286" s="18" t="s">
        <v>400</v>
      </c>
      <c r="D286" s="18" t="s">
        <v>106</v>
      </c>
      <c r="E286" s="18" t="s">
        <v>80</v>
      </c>
      <c r="F286" s="19" t="n">
        <v>4910.24</v>
      </c>
      <c r="G286" s="20" t="s">
        <v>381</v>
      </c>
    </row>
    <row r="287" customFormat="false" ht="15" hidden="false" customHeight="true" outlineLevel="0" collapsed="false">
      <c r="B287" s="17" t="n">
        <v>45931</v>
      </c>
      <c r="C287" s="18" t="s">
        <v>401</v>
      </c>
      <c r="D287" s="18" t="s">
        <v>106</v>
      </c>
      <c r="E287" s="18" t="s">
        <v>53</v>
      </c>
      <c r="F287" s="19" t="n">
        <v>49.9</v>
      </c>
      <c r="G287" s="20" t="s">
        <v>381</v>
      </c>
    </row>
    <row r="288" customFormat="false" ht="15" hidden="false" customHeight="true" outlineLevel="0" collapsed="false">
      <c r="B288" s="17" t="n">
        <v>45931</v>
      </c>
      <c r="C288" s="18" t="s">
        <v>402</v>
      </c>
      <c r="D288" s="18" t="s">
        <v>106</v>
      </c>
      <c r="E288" s="18" t="s">
        <v>72</v>
      </c>
      <c r="F288" s="19" t="n">
        <v>650</v>
      </c>
      <c r="G288" s="20" t="s">
        <v>381</v>
      </c>
    </row>
    <row r="289" customFormat="false" ht="15" hidden="false" customHeight="true" outlineLevel="0" collapsed="false">
      <c r="B289" s="17" t="n">
        <v>45931</v>
      </c>
      <c r="C289" s="18" t="s">
        <v>403</v>
      </c>
      <c r="D289" s="18" t="s">
        <v>106</v>
      </c>
      <c r="E289" s="18" t="s">
        <v>58</v>
      </c>
      <c r="F289" s="19" t="n">
        <v>75426.78</v>
      </c>
      <c r="G289" s="20" t="s">
        <v>381</v>
      </c>
    </row>
    <row r="290" customFormat="false" ht="15" hidden="false" customHeight="true" outlineLevel="0" collapsed="false">
      <c r="B290" s="17" t="n">
        <v>45931</v>
      </c>
      <c r="C290" s="18" t="s">
        <v>404</v>
      </c>
      <c r="D290" s="18" t="s">
        <v>106</v>
      </c>
      <c r="E290" s="18" t="s">
        <v>63</v>
      </c>
      <c r="F290" s="19" t="n">
        <v>12013.66</v>
      </c>
      <c r="G290" s="20" t="s">
        <v>381</v>
      </c>
    </row>
    <row r="291" customFormat="false" ht="15" hidden="false" customHeight="true" outlineLevel="0" collapsed="false">
      <c r="B291" s="17" t="n">
        <v>45931</v>
      </c>
      <c r="C291" s="18" t="s">
        <v>405</v>
      </c>
      <c r="D291" s="18" t="s">
        <v>106</v>
      </c>
      <c r="E291" s="18" t="s">
        <v>79</v>
      </c>
      <c r="F291" s="19" t="n">
        <v>46.2</v>
      </c>
      <c r="G291" s="20" t="s">
        <v>381</v>
      </c>
    </row>
    <row r="292" customFormat="false" ht="15" hidden="false" customHeight="true" outlineLevel="0" collapsed="false">
      <c r="B292" s="17" t="n">
        <v>45931</v>
      </c>
      <c r="C292" s="18" t="s">
        <v>406</v>
      </c>
      <c r="D292" s="18" t="s">
        <v>106</v>
      </c>
      <c r="E292" s="18" t="s">
        <v>85</v>
      </c>
      <c r="F292" s="19" t="n">
        <v>3989.34</v>
      </c>
      <c r="G292" s="20" t="s">
        <v>381</v>
      </c>
    </row>
    <row r="293" customFormat="false" ht="15" hidden="false" customHeight="true" outlineLevel="0" collapsed="false">
      <c r="B293" s="17" t="n">
        <v>45931</v>
      </c>
      <c r="C293" s="18" t="s">
        <v>407</v>
      </c>
      <c r="D293" s="18" t="s">
        <v>106</v>
      </c>
      <c r="E293" s="18" t="s">
        <v>54</v>
      </c>
      <c r="F293" s="19" t="n">
        <v>957</v>
      </c>
      <c r="G293" s="20" t="s">
        <v>381</v>
      </c>
    </row>
    <row r="294" customFormat="false" ht="15" hidden="false" customHeight="true" outlineLevel="0" collapsed="false">
      <c r="B294" s="17" t="n">
        <v>45931</v>
      </c>
      <c r="C294" s="18" t="s">
        <v>408</v>
      </c>
      <c r="D294" s="18" t="s">
        <v>106</v>
      </c>
      <c r="E294" s="18" t="s">
        <v>55</v>
      </c>
      <c r="F294" s="19" t="n">
        <v>681.34</v>
      </c>
      <c r="G294" s="20" t="s">
        <v>381</v>
      </c>
    </row>
    <row r="295" customFormat="false" ht="15" hidden="false" customHeight="true" outlineLevel="0" collapsed="false">
      <c r="B295" s="17" t="n">
        <v>45931</v>
      </c>
      <c r="C295" s="18" t="s">
        <v>409</v>
      </c>
      <c r="D295" s="18" t="s">
        <v>106</v>
      </c>
      <c r="E295" s="18" t="s">
        <v>57</v>
      </c>
      <c r="F295" s="19" t="n">
        <v>192.71</v>
      </c>
      <c r="G295" s="20" t="s">
        <v>381</v>
      </c>
    </row>
    <row r="296" customFormat="false" ht="15" hidden="false" customHeight="true" outlineLevel="0" collapsed="false">
      <c r="B296" s="17" t="n">
        <v>45931</v>
      </c>
      <c r="C296" s="18" t="s">
        <v>410</v>
      </c>
      <c r="D296" s="18" t="s">
        <v>106</v>
      </c>
      <c r="E296" s="18" t="s">
        <v>70</v>
      </c>
      <c r="F296" s="19" t="n">
        <v>7750</v>
      </c>
      <c r="G296" s="20" t="s">
        <v>381</v>
      </c>
    </row>
    <row r="297" customFormat="false" ht="15" hidden="false" customHeight="true" outlineLevel="0" collapsed="false">
      <c r="B297" s="17" t="n">
        <v>45931</v>
      </c>
      <c r="C297" s="18" t="s">
        <v>411</v>
      </c>
      <c r="D297" s="18" t="s">
        <v>106</v>
      </c>
      <c r="E297" s="18" t="s">
        <v>82</v>
      </c>
      <c r="F297" s="19" t="n">
        <v>2360.04</v>
      </c>
      <c r="G297" s="20" t="s">
        <v>381</v>
      </c>
    </row>
    <row r="298" customFormat="false" ht="15" hidden="false" customHeight="true" outlineLevel="0" collapsed="false">
      <c r="B298" s="17" t="n">
        <v>45931</v>
      </c>
      <c r="C298" s="18" t="s">
        <v>412</v>
      </c>
      <c r="D298" s="18" t="s">
        <v>106</v>
      </c>
      <c r="E298" s="18" t="s">
        <v>84</v>
      </c>
      <c r="F298" s="19" t="n">
        <v>2500</v>
      </c>
      <c r="G298" s="20" t="s">
        <v>381</v>
      </c>
    </row>
    <row r="299" customFormat="false" ht="15" hidden="false" customHeight="true" outlineLevel="0" collapsed="false">
      <c r="B299" s="17" t="n">
        <v>45931</v>
      </c>
      <c r="C299" s="18" t="s">
        <v>413</v>
      </c>
      <c r="D299" s="18" t="s">
        <v>106</v>
      </c>
      <c r="E299" s="18" t="s">
        <v>81</v>
      </c>
      <c r="F299" s="19" t="n">
        <v>5000</v>
      </c>
      <c r="G299" s="20" t="s">
        <v>381</v>
      </c>
    </row>
    <row r="300" customFormat="false" ht="15" hidden="false" customHeight="true" outlineLevel="0" collapsed="false">
      <c r="B300" s="17" t="n">
        <v>45931</v>
      </c>
      <c r="C300" s="18" t="s">
        <v>414</v>
      </c>
      <c r="D300" s="18" t="s">
        <v>106</v>
      </c>
      <c r="E300" s="18" t="s">
        <v>24</v>
      </c>
      <c r="F300" s="19" t="n">
        <v>484305.21</v>
      </c>
      <c r="G300" s="20" t="s">
        <v>381</v>
      </c>
    </row>
    <row r="301" customFormat="false" ht="15" hidden="false" customHeight="true" outlineLevel="0" collapsed="false">
      <c r="B301" s="17" t="n">
        <v>45962</v>
      </c>
      <c r="C301" s="18" t="s">
        <v>415</v>
      </c>
      <c r="D301" s="18" t="s">
        <v>116</v>
      </c>
      <c r="E301" s="18" t="s">
        <v>22</v>
      </c>
      <c r="F301" s="19" t="n">
        <v>641084</v>
      </c>
      <c r="G301" s="20" t="s">
        <v>416</v>
      </c>
    </row>
    <row r="302" customFormat="false" ht="15" hidden="false" customHeight="true" outlineLevel="0" collapsed="false">
      <c r="B302" s="17" t="n">
        <v>45962</v>
      </c>
      <c r="C302" s="18" t="s">
        <v>417</v>
      </c>
      <c r="D302" s="18" t="s">
        <v>106</v>
      </c>
      <c r="E302" s="18" t="s">
        <v>52</v>
      </c>
      <c r="F302" s="19" t="n">
        <v>1803.81</v>
      </c>
      <c r="G302" s="20" t="s">
        <v>416</v>
      </c>
    </row>
    <row r="303" customFormat="false" ht="15" hidden="false" customHeight="true" outlineLevel="0" collapsed="false">
      <c r="B303" s="17" t="n">
        <v>45962</v>
      </c>
      <c r="C303" s="18" t="s">
        <v>418</v>
      </c>
      <c r="D303" s="18" t="s">
        <v>106</v>
      </c>
      <c r="E303" s="18" t="s">
        <v>51</v>
      </c>
      <c r="F303" s="19" t="n">
        <v>22206.35</v>
      </c>
      <c r="G303" s="20" t="s">
        <v>416</v>
      </c>
    </row>
    <row r="304" customFormat="false" ht="15" hidden="false" customHeight="true" outlineLevel="0" collapsed="false">
      <c r="B304" s="17" t="n">
        <v>45962</v>
      </c>
      <c r="C304" s="18" t="s">
        <v>419</v>
      </c>
      <c r="D304" s="18" t="s">
        <v>106</v>
      </c>
      <c r="E304" s="18" t="s">
        <v>59</v>
      </c>
      <c r="F304" s="19" t="n">
        <v>3750</v>
      </c>
      <c r="G304" s="20" t="s">
        <v>416</v>
      </c>
    </row>
    <row r="305" customFormat="false" ht="15" hidden="false" customHeight="true" outlineLevel="0" collapsed="false">
      <c r="B305" s="17" t="n">
        <v>45962</v>
      </c>
      <c r="C305" s="18" t="s">
        <v>420</v>
      </c>
      <c r="D305" s="18" t="s">
        <v>106</v>
      </c>
      <c r="E305" s="18" t="s">
        <v>67</v>
      </c>
      <c r="F305" s="19" t="n">
        <v>175.59</v>
      </c>
      <c r="G305" s="20" t="s">
        <v>416</v>
      </c>
    </row>
    <row r="306" customFormat="false" ht="15" hidden="false" customHeight="true" outlineLevel="0" collapsed="false">
      <c r="B306" s="17" t="n">
        <v>45962</v>
      </c>
      <c r="C306" s="18" t="s">
        <v>421</v>
      </c>
      <c r="D306" s="18" t="s">
        <v>106</v>
      </c>
      <c r="E306" s="18" t="s">
        <v>71</v>
      </c>
      <c r="F306" s="19" t="n">
        <v>2071.71</v>
      </c>
      <c r="G306" s="20" t="s">
        <v>416</v>
      </c>
    </row>
    <row r="307" customFormat="false" ht="15" hidden="false" customHeight="true" outlineLevel="0" collapsed="false">
      <c r="B307" s="17" t="n">
        <v>45962</v>
      </c>
      <c r="C307" s="18" t="s">
        <v>422</v>
      </c>
      <c r="D307" s="18" t="s">
        <v>106</v>
      </c>
      <c r="E307" s="18" t="s">
        <v>61</v>
      </c>
      <c r="F307" s="19" t="n">
        <v>6818.81</v>
      </c>
      <c r="G307" s="20" t="s">
        <v>416</v>
      </c>
    </row>
    <row r="308" customFormat="false" ht="15" hidden="false" customHeight="true" outlineLevel="0" collapsed="false">
      <c r="B308" s="17" t="n">
        <v>45962</v>
      </c>
      <c r="C308" s="18" t="s">
        <v>423</v>
      </c>
      <c r="D308" s="18" t="s">
        <v>106</v>
      </c>
      <c r="E308" s="18" t="s">
        <v>64</v>
      </c>
      <c r="F308" s="19" t="n">
        <v>269.82</v>
      </c>
      <c r="G308" s="20" t="s">
        <v>416</v>
      </c>
    </row>
    <row r="309" customFormat="false" ht="15" hidden="false" customHeight="true" outlineLevel="0" collapsed="false">
      <c r="B309" s="17" t="n">
        <v>45962</v>
      </c>
      <c r="C309" s="18" t="s">
        <v>424</v>
      </c>
      <c r="D309" s="18" t="s">
        <v>106</v>
      </c>
      <c r="E309" s="18" t="s">
        <v>62</v>
      </c>
      <c r="F309" s="19" t="n">
        <v>940</v>
      </c>
      <c r="G309" s="20" t="s">
        <v>416</v>
      </c>
    </row>
    <row r="310" customFormat="false" ht="15" hidden="false" customHeight="true" outlineLevel="0" collapsed="false">
      <c r="B310" s="17" t="n">
        <v>45962</v>
      </c>
      <c r="C310" s="18" t="s">
        <v>425</v>
      </c>
      <c r="D310" s="18" t="s">
        <v>106</v>
      </c>
      <c r="E310" s="18" t="s">
        <v>50</v>
      </c>
      <c r="F310" s="19" t="n">
        <v>5352</v>
      </c>
      <c r="G310" s="20" t="s">
        <v>416</v>
      </c>
    </row>
    <row r="311" customFormat="false" ht="15" hidden="false" customHeight="true" outlineLevel="0" collapsed="false">
      <c r="B311" s="17" t="n">
        <v>45962</v>
      </c>
      <c r="C311" s="18" t="s">
        <v>426</v>
      </c>
      <c r="D311" s="18" t="s">
        <v>106</v>
      </c>
      <c r="E311" s="18" t="s">
        <v>83</v>
      </c>
      <c r="F311" s="19" t="n">
        <v>2734.2</v>
      </c>
      <c r="G311" s="20" t="s">
        <v>416</v>
      </c>
    </row>
    <row r="312" customFormat="false" ht="15" hidden="false" customHeight="true" outlineLevel="0" collapsed="false">
      <c r="B312" s="17" t="n">
        <v>45962</v>
      </c>
      <c r="C312" s="18" t="s">
        <v>427</v>
      </c>
      <c r="D312" s="18" t="s">
        <v>106</v>
      </c>
      <c r="E312" s="18" t="s">
        <v>76</v>
      </c>
      <c r="F312" s="19" t="n">
        <v>1100</v>
      </c>
      <c r="G312" s="20" t="s">
        <v>416</v>
      </c>
    </row>
    <row r="313" customFormat="false" ht="15" hidden="false" customHeight="true" outlineLevel="0" collapsed="false">
      <c r="B313" s="17" t="n">
        <v>45962</v>
      </c>
      <c r="C313" s="18" t="s">
        <v>428</v>
      </c>
      <c r="D313" s="18" t="s">
        <v>106</v>
      </c>
      <c r="E313" s="18" t="s">
        <v>97</v>
      </c>
      <c r="F313" s="19" t="n">
        <v>69.01</v>
      </c>
      <c r="G313" s="20" t="s">
        <v>416</v>
      </c>
    </row>
    <row r="314" customFormat="false" ht="15" hidden="false" customHeight="true" outlineLevel="0" collapsed="false">
      <c r="B314" s="17" t="n">
        <v>45962</v>
      </c>
      <c r="C314" s="18" t="s">
        <v>429</v>
      </c>
      <c r="D314" s="18" t="s">
        <v>106</v>
      </c>
      <c r="E314" s="18" t="s">
        <v>45</v>
      </c>
      <c r="F314" s="19" t="n">
        <v>51.52</v>
      </c>
      <c r="G314" s="20" t="s">
        <v>416</v>
      </c>
    </row>
    <row r="315" customFormat="false" ht="15" hidden="false" customHeight="true" outlineLevel="0" collapsed="false">
      <c r="B315" s="17" t="n">
        <v>45962</v>
      </c>
      <c r="C315" s="18" t="s">
        <v>430</v>
      </c>
      <c r="D315" s="18" t="s">
        <v>106</v>
      </c>
      <c r="E315" s="18" t="s">
        <v>43</v>
      </c>
      <c r="F315" s="19" t="n">
        <v>1773.48</v>
      </c>
      <c r="G315" s="20" t="s">
        <v>416</v>
      </c>
    </row>
    <row r="316" customFormat="false" ht="15" hidden="false" customHeight="true" outlineLevel="0" collapsed="false">
      <c r="B316" s="17" t="n">
        <v>45962</v>
      </c>
      <c r="C316" s="18" t="s">
        <v>431</v>
      </c>
      <c r="D316" s="18" t="s">
        <v>106</v>
      </c>
      <c r="E316" s="18" t="s">
        <v>65</v>
      </c>
      <c r="F316" s="19" t="n">
        <v>246.87</v>
      </c>
      <c r="G316" s="20" t="s">
        <v>416</v>
      </c>
    </row>
    <row r="317" customFormat="false" ht="15" hidden="false" customHeight="true" outlineLevel="0" collapsed="false">
      <c r="B317" s="17" t="n">
        <v>45962</v>
      </c>
      <c r="C317" s="18" t="s">
        <v>432</v>
      </c>
      <c r="D317" s="18" t="s">
        <v>106</v>
      </c>
      <c r="E317" s="18" t="s">
        <v>60</v>
      </c>
      <c r="F317" s="19" t="n">
        <v>334.03</v>
      </c>
      <c r="G317" s="20" t="s">
        <v>416</v>
      </c>
    </row>
    <row r="318" customFormat="false" ht="15" hidden="false" customHeight="true" outlineLevel="0" collapsed="false">
      <c r="B318" s="17" t="n">
        <v>45962</v>
      </c>
      <c r="C318" s="18" t="s">
        <v>433</v>
      </c>
      <c r="D318" s="18" t="s">
        <v>106</v>
      </c>
      <c r="E318" s="18" t="s">
        <v>53</v>
      </c>
      <c r="F318" s="19" t="n">
        <v>49.9</v>
      </c>
      <c r="G318" s="20" t="s">
        <v>416</v>
      </c>
    </row>
    <row r="319" customFormat="false" ht="15" hidden="false" customHeight="true" outlineLevel="0" collapsed="false">
      <c r="B319" s="17" t="n">
        <v>45962</v>
      </c>
      <c r="C319" s="18" t="s">
        <v>434</v>
      </c>
      <c r="D319" s="18" t="s">
        <v>106</v>
      </c>
      <c r="E319" s="18" t="s">
        <v>58</v>
      </c>
      <c r="F319" s="19" t="n">
        <v>124823.38</v>
      </c>
      <c r="G319" s="20" t="s">
        <v>416</v>
      </c>
    </row>
    <row r="320" customFormat="false" ht="15" hidden="false" customHeight="true" outlineLevel="0" collapsed="false">
      <c r="B320" s="17" t="n">
        <v>45962</v>
      </c>
      <c r="C320" s="18" t="s">
        <v>435</v>
      </c>
      <c r="D320" s="18" t="s">
        <v>106</v>
      </c>
      <c r="E320" s="18" t="s">
        <v>63</v>
      </c>
      <c r="F320" s="19" t="n">
        <v>12013.66</v>
      </c>
      <c r="G320" s="20" t="s">
        <v>416</v>
      </c>
    </row>
    <row r="321" customFormat="false" ht="15" hidden="false" customHeight="true" outlineLevel="0" collapsed="false">
      <c r="B321" s="17" t="n">
        <v>45962</v>
      </c>
      <c r="C321" s="18" t="s">
        <v>436</v>
      </c>
      <c r="D321" s="18" t="s">
        <v>106</v>
      </c>
      <c r="E321" s="18" t="s">
        <v>79</v>
      </c>
      <c r="F321" s="19" t="n">
        <v>31.2</v>
      </c>
      <c r="G321" s="20" t="s">
        <v>416</v>
      </c>
    </row>
    <row r="322" customFormat="false" ht="15" hidden="false" customHeight="true" outlineLevel="0" collapsed="false">
      <c r="B322" s="17" t="n">
        <v>45962</v>
      </c>
      <c r="C322" s="18" t="s">
        <v>437</v>
      </c>
      <c r="D322" s="18" t="s">
        <v>106</v>
      </c>
      <c r="E322" s="18" t="s">
        <v>85</v>
      </c>
      <c r="F322" s="19" t="n">
        <v>4696.9</v>
      </c>
      <c r="G322" s="20" t="s">
        <v>416</v>
      </c>
    </row>
    <row r="323" customFormat="false" ht="15" hidden="false" customHeight="true" outlineLevel="0" collapsed="false">
      <c r="B323" s="17" t="n">
        <v>45962</v>
      </c>
      <c r="C323" s="18" t="s">
        <v>438</v>
      </c>
      <c r="D323" s="18" t="s">
        <v>106</v>
      </c>
      <c r="E323" s="18" t="s">
        <v>47</v>
      </c>
      <c r="F323" s="19" t="n">
        <v>900</v>
      </c>
      <c r="G323" s="20" t="s">
        <v>416</v>
      </c>
    </row>
    <row r="324" customFormat="false" ht="15" hidden="false" customHeight="true" outlineLevel="0" collapsed="false">
      <c r="B324" s="17" t="n">
        <v>45962</v>
      </c>
      <c r="C324" s="18" t="s">
        <v>439</v>
      </c>
      <c r="D324" s="18" t="s">
        <v>106</v>
      </c>
      <c r="E324" s="18" t="s">
        <v>54</v>
      </c>
      <c r="F324" s="19" t="n">
        <v>957</v>
      </c>
      <c r="G324" s="20" t="s">
        <v>416</v>
      </c>
    </row>
    <row r="325" customFormat="false" ht="15" hidden="false" customHeight="true" outlineLevel="0" collapsed="false">
      <c r="B325" s="17" t="n">
        <v>45962</v>
      </c>
      <c r="C325" s="18" t="s">
        <v>440</v>
      </c>
      <c r="D325" s="18" t="s">
        <v>106</v>
      </c>
      <c r="E325" s="18" t="s">
        <v>57</v>
      </c>
      <c r="F325" s="19" t="n">
        <v>92.03</v>
      </c>
      <c r="G325" s="20" t="s">
        <v>416</v>
      </c>
    </row>
    <row r="326" customFormat="false" ht="15" hidden="false" customHeight="true" outlineLevel="0" collapsed="false">
      <c r="B326" s="17" t="n">
        <v>45962</v>
      </c>
      <c r="C326" s="18" t="s">
        <v>441</v>
      </c>
      <c r="D326" s="18" t="s">
        <v>106</v>
      </c>
      <c r="E326" s="18" t="s">
        <v>70</v>
      </c>
      <c r="F326" s="19" t="n">
        <v>7750</v>
      </c>
      <c r="G326" s="20" t="s">
        <v>416</v>
      </c>
    </row>
    <row r="327" customFormat="false" ht="15" hidden="false" customHeight="true" outlineLevel="0" collapsed="false">
      <c r="B327" s="17" t="n">
        <v>45962</v>
      </c>
      <c r="C327" s="18" t="s">
        <v>442</v>
      </c>
      <c r="D327" s="18" t="s">
        <v>106</v>
      </c>
      <c r="E327" s="18" t="s">
        <v>82</v>
      </c>
      <c r="F327" s="19" t="n">
        <v>2929.54</v>
      </c>
      <c r="G327" s="20" t="s">
        <v>416</v>
      </c>
    </row>
    <row r="328" customFormat="false" ht="15" hidden="false" customHeight="true" outlineLevel="0" collapsed="false">
      <c r="B328" s="17" t="n">
        <v>45962</v>
      </c>
      <c r="C328" s="18" t="s">
        <v>443</v>
      </c>
      <c r="D328" s="18" t="s">
        <v>106</v>
      </c>
      <c r="E328" s="18" t="s">
        <v>84</v>
      </c>
      <c r="F328" s="19" t="n">
        <v>2500</v>
      </c>
      <c r="G328" s="20" t="s">
        <v>416</v>
      </c>
    </row>
    <row r="329" customFormat="false" ht="15" hidden="false" customHeight="true" outlineLevel="0" collapsed="false">
      <c r="B329" s="17" t="n">
        <v>45962</v>
      </c>
      <c r="C329" s="18" t="s">
        <v>444</v>
      </c>
      <c r="D329" s="18" t="s">
        <v>106</v>
      </c>
      <c r="E329" s="18" t="s">
        <v>81</v>
      </c>
      <c r="F329" s="19" t="n">
        <v>5000</v>
      </c>
      <c r="G329" s="20" t="s">
        <v>416</v>
      </c>
    </row>
    <row r="330" customFormat="false" ht="15" hidden="false" customHeight="true" outlineLevel="0" collapsed="false">
      <c r="B330" s="17" t="n">
        <v>45962</v>
      </c>
      <c r="C330" s="18" t="s">
        <v>445</v>
      </c>
      <c r="D330" s="18" t="s">
        <v>106</v>
      </c>
      <c r="E330" s="18" t="s">
        <v>89</v>
      </c>
      <c r="F330" s="19" t="n">
        <v>2055.6</v>
      </c>
      <c r="G330" s="20" t="s">
        <v>416</v>
      </c>
    </row>
    <row r="331" customFormat="false" ht="15" hidden="false" customHeight="true" outlineLevel="0" collapsed="false">
      <c r="B331" s="17" t="n">
        <v>45962</v>
      </c>
      <c r="C331" s="18" t="s">
        <v>446</v>
      </c>
      <c r="D331" s="18" t="s">
        <v>106</v>
      </c>
      <c r="E331" s="18" t="s">
        <v>447</v>
      </c>
      <c r="F331" s="19" t="n">
        <v>13576.63</v>
      </c>
      <c r="G331" s="20" t="s">
        <v>416</v>
      </c>
    </row>
    <row r="332" customFormat="false" ht="15" hidden="false" customHeight="true" outlineLevel="0" collapsed="false">
      <c r="B332" s="17" t="n">
        <v>45962</v>
      </c>
      <c r="C332" s="18" t="s">
        <v>448</v>
      </c>
      <c r="D332" s="18" t="s">
        <v>106</v>
      </c>
      <c r="E332" s="18" t="s">
        <v>24</v>
      </c>
      <c r="F332" s="19" t="n">
        <v>448073.59</v>
      </c>
      <c r="G332" s="20" t="s">
        <v>416</v>
      </c>
    </row>
    <row r="333" customFormat="false" ht="15" hidden="false" customHeight="true" outlineLevel="0" collapsed="false">
      <c r="B333" s="17" t="n">
        <v>45992</v>
      </c>
      <c r="C333" s="18" t="s">
        <v>449</v>
      </c>
      <c r="D333" s="18" t="s">
        <v>116</v>
      </c>
      <c r="E333" s="18" t="s">
        <v>22</v>
      </c>
      <c r="F333" s="19" t="n">
        <v>676999.33</v>
      </c>
      <c r="G333" s="20" t="s">
        <v>450</v>
      </c>
    </row>
    <row r="334" customFormat="false" ht="15" hidden="false" customHeight="true" outlineLevel="0" collapsed="false">
      <c r="B334" s="17" t="n">
        <v>45992</v>
      </c>
      <c r="C334" s="18" t="s">
        <v>451</v>
      </c>
      <c r="D334" s="18" t="s">
        <v>106</v>
      </c>
      <c r="E334" s="18" t="s">
        <v>51</v>
      </c>
      <c r="F334" s="19" t="n">
        <v>25922.28</v>
      </c>
      <c r="G334" s="20" t="s">
        <v>450</v>
      </c>
    </row>
    <row r="335" customFormat="false" ht="15" hidden="false" customHeight="true" outlineLevel="0" collapsed="false">
      <c r="B335" s="17" t="n">
        <v>45992</v>
      </c>
      <c r="C335" s="18" t="s">
        <v>452</v>
      </c>
      <c r="D335" s="18" t="s">
        <v>106</v>
      </c>
      <c r="E335" s="18" t="s">
        <v>59</v>
      </c>
      <c r="F335" s="19" t="n">
        <v>3850</v>
      </c>
      <c r="G335" s="20" t="s">
        <v>450</v>
      </c>
    </row>
    <row r="336" customFormat="false" ht="15" hidden="false" customHeight="true" outlineLevel="0" collapsed="false">
      <c r="B336" s="17" t="n">
        <v>45992</v>
      </c>
      <c r="C336" s="18" t="s">
        <v>453</v>
      </c>
      <c r="D336" s="18" t="s">
        <v>106</v>
      </c>
      <c r="E336" s="18" t="s">
        <v>87</v>
      </c>
      <c r="F336" s="19" t="n">
        <v>8096</v>
      </c>
      <c r="G336" s="20" t="s">
        <v>450</v>
      </c>
    </row>
    <row r="337" customFormat="false" ht="15" hidden="false" customHeight="true" outlineLevel="0" collapsed="false">
      <c r="B337" s="17" t="n">
        <v>45992</v>
      </c>
      <c r="C337" s="18" t="s">
        <v>454</v>
      </c>
      <c r="D337" s="18" t="s">
        <v>106</v>
      </c>
      <c r="E337" s="18" t="s">
        <v>71</v>
      </c>
      <c r="F337" s="19" t="n">
        <v>3434.87</v>
      </c>
      <c r="G337" s="20" t="s">
        <v>450</v>
      </c>
    </row>
    <row r="338" customFormat="false" ht="15" hidden="false" customHeight="true" outlineLevel="0" collapsed="false">
      <c r="B338" s="17" t="n">
        <v>45992</v>
      </c>
      <c r="C338" s="18" t="s">
        <v>455</v>
      </c>
      <c r="D338" s="18" t="s">
        <v>106</v>
      </c>
      <c r="E338" s="18" t="s">
        <v>61</v>
      </c>
      <c r="F338" s="19" t="n">
        <v>7966.01</v>
      </c>
      <c r="G338" s="20" t="s">
        <v>450</v>
      </c>
    </row>
    <row r="339" customFormat="false" ht="15" hidden="false" customHeight="true" outlineLevel="0" collapsed="false">
      <c r="B339" s="17" t="n">
        <v>45992</v>
      </c>
      <c r="C339" s="18" t="s">
        <v>456</v>
      </c>
      <c r="D339" s="18" t="s">
        <v>106</v>
      </c>
      <c r="E339" s="18" t="s">
        <v>64</v>
      </c>
      <c r="F339" s="19" t="n">
        <v>269.82</v>
      </c>
      <c r="G339" s="20" t="s">
        <v>450</v>
      </c>
    </row>
    <row r="340" customFormat="false" ht="15" hidden="false" customHeight="true" outlineLevel="0" collapsed="false">
      <c r="B340" s="17" t="n">
        <v>45992</v>
      </c>
      <c r="C340" s="18" t="s">
        <v>457</v>
      </c>
      <c r="D340" s="18" t="s">
        <v>106</v>
      </c>
      <c r="E340" s="18" t="s">
        <v>62</v>
      </c>
      <c r="F340" s="19" t="n">
        <v>140</v>
      </c>
      <c r="G340" s="20" t="s">
        <v>450</v>
      </c>
    </row>
    <row r="341" customFormat="false" ht="15" hidden="false" customHeight="true" outlineLevel="0" collapsed="false">
      <c r="B341" s="17" t="n">
        <v>45992</v>
      </c>
      <c r="C341" s="18" t="s">
        <v>458</v>
      </c>
      <c r="D341" s="18" t="s">
        <v>106</v>
      </c>
      <c r="E341" s="18" t="s">
        <v>49</v>
      </c>
      <c r="F341" s="19" t="n">
        <v>700</v>
      </c>
      <c r="G341" s="20" t="s">
        <v>450</v>
      </c>
    </row>
    <row r="342" customFormat="false" ht="15" hidden="false" customHeight="true" outlineLevel="0" collapsed="false">
      <c r="B342" s="17" t="n">
        <v>45992</v>
      </c>
      <c r="C342" s="18" t="s">
        <v>459</v>
      </c>
      <c r="D342" s="18" t="s">
        <v>106</v>
      </c>
      <c r="E342" s="18" t="s">
        <v>50</v>
      </c>
      <c r="F342" s="19" t="n">
        <v>3990</v>
      </c>
      <c r="G342" s="20" t="s">
        <v>450</v>
      </c>
    </row>
    <row r="343" customFormat="false" ht="15" hidden="false" customHeight="true" outlineLevel="0" collapsed="false">
      <c r="B343" s="17" t="n">
        <v>45992</v>
      </c>
      <c r="C343" s="18" t="s">
        <v>460</v>
      </c>
      <c r="D343" s="18" t="s">
        <v>106</v>
      </c>
      <c r="E343" s="18" t="s">
        <v>68</v>
      </c>
      <c r="F343" s="19" t="n">
        <v>790.16</v>
      </c>
      <c r="G343" s="20" t="s">
        <v>450</v>
      </c>
    </row>
    <row r="344" customFormat="false" ht="15" hidden="false" customHeight="true" outlineLevel="0" collapsed="false">
      <c r="B344" s="17" t="n">
        <v>45992</v>
      </c>
      <c r="C344" s="18" t="s">
        <v>461</v>
      </c>
      <c r="D344" s="18" t="s">
        <v>106</v>
      </c>
      <c r="E344" s="18" t="s">
        <v>69</v>
      </c>
      <c r="F344" s="19" t="n">
        <v>552.26</v>
      </c>
      <c r="G344" s="20" t="s">
        <v>450</v>
      </c>
    </row>
    <row r="345" customFormat="false" ht="15" hidden="false" customHeight="true" outlineLevel="0" collapsed="false">
      <c r="B345" s="17" t="n">
        <v>45992</v>
      </c>
      <c r="C345" s="18" t="s">
        <v>462</v>
      </c>
      <c r="D345" s="18" t="s">
        <v>106</v>
      </c>
      <c r="E345" s="18" t="s">
        <v>78</v>
      </c>
      <c r="F345" s="19" t="n">
        <v>120</v>
      </c>
      <c r="G345" s="20" t="s">
        <v>450</v>
      </c>
    </row>
    <row r="346" customFormat="false" ht="15" hidden="false" customHeight="true" outlineLevel="0" collapsed="false">
      <c r="B346" s="17" t="n">
        <v>45992</v>
      </c>
      <c r="C346" s="18" t="s">
        <v>463</v>
      </c>
      <c r="D346" s="18" t="s">
        <v>106</v>
      </c>
      <c r="E346" s="18" t="s">
        <v>42</v>
      </c>
      <c r="F346" s="19" t="n">
        <v>4439.64</v>
      </c>
      <c r="G346" s="20" t="s">
        <v>450</v>
      </c>
    </row>
    <row r="347" customFormat="false" ht="15" hidden="false" customHeight="true" outlineLevel="0" collapsed="false">
      <c r="B347" s="17" t="n">
        <v>45992</v>
      </c>
      <c r="C347" s="18" t="s">
        <v>464</v>
      </c>
      <c r="D347" s="18" t="s">
        <v>106</v>
      </c>
      <c r="E347" s="18" t="s">
        <v>76</v>
      </c>
      <c r="F347" s="19" t="n">
        <v>1100</v>
      </c>
      <c r="G347" s="20" t="s">
        <v>450</v>
      </c>
    </row>
    <row r="348" customFormat="false" ht="15" hidden="false" customHeight="true" outlineLevel="0" collapsed="false">
      <c r="B348" s="17" t="n">
        <v>45992</v>
      </c>
      <c r="C348" s="18" t="s">
        <v>465</v>
      </c>
      <c r="D348" s="18" t="s">
        <v>106</v>
      </c>
      <c r="E348" s="18" t="s">
        <v>97</v>
      </c>
      <c r="F348" s="19" t="n">
        <v>20136.76</v>
      </c>
      <c r="G348" s="20" t="s">
        <v>450</v>
      </c>
    </row>
    <row r="349" customFormat="false" ht="15" hidden="false" customHeight="true" outlineLevel="0" collapsed="false">
      <c r="B349" s="17" t="n">
        <v>45992</v>
      </c>
      <c r="C349" s="18" t="s">
        <v>466</v>
      </c>
      <c r="D349" s="18" t="s">
        <v>106</v>
      </c>
      <c r="E349" s="18" t="s">
        <v>45</v>
      </c>
      <c r="F349" s="19" t="n">
        <v>793.24</v>
      </c>
      <c r="G349" s="20" t="s">
        <v>450</v>
      </c>
    </row>
    <row r="350" customFormat="false" ht="15" hidden="false" customHeight="true" outlineLevel="0" collapsed="false">
      <c r="B350" s="17" t="n">
        <v>45992</v>
      </c>
      <c r="C350" s="18" t="s">
        <v>467</v>
      </c>
      <c r="D350" s="18" t="s">
        <v>106</v>
      </c>
      <c r="E350" s="18" t="s">
        <v>43</v>
      </c>
      <c r="F350" s="19" t="n">
        <v>1470.3</v>
      </c>
      <c r="G350" s="20" t="s">
        <v>450</v>
      </c>
    </row>
    <row r="351" customFormat="false" ht="15" hidden="false" customHeight="true" outlineLevel="0" collapsed="false">
      <c r="B351" s="17" t="n">
        <v>45992</v>
      </c>
      <c r="C351" s="18" t="s">
        <v>468</v>
      </c>
      <c r="D351" s="18" t="s">
        <v>106</v>
      </c>
      <c r="E351" s="18" t="s">
        <v>44</v>
      </c>
      <c r="F351" s="19" t="n">
        <v>110</v>
      </c>
      <c r="G351" s="20" t="s">
        <v>450</v>
      </c>
    </row>
    <row r="352" customFormat="false" ht="15" hidden="false" customHeight="true" outlineLevel="0" collapsed="false">
      <c r="B352" s="17" t="n">
        <v>45992</v>
      </c>
      <c r="C352" s="18" t="s">
        <v>469</v>
      </c>
      <c r="D352" s="18" t="s">
        <v>106</v>
      </c>
      <c r="E352" s="18" t="s">
        <v>46</v>
      </c>
      <c r="F352" s="19" t="n">
        <v>122</v>
      </c>
      <c r="G352" s="20" t="s">
        <v>450</v>
      </c>
    </row>
    <row r="353" customFormat="false" ht="15" hidden="false" customHeight="true" outlineLevel="0" collapsed="false">
      <c r="B353" s="17" t="n">
        <v>45992</v>
      </c>
      <c r="C353" s="18" t="s">
        <v>470</v>
      </c>
      <c r="D353" s="18" t="s">
        <v>106</v>
      </c>
      <c r="E353" s="18" t="s">
        <v>65</v>
      </c>
      <c r="F353" s="19" t="n">
        <v>120</v>
      </c>
      <c r="G353" s="20" t="s">
        <v>450</v>
      </c>
    </row>
    <row r="354" customFormat="false" ht="15" hidden="false" customHeight="true" outlineLevel="0" collapsed="false">
      <c r="B354" s="17" t="n">
        <v>45992</v>
      </c>
      <c r="C354" s="18" t="s">
        <v>471</v>
      </c>
      <c r="D354" s="18" t="s">
        <v>106</v>
      </c>
      <c r="E354" s="18" t="s">
        <v>60</v>
      </c>
      <c r="F354" s="19" t="n">
        <v>465.7</v>
      </c>
      <c r="G354" s="20" t="s">
        <v>450</v>
      </c>
    </row>
    <row r="355" customFormat="false" ht="15" hidden="false" customHeight="true" outlineLevel="0" collapsed="false">
      <c r="B355" s="17" t="n">
        <v>45992</v>
      </c>
      <c r="C355" s="18" t="s">
        <v>472</v>
      </c>
      <c r="D355" s="18" t="s">
        <v>106</v>
      </c>
      <c r="E355" s="18" t="s">
        <v>53</v>
      </c>
      <c r="F355" s="19" t="n">
        <v>67.4</v>
      </c>
      <c r="G355" s="20" t="s">
        <v>450</v>
      </c>
    </row>
    <row r="356" customFormat="false" ht="15" hidden="false" customHeight="true" outlineLevel="0" collapsed="false">
      <c r="B356" s="17" t="n">
        <v>45992</v>
      </c>
      <c r="C356" s="18" t="s">
        <v>473</v>
      </c>
      <c r="D356" s="18" t="s">
        <v>106</v>
      </c>
      <c r="E356" s="18" t="s">
        <v>58</v>
      </c>
      <c r="F356" s="19" t="n">
        <v>95629.47</v>
      </c>
      <c r="G356" s="20" t="s">
        <v>450</v>
      </c>
    </row>
    <row r="357" customFormat="false" ht="15" hidden="false" customHeight="true" outlineLevel="0" collapsed="false">
      <c r="B357" s="17" t="n">
        <v>45992</v>
      </c>
      <c r="C357" s="18" t="s">
        <v>474</v>
      </c>
      <c r="D357" s="18" t="s">
        <v>106</v>
      </c>
      <c r="E357" s="18" t="s">
        <v>63</v>
      </c>
      <c r="F357" s="19" t="n">
        <v>12013.66</v>
      </c>
      <c r="G357" s="20" t="s">
        <v>450</v>
      </c>
    </row>
    <row r="358" customFormat="false" ht="15" hidden="false" customHeight="true" outlineLevel="0" collapsed="false">
      <c r="B358" s="17" t="n">
        <v>45992</v>
      </c>
      <c r="C358" s="18" t="s">
        <v>475</v>
      </c>
      <c r="D358" s="18" t="s">
        <v>106</v>
      </c>
      <c r="E358" s="18" t="s">
        <v>85</v>
      </c>
      <c r="F358" s="19" t="n">
        <v>5198.96</v>
      </c>
      <c r="G358" s="20" t="s">
        <v>450</v>
      </c>
    </row>
    <row r="359" customFormat="false" ht="15" hidden="false" customHeight="true" outlineLevel="0" collapsed="false">
      <c r="B359" s="17" t="n">
        <v>45992</v>
      </c>
      <c r="C359" s="18" t="s">
        <v>476</v>
      </c>
      <c r="D359" s="18" t="s">
        <v>106</v>
      </c>
      <c r="E359" s="18" t="s">
        <v>54</v>
      </c>
      <c r="F359" s="19" t="n">
        <v>957</v>
      </c>
      <c r="G359" s="20" t="s">
        <v>450</v>
      </c>
    </row>
    <row r="360" customFormat="false" ht="15" hidden="false" customHeight="true" outlineLevel="0" collapsed="false">
      <c r="B360" s="17" t="n">
        <v>45992</v>
      </c>
      <c r="C360" s="18" t="s">
        <v>477</v>
      </c>
      <c r="D360" s="18" t="s">
        <v>106</v>
      </c>
      <c r="E360" s="18" t="s">
        <v>56</v>
      </c>
      <c r="F360" s="19" t="n">
        <v>683.9</v>
      </c>
      <c r="G360" s="20" t="s">
        <v>450</v>
      </c>
    </row>
    <row r="361" customFormat="false" ht="15" hidden="false" customHeight="true" outlineLevel="0" collapsed="false">
      <c r="B361" s="17" t="n">
        <v>45992</v>
      </c>
      <c r="C361" s="18" t="s">
        <v>478</v>
      </c>
      <c r="D361" s="18" t="s">
        <v>106</v>
      </c>
      <c r="E361" s="18" t="s">
        <v>70</v>
      </c>
      <c r="F361" s="19" t="n">
        <v>7750</v>
      </c>
      <c r="G361" s="20" t="s">
        <v>450</v>
      </c>
    </row>
    <row r="362" customFormat="false" ht="15" hidden="false" customHeight="true" outlineLevel="0" collapsed="false">
      <c r="B362" s="17" t="n">
        <v>45992</v>
      </c>
      <c r="C362" s="18" t="s">
        <v>479</v>
      </c>
      <c r="D362" s="18" t="s">
        <v>106</v>
      </c>
      <c r="E362" s="18" t="s">
        <v>81</v>
      </c>
      <c r="F362" s="19" t="n">
        <v>5000</v>
      </c>
      <c r="G362" s="20" t="s">
        <v>450</v>
      </c>
    </row>
    <row r="363" customFormat="false" ht="15" hidden="false" customHeight="true" outlineLevel="0" collapsed="false">
      <c r="B363" s="17" t="n">
        <v>45992</v>
      </c>
      <c r="C363" s="18" t="s">
        <v>480</v>
      </c>
      <c r="D363" s="18" t="s">
        <v>106</v>
      </c>
      <c r="E363" s="18" t="s">
        <v>89</v>
      </c>
      <c r="F363" s="19" t="n">
        <v>0.01</v>
      </c>
      <c r="G363" s="20" t="s">
        <v>450</v>
      </c>
    </row>
    <row r="364" customFormat="false" ht="15" hidden="false" customHeight="true" outlineLevel="0" collapsed="false">
      <c r="B364" s="17" t="n">
        <v>45992</v>
      </c>
      <c r="C364" s="18" t="s">
        <v>481</v>
      </c>
      <c r="D364" s="18" t="s">
        <v>106</v>
      </c>
      <c r="E364" s="18" t="s">
        <v>447</v>
      </c>
      <c r="F364" s="19" t="n">
        <v>12084.67</v>
      </c>
      <c r="G364" s="20" t="s">
        <v>450</v>
      </c>
    </row>
    <row r="365" customFormat="false" ht="15" hidden="false" customHeight="true" outlineLevel="0" collapsed="false">
      <c r="B365" s="17" t="n">
        <v>45992</v>
      </c>
      <c r="C365" s="18" t="s">
        <v>482</v>
      </c>
      <c r="D365" s="18" t="s">
        <v>106</v>
      </c>
      <c r="E365" s="18" t="s">
        <v>24</v>
      </c>
      <c r="F365" s="19" t="n">
        <v>493994.09</v>
      </c>
      <c r="G365" s="20" t="s">
        <v>450</v>
      </c>
    </row>
    <row r="366" customFormat="false" ht="15" hidden="false" customHeight="true" outlineLevel="0" collapsed="false">
      <c r="B366" s="17" t="n">
        <v>46023</v>
      </c>
      <c r="C366" s="18" t="s">
        <v>483</v>
      </c>
      <c r="D366" s="18" t="s">
        <v>116</v>
      </c>
      <c r="E366" s="18" t="s">
        <v>22</v>
      </c>
      <c r="F366" s="19" t="n">
        <v>309185.9</v>
      </c>
      <c r="G366" s="20" t="s">
        <v>484</v>
      </c>
    </row>
    <row r="367" customFormat="false" ht="15" hidden="false" customHeight="true" outlineLevel="0" collapsed="false">
      <c r="B367" s="17" t="n">
        <v>46023</v>
      </c>
      <c r="C367" s="18" t="s">
        <v>485</v>
      </c>
      <c r="D367" s="18" t="s">
        <v>106</v>
      </c>
      <c r="E367" s="18" t="s">
        <v>52</v>
      </c>
      <c r="F367" s="19" t="n">
        <v>7600</v>
      </c>
      <c r="G367" s="20" t="s">
        <v>484</v>
      </c>
    </row>
    <row r="368" customFormat="false" ht="15" hidden="false" customHeight="true" outlineLevel="0" collapsed="false">
      <c r="B368" s="17" t="n">
        <v>46023</v>
      </c>
      <c r="C368" s="18" t="s">
        <v>486</v>
      </c>
      <c r="D368" s="18" t="s">
        <v>106</v>
      </c>
      <c r="E368" s="18" t="s">
        <v>51</v>
      </c>
      <c r="F368" s="19" t="n">
        <v>29464</v>
      </c>
      <c r="G368" s="20" t="s">
        <v>484</v>
      </c>
    </row>
    <row r="369" customFormat="false" ht="15" hidden="false" customHeight="true" outlineLevel="0" collapsed="false">
      <c r="B369" s="17" t="n">
        <v>46023</v>
      </c>
      <c r="C369" s="18" t="s">
        <v>487</v>
      </c>
      <c r="D369" s="18" t="s">
        <v>106</v>
      </c>
      <c r="E369" s="18" t="s">
        <v>59</v>
      </c>
      <c r="F369" s="19" t="n">
        <v>3120.01</v>
      </c>
      <c r="G369" s="20" t="s">
        <v>484</v>
      </c>
    </row>
    <row r="370" customFormat="false" ht="15" hidden="false" customHeight="true" outlineLevel="0" collapsed="false">
      <c r="B370" s="17" t="n">
        <v>46023</v>
      </c>
      <c r="C370" s="18" t="s">
        <v>488</v>
      </c>
      <c r="D370" s="18" t="s">
        <v>106</v>
      </c>
      <c r="E370" s="18" t="s">
        <v>71</v>
      </c>
      <c r="F370" s="19" t="n">
        <v>30769.48</v>
      </c>
      <c r="G370" s="20" t="s">
        <v>484</v>
      </c>
    </row>
    <row r="371" customFormat="false" ht="15" hidden="false" customHeight="true" outlineLevel="0" collapsed="false">
      <c r="B371" s="17" t="n">
        <v>46023</v>
      </c>
      <c r="C371" s="18" t="s">
        <v>489</v>
      </c>
      <c r="D371" s="18" t="s">
        <v>106</v>
      </c>
      <c r="E371" s="18" t="s">
        <v>61</v>
      </c>
      <c r="F371" s="19" t="n">
        <v>1635.49</v>
      </c>
      <c r="G371" s="20" t="s">
        <v>484</v>
      </c>
    </row>
    <row r="372" customFormat="false" ht="15" hidden="false" customHeight="true" outlineLevel="0" collapsed="false">
      <c r="B372" s="17" t="n">
        <v>46023</v>
      </c>
      <c r="C372" s="18" t="s">
        <v>490</v>
      </c>
      <c r="D372" s="18" t="s">
        <v>106</v>
      </c>
      <c r="E372" s="18" t="s">
        <v>64</v>
      </c>
      <c r="F372" s="19" t="n">
        <v>265.92</v>
      </c>
      <c r="G372" s="20" t="s">
        <v>484</v>
      </c>
    </row>
    <row r="373" customFormat="false" ht="15" hidden="false" customHeight="true" outlineLevel="0" collapsed="false">
      <c r="B373" s="17" t="n">
        <v>46023</v>
      </c>
      <c r="C373" s="18" t="s">
        <v>491</v>
      </c>
      <c r="D373" s="18" t="s">
        <v>106</v>
      </c>
      <c r="E373" s="18" t="s">
        <v>49</v>
      </c>
      <c r="F373" s="19" t="n">
        <v>1700</v>
      </c>
      <c r="G373" s="20" t="s">
        <v>484</v>
      </c>
    </row>
    <row r="374" customFormat="false" ht="15" hidden="false" customHeight="true" outlineLevel="0" collapsed="false">
      <c r="B374" s="17" t="n">
        <v>46023</v>
      </c>
      <c r="C374" s="18" t="s">
        <v>492</v>
      </c>
      <c r="D374" s="18" t="s">
        <v>106</v>
      </c>
      <c r="E374" s="18" t="s">
        <v>50</v>
      </c>
      <c r="F374" s="19" t="n">
        <v>920</v>
      </c>
      <c r="G374" s="20" t="s">
        <v>484</v>
      </c>
    </row>
    <row r="375" customFormat="false" ht="15" hidden="false" customHeight="true" outlineLevel="0" collapsed="false">
      <c r="B375" s="17" t="n">
        <v>46023</v>
      </c>
      <c r="C375" s="18" t="s">
        <v>493</v>
      </c>
      <c r="D375" s="18" t="s">
        <v>106</v>
      </c>
      <c r="E375" s="18" t="s">
        <v>68</v>
      </c>
      <c r="F375" s="19" t="n">
        <v>88</v>
      </c>
      <c r="G375" s="20" t="s">
        <v>484</v>
      </c>
    </row>
    <row r="376" customFormat="false" ht="15" hidden="false" customHeight="true" outlineLevel="0" collapsed="false">
      <c r="B376" s="17" t="n">
        <v>46023</v>
      </c>
      <c r="C376" s="18" t="s">
        <v>494</v>
      </c>
      <c r="D376" s="18" t="s">
        <v>106</v>
      </c>
      <c r="E376" s="18" t="s">
        <v>69</v>
      </c>
      <c r="F376" s="19" t="n">
        <v>227.27</v>
      </c>
      <c r="G376" s="20" t="s">
        <v>484</v>
      </c>
    </row>
    <row r="377" customFormat="false" ht="15" hidden="false" customHeight="true" outlineLevel="0" collapsed="false">
      <c r="B377" s="17" t="n">
        <v>46023</v>
      </c>
      <c r="C377" s="18" t="s">
        <v>495</v>
      </c>
      <c r="D377" s="18" t="s">
        <v>106</v>
      </c>
      <c r="E377" s="18" t="s">
        <v>78</v>
      </c>
      <c r="F377" s="19" t="n">
        <v>90</v>
      </c>
      <c r="G377" s="20" t="s">
        <v>484</v>
      </c>
    </row>
    <row r="378" customFormat="false" ht="15" hidden="false" customHeight="true" outlineLevel="0" collapsed="false">
      <c r="B378" s="17" t="n">
        <v>46023</v>
      </c>
      <c r="C378" s="18" t="s">
        <v>496</v>
      </c>
      <c r="D378" s="18" t="s">
        <v>106</v>
      </c>
      <c r="E378" s="18" t="s">
        <v>42</v>
      </c>
      <c r="F378" s="19" t="n">
        <v>2855.89</v>
      </c>
      <c r="G378" s="20" t="s">
        <v>484</v>
      </c>
    </row>
    <row r="379" customFormat="false" ht="15" hidden="false" customHeight="true" outlineLevel="0" collapsed="false">
      <c r="B379" s="17" t="n">
        <v>46023</v>
      </c>
      <c r="C379" s="18" t="s">
        <v>497</v>
      </c>
      <c r="D379" s="18" t="s">
        <v>106</v>
      </c>
      <c r="E379" s="18" t="s">
        <v>76</v>
      </c>
      <c r="F379" s="19" t="n">
        <v>1100</v>
      </c>
      <c r="G379" s="20" t="s">
        <v>484</v>
      </c>
    </row>
    <row r="380" customFormat="false" ht="15" hidden="false" customHeight="true" outlineLevel="0" collapsed="false">
      <c r="B380" s="17" t="n">
        <v>46023</v>
      </c>
      <c r="C380" s="18" t="s">
        <v>498</v>
      </c>
      <c r="D380" s="18" t="s">
        <v>106</v>
      </c>
      <c r="E380" s="18" t="s">
        <v>45</v>
      </c>
      <c r="F380" s="19" t="n">
        <v>9.38</v>
      </c>
      <c r="G380" s="20" t="s">
        <v>484</v>
      </c>
    </row>
    <row r="381" customFormat="false" ht="15" hidden="false" customHeight="true" outlineLevel="0" collapsed="false">
      <c r="B381" s="17" t="n">
        <v>46023</v>
      </c>
      <c r="C381" s="18" t="s">
        <v>499</v>
      </c>
      <c r="D381" s="18" t="s">
        <v>106</v>
      </c>
      <c r="E381" s="18" t="s">
        <v>43</v>
      </c>
      <c r="F381" s="19" t="n">
        <v>839.51</v>
      </c>
      <c r="G381" s="20" t="s">
        <v>484</v>
      </c>
    </row>
    <row r="382" customFormat="false" ht="15" hidden="false" customHeight="true" outlineLevel="0" collapsed="false">
      <c r="B382" s="17" t="n">
        <v>46023</v>
      </c>
      <c r="C382" s="18" t="s">
        <v>500</v>
      </c>
      <c r="D382" s="18" t="s">
        <v>106</v>
      </c>
      <c r="E382" s="18" t="s">
        <v>46</v>
      </c>
      <c r="F382" s="19" t="n">
        <v>225</v>
      </c>
      <c r="G382" s="20" t="s">
        <v>484</v>
      </c>
    </row>
    <row r="383" customFormat="false" ht="15" hidden="false" customHeight="true" outlineLevel="0" collapsed="false">
      <c r="B383" s="17" t="n">
        <v>46023</v>
      </c>
      <c r="C383" s="18" t="s">
        <v>501</v>
      </c>
      <c r="D383" s="18" t="s">
        <v>106</v>
      </c>
      <c r="E383" s="18" t="s">
        <v>65</v>
      </c>
      <c r="F383" s="19" t="n">
        <v>130</v>
      </c>
      <c r="G383" s="20" t="s">
        <v>484</v>
      </c>
    </row>
    <row r="384" customFormat="false" ht="15" hidden="false" customHeight="true" outlineLevel="0" collapsed="false">
      <c r="B384" s="17" t="n">
        <v>46023</v>
      </c>
      <c r="C384" s="18" t="s">
        <v>502</v>
      </c>
      <c r="D384" s="18" t="s">
        <v>106</v>
      </c>
      <c r="E384" s="18" t="s">
        <v>60</v>
      </c>
      <c r="F384" s="19" t="n">
        <v>350</v>
      </c>
      <c r="G384" s="20" t="s">
        <v>484</v>
      </c>
    </row>
    <row r="385" customFormat="false" ht="15" hidden="false" customHeight="true" outlineLevel="0" collapsed="false">
      <c r="B385" s="17" t="n">
        <v>46023</v>
      </c>
      <c r="C385" s="18" t="s">
        <v>503</v>
      </c>
      <c r="D385" s="18" t="s">
        <v>106</v>
      </c>
      <c r="E385" s="18" t="s">
        <v>53</v>
      </c>
      <c r="F385" s="19" t="n">
        <v>49.9</v>
      </c>
      <c r="G385" s="20" t="s">
        <v>484</v>
      </c>
    </row>
    <row r="386" customFormat="false" ht="15" hidden="false" customHeight="true" outlineLevel="0" collapsed="false">
      <c r="B386" s="17" t="n">
        <v>46023</v>
      </c>
      <c r="C386" s="18" t="s">
        <v>504</v>
      </c>
      <c r="D386" s="18" t="s">
        <v>106</v>
      </c>
      <c r="E386" s="18" t="s">
        <v>58</v>
      </c>
      <c r="F386" s="19" t="n">
        <v>83254.7</v>
      </c>
      <c r="G386" s="20" t="s">
        <v>484</v>
      </c>
    </row>
    <row r="387" customFormat="false" ht="15" hidden="false" customHeight="true" outlineLevel="0" collapsed="false">
      <c r="B387" s="17" t="n">
        <v>46023</v>
      </c>
      <c r="C387" s="18" t="s">
        <v>505</v>
      </c>
      <c r="D387" s="18" t="s">
        <v>106</v>
      </c>
      <c r="E387" s="18" t="s">
        <v>63</v>
      </c>
      <c r="F387" s="19" t="n">
        <v>24458.68</v>
      </c>
      <c r="G387" s="20" t="s">
        <v>484</v>
      </c>
    </row>
    <row r="388" customFormat="false" ht="15" hidden="false" customHeight="true" outlineLevel="0" collapsed="false">
      <c r="B388" s="17" t="n">
        <v>46023</v>
      </c>
      <c r="C388" s="18" t="s">
        <v>506</v>
      </c>
      <c r="D388" s="18" t="s">
        <v>106</v>
      </c>
      <c r="E388" s="18" t="s">
        <v>79</v>
      </c>
      <c r="F388" s="19" t="n">
        <v>4411.53</v>
      </c>
      <c r="G388" s="20" t="s">
        <v>484</v>
      </c>
    </row>
    <row r="389" customFormat="false" ht="15" hidden="false" customHeight="true" outlineLevel="0" collapsed="false">
      <c r="B389" s="17" t="n">
        <v>46023</v>
      </c>
      <c r="C389" s="18" t="s">
        <v>507</v>
      </c>
      <c r="D389" s="18" t="s">
        <v>106</v>
      </c>
      <c r="E389" s="18" t="s">
        <v>74</v>
      </c>
      <c r="F389" s="19" t="n">
        <v>295.9</v>
      </c>
      <c r="G389" s="20" t="s">
        <v>484</v>
      </c>
    </row>
    <row r="390" customFormat="false" ht="15" hidden="false" customHeight="true" outlineLevel="0" collapsed="false">
      <c r="B390" s="17" t="n">
        <v>46023</v>
      </c>
      <c r="C390" s="18" t="s">
        <v>508</v>
      </c>
      <c r="D390" s="18" t="s">
        <v>106</v>
      </c>
      <c r="E390" s="18" t="s">
        <v>90</v>
      </c>
      <c r="F390" s="19" t="n">
        <v>250</v>
      </c>
      <c r="G390" s="20" t="s">
        <v>484</v>
      </c>
    </row>
    <row r="391" customFormat="false" ht="15" hidden="false" customHeight="true" outlineLevel="0" collapsed="false">
      <c r="B391" s="17" t="n">
        <v>46023</v>
      </c>
      <c r="C391" s="18" t="s">
        <v>509</v>
      </c>
      <c r="D391" s="18" t="s">
        <v>106</v>
      </c>
      <c r="E391" s="18" t="s">
        <v>85</v>
      </c>
      <c r="F391" s="19" t="n">
        <v>5408.24</v>
      </c>
      <c r="G391" s="20" t="s">
        <v>484</v>
      </c>
    </row>
    <row r="392" customFormat="false" ht="15" hidden="false" customHeight="true" outlineLevel="0" collapsed="false">
      <c r="B392" s="17" t="n">
        <v>46023</v>
      </c>
      <c r="C392" s="18" t="s">
        <v>510</v>
      </c>
      <c r="D392" s="18" t="s">
        <v>106</v>
      </c>
      <c r="E392" s="18" t="s">
        <v>54</v>
      </c>
      <c r="F392" s="19" t="n">
        <v>957</v>
      </c>
      <c r="G392" s="20" t="s">
        <v>484</v>
      </c>
    </row>
    <row r="393" customFormat="false" ht="15" hidden="false" customHeight="true" outlineLevel="0" collapsed="false">
      <c r="B393" s="17" t="n">
        <v>46023</v>
      </c>
      <c r="C393" s="18" t="s">
        <v>511</v>
      </c>
      <c r="D393" s="18" t="s">
        <v>106</v>
      </c>
      <c r="E393" s="18" t="s">
        <v>56</v>
      </c>
      <c r="F393" s="19" t="n">
        <v>882.21</v>
      </c>
      <c r="G393" s="20" t="s">
        <v>484</v>
      </c>
    </row>
    <row r="394" customFormat="false" ht="15" hidden="false" customHeight="true" outlineLevel="0" collapsed="false">
      <c r="B394" s="17" t="n">
        <v>46023</v>
      </c>
      <c r="C394" s="18" t="s">
        <v>512</v>
      </c>
      <c r="D394" s="18" t="s">
        <v>106</v>
      </c>
      <c r="E394" s="18" t="s">
        <v>57</v>
      </c>
      <c r="F394" s="19" t="n">
        <v>243</v>
      </c>
      <c r="G394" s="20" t="s">
        <v>484</v>
      </c>
    </row>
    <row r="395" customFormat="false" ht="15" hidden="false" customHeight="true" outlineLevel="0" collapsed="false">
      <c r="B395" s="17" t="n">
        <v>46023</v>
      </c>
      <c r="C395" s="18" t="s">
        <v>513</v>
      </c>
      <c r="D395" s="18" t="s">
        <v>106</v>
      </c>
      <c r="E395" s="18" t="s">
        <v>70</v>
      </c>
      <c r="F395" s="19" t="n">
        <v>7750</v>
      </c>
      <c r="G395" s="20" t="s">
        <v>484</v>
      </c>
    </row>
    <row r="396" customFormat="false" ht="15" hidden="false" customHeight="true" outlineLevel="0" collapsed="false">
      <c r="B396" s="17" t="n">
        <v>46023</v>
      </c>
      <c r="C396" s="18" t="s">
        <v>514</v>
      </c>
      <c r="D396" s="18" t="s">
        <v>106</v>
      </c>
      <c r="E396" s="18" t="s">
        <v>84</v>
      </c>
      <c r="F396" s="19" t="n">
        <v>2500</v>
      </c>
      <c r="G396" s="20" t="s">
        <v>484</v>
      </c>
    </row>
    <row r="397" customFormat="false" ht="15" hidden="false" customHeight="true" outlineLevel="0" collapsed="false">
      <c r="B397" s="17" t="n">
        <v>46023</v>
      </c>
      <c r="C397" s="18" t="s">
        <v>515</v>
      </c>
      <c r="D397" s="18" t="s">
        <v>106</v>
      </c>
      <c r="E397" s="18" t="s">
        <v>81</v>
      </c>
      <c r="F397" s="19" t="n">
        <v>5000</v>
      </c>
      <c r="G397" s="20" t="s">
        <v>484</v>
      </c>
    </row>
    <row r="398" customFormat="false" ht="15" hidden="false" customHeight="true" outlineLevel="0" collapsed="false">
      <c r="B398" s="17" t="n">
        <v>46023</v>
      </c>
      <c r="C398" s="18" t="s">
        <v>516</v>
      </c>
      <c r="D398" s="18" t="s">
        <v>106</v>
      </c>
      <c r="E398" s="18" t="s">
        <v>89</v>
      </c>
      <c r="F398" s="19" t="n">
        <v>2000</v>
      </c>
      <c r="G398" s="20" t="s">
        <v>484</v>
      </c>
    </row>
    <row r="399" customFormat="false" ht="15" hidden="false" customHeight="true" outlineLevel="0" collapsed="false">
      <c r="B399" s="17" t="n">
        <v>46023</v>
      </c>
      <c r="C399" s="18" t="s">
        <v>517</v>
      </c>
      <c r="D399" s="18" t="s">
        <v>106</v>
      </c>
      <c r="E399" s="18" t="s">
        <v>24</v>
      </c>
      <c r="F399" s="19" t="n">
        <v>210250.43</v>
      </c>
      <c r="G399" s="20" t="s">
        <v>484</v>
      </c>
    </row>
    <row r="400" customFormat="false" ht="15" hidden="false" customHeight="true" outlineLevel="0" collapsed="false">
      <c r="B400" s="17" t="n">
        <v>46023</v>
      </c>
      <c r="C400" s="18" t="s">
        <v>518</v>
      </c>
      <c r="D400" s="18" t="s">
        <v>106</v>
      </c>
      <c r="E400" s="18" t="s">
        <v>86</v>
      </c>
      <c r="F400" s="19" t="n">
        <v>25000</v>
      </c>
      <c r="G400" s="20" t="s">
        <v>484</v>
      </c>
    </row>
    <row r="401" customFormat="false" ht="15" hidden="false" customHeight="true" outlineLevel="0" collapsed="false">
      <c r="B401" s="17" t="n">
        <v>46054</v>
      </c>
      <c r="C401" s="18" t="s">
        <v>519</v>
      </c>
      <c r="D401" s="18" t="s">
        <v>116</v>
      </c>
      <c r="E401" s="18" t="s">
        <v>22</v>
      </c>
      <c r="F401" s="19" t="n">
        <v>293114.2</v>
      </c>
      <c r="G401" s="20" t="s">
        <v>520</v>
      </c>
    </row>
    <row r="402" customFormat="false" ht="15" hidden="false" customHeight="true" outlineLevel="0" collapsed="false">
      <c r="B402" s="17" t="n">
        <v>46054</v>
      </c>
      <c r="C402" s="18" t="s">
        <v>521</v>
      </c>
      <c r="D402" s="18" t="s">
        <v>106</v>
      </c>
      <c r="E402" s="18" t="s">
        <v>52</v>
      </c>
      <c r="F402" s="19" t="n">
        <v>8100</v>
      </c>
      <c r="G402" s="20" t="s">
        <v>520</v>
      </c>
    </row>
    <row r="403" customFormat="false" ht="15" hidden="false" customHeight="true" outlineLevel="0" collapsed="false">
      <c r="B403" s="17" t="n">
        <v>46054</v>
      </c>
      <c r="C403" s="18" t="s">
        <v>522</v>
      </c>
      <c r="D403" s="18" t="s">
        <v>106</v>
      </c>
      <c r="E403" s="18" t="s">
        <v>51</v>
      </c>
      <c r="F403" s="19" t="n">
        <v>23938.39</v>
      </c>
      <c r="G403" s="20" t="s">
        <v>520</v>
      </c>
    </row>
    <row r="404" customFormat="false" ht="15" hidden="false" customHeight="true" outlineLevel="0" collapsed="false">
      <c r="B404" s="17" t="n">
        <v>46054</v>
      </c>
      <c r="C404" s="18" t="s">
        <v>523</v>
      </c>
      <c r="D404" s="18" t="s">
        <v>106</v>
      </c>
      <c r="E404" s="18" t="s">
        <v>59</v>
      </c>
      <c r="F404" s="19" t="n">
        <v>3450.01</v>
      </c>
      <c r="G404" s="20" t="s">
        <v>520</v>
      </c>
    </row>
    <row r="405" customFormat="false" ht="15" hidden="false" customHeight="true" outlineLevel="0" collapsed="false">
      <c r="B405" s="17" t="n">
        <v>46054</v>
      </c>
      <c r="C405" s="18" t="s">
        <v>524</v>
      </c>
      <c r="D405" s="18" t="s">
        <v>106</v>
      </c>
      <c r="E405" s="18" t="s">
        <v>87</v>
      </c>
      <c r="F405" s="19" t="n">
        <v>12475.68</v>
      </c>
      <c r="G405" s="20" t="s">
        <v>520</v>
      </c>
    </row>
    <row r="406" customFormat="false" ht="15" hidden="false" customHeight="true" outlineLevel="0" collapsed="false">
      <c r="B406" s="17" t="n">
        <v>46054</v>
      </c>
      <c r="C406" s="18" t="s">
        <v>525</v>
      </c>
      <c r="D406" s="18" t="s">
        <v>106</v>
      </c>
      <c r="E406" s="18" t="s">
        <v>61</v>
      </c>
      <c r="F406" s="19" t="n">
        <v>3493.33</v>
      </c>
      <c r="G406" s="20" t="s">
        <v>520</v>
      </c>
    </row>
    <row r="407" customFormat="false" ht="15" hidden="false" customHeight="true" outlineLevel="0" collapsed="false">
      <c r="B407" s="17" t="n">
        <v>46054</v>
      </c>
      <c r="C407" s="18" t="s">
        <v>526</v>
      </c>
      <c r="D407" s="18" t="s">
        <v>106</v>
      </c>
      <c r="E407" s="18" t="s">
        <v>64</v>
      </c>
      <c r="F407" s="19" t="n">
        <v>1195.15</v>
      </c>
      <c r="G407" s="20" t="s">
        <v>520</v>
      </c>
    </row>
    <row r="408" customFormat="false" ht="15" hidden="false" customHeight="true" outlineLevel="0" collapsed="false">
      <c r="B408" s="17" t="n">
        <v>46054</v>
      </c>
      <c r="C408" s="18" t="s">
        <v>527</v>
      </c>
      <c r="D408" s="18" t="s">
        <v>106</v>
      </c>
      <c r="E408" s="18" t="s">
        <v>62</v>
      </c>
      <c r="F408" s="19" t="n">
        <v>758.74</v>
      </c>
      <c r="G408" s="20" t="s">
        <v>520</v>
      </c>
    </row>
    <row r="409" customFormat="false" ht="15" hidden="false" customHeight="true" outlineLevel="0" collapsed="false">
      <c r="B409" s="17" t="n">
        <v>46054</v>
      </c>
      <c r="C409" s="18" t="s">
        <v>528</v>
      </c>
      <c r="D409" s="18" t="s">
        <v>106</v>
      </c>
      <c r="E409" s="18" t="s">
        <v>49</v>
      </c>
      <c r="F409" s="19" t="n">
        <v>1580</v>
      </c>
      <c r="G409" s="20" t="s">
        <v>520</v>
      </c>
    </row>
    <row r="410" customFormat="false" ht="15" hidden="false" customHeight="true" outlineLevel="0" collapsed="false">
      <c r="B410" s="17" t="n">
        <v>46054</v>
      </c>
      <c r="C410" s="18" t="s">
        <v>529</v>
      </c>
      <c r="D410" s="18" t="s">
        <v>106</v>
      </c>
      <c r="E410" s="18" t="s">
        <v>50</v>
      </c>
      <c r="F410" s="19" t="n">
        <v>560</v>
      </c>
      <c r="G410" s="20" t="s">
        <v>520</v>
      </c>
    </row>
    <row r="411" customFormat="false" ht="15" hidden="false" customHeight="true" outlineLevel="0" collapsed="false">
      <c r="B411" s="17" t="n">
        <v>46054</v>
      </c>
      <c r="C411" s="18" t="s">
        <v>530</v>
      </c>
      <c r="D411" s="18" t="s">
        <v>106</v>
      </c>
      <c r="E411" s="18" t="s">
        <v>68</v>
      </c>
      <c r="F411" s="19" t="n">
        <v>130</v>
      </c>
      <c r="G411" s="20" t="s">
        <v>520</v>
      </c>
    </row>
    <row r="412" customFormat="false" ht="15" hidden="false" customHeight="true" outlineLevel="0" collapsed="false">
      <c r="B412" s="17" t="n">
        <v>46054</v>
      </c>
      <c r="C412" s="18" t="s">
        <v>531</v>
      </c>
      <c r="D412" s="18" t="s">
        <v>106</v>
      </c>
      <c r="E412" s="18" t="s">
        <v>69</v>
      </c>
      <c r="F412" s="19" t="n">
        <v>280</v>
      </c>
      <c r="G412" s="20" t="s">
        <v>520</v>
      </c>
    </row>
    <row r="413" customFormat="false" ht="15" hidden="false" customHeight="true" outlineLevel="0" collapsed="false">
      <c r="B413" s="17" t="n">
        <v>46054</v>
      </c>
      <c r="C413" s="18" t="s">
        <v>532</v>
      </c>
      <c r="D413" s="18" t="s">
        <v>106</v>
      </c>
      <c r="E413" s="18" t="s">
        <v>42</v>
      </c>
      <c r="F413" s="19" t="n">
        <v>8591.51</v>
      </c>
      <c r="G413" s="20" t="s">
        <v>520</v>
      </c>
    </row>
    <row r="414" customFormat="false" ht="15" hidden="false" customHeight="true" outlineLevel="0" collapsed="false">
      <c r="B414" s="17" t="n">
        <v>46054</v>
      </c>
      <c r="C414" s="18" t="s">
        <v>533</v>
      </c>
      <c r="D414" s="18" t="s">
        <v>106</v>
      </c>
      <c r="E414" s="18" t="s">
        <v>76</v>
      </c>
      <c r="F414" s="19" t="n">
        <v>1100</v>
      </c>
      <c r="G414" s="20" t="s">
        <v>520</v>
      </c>
    </row>
    <row r="415" customFormat="false" ht="15" hidden="false" customHeight="true" outlineLevel="0" collapsed="false">
      <c r="B415" s="17" t="n">
        <v>46054</v>
      </c>
      <c r="C415" s="18" t="s">
        <v>534</v>
      </c>
      <c r="D415" s="18" t="s">
        <v>106</v>
      </c>
      <c r="E415" s="18" t="s">
        <v>97</v>
      </c>
      <c r="F415" s="19" t="n">
        <v>668</v>
      </c>
      <c r="G415" s="20" t="s">
        <v>520</v>
      </c>
    </row>
    <row r="416" customFormat="false" ht="15" hidden="false" customHeight="true" outlineLevel="0" collapsed="false">
      <c r="B416" s="17" t="n">
        <v>46054</v>
      </c>
      <c r="C416" s="18" t="s">
        <v>535</v>
      </c>
      <c r="D416" s="18" t="s">
        <v>106</v>
      </c>
      <c r="E416" s="18" t="s">
        <v>45</v>
      </c>
      <c r="F416" s="19" t="n">
        <v>8</v>
      </c>
      <c r="G416" s="20" t="s">
        <v>520</v>
      </c>
    </row>
    <row r="417" customFormat="false" ht="15" hidden="false" customHeight="true" outlineLevel="0" collapsed="false">
      <c r="B417" s="17" t="n">
        <v>46054</v>
      </c>
      <c r="C417" s="18" t="s">
        <v>536</v>
      </c>
      <c r="D417" s="18" t="s">
        <v>106</v>
      </c>
      <c r="E417" s="18" t="s">
        <v>43</v>
      </c>
      <c r="F417" s="19" t="n">
        <v>1136.03</v>
      </c>
      <c r="G417" s="20" t="s">
        <v>520</v>
      </c>
    </row>
    <row r="418" customFormat="false" ht="15" hidden="false" customHeight="true" outlineLevel="0" collapsed="false">
      <c r="B418" s="17" t="n">
        <v>46054</v>
      </c>
      <c r="C418" s="18" t="s">
        <v>537</v>
      </c>
      <c r="D418" s="18" t="s">
        <v>106</v>
      </c>
      <c r="E418" s="18" t="s">
        <v>48</v>
      </c>
      <c r="F418" s="19" t="n">
        <v>40</v>
      </c>
      <c r="G418" s="20" t="s">
        <v>520</v>
      </c>
    </row>
    <row r="419" customFormat="false" ht="15" hidden="false" customHeight="true" outlineLevel="0" collapsed="false">
      <c r="B419" s="17" t="n">
        <v>46054</v>
      </c>
      <c r="C419" s="18" t="s">
        <v>538</v>
      </c>
      <c r="D419" s="18" t="s">
        <v>106</v>
      </c>
      <c r="E419" s="18" t="s">
        <v>46</v>
      </c>
      <c r="F419" s="19" t="n">
        <v>150</v>
      </c>
      <c r="G419" s="20" t="s">
        <v>520</v>
      </c>
    </row>
    <row r="420" customFormat="false" ht="15" hidden="false" customHeight="true" outlineLevel="0" collapsed="false">
      <c r="B420" s="17" t="n">
        <v>46054</v>
      </c>
      <c r="C420" s="18" t="s">
        <v>539</v>
      </c>
      <c r="D420" s="18" t="s">
        <v>106</v>
      </c>
      <c r="E420" s="18" t="s">
        <v>65</v>
      </c>
      <c r="F420" s="19" t="n">
        <v>130</v>
      </c>
      <c r="G420" s="20" t="s">
        <v>520</v>
      </c>
    </row>
    <row r="421" customFormat="false" ht="15" hidden="false" customHeight="true" outlineLevel="0" collapsed="false">
      <c r="B421" s="17" t="n">
        <v>46054</v>
      </c>
      <c r="C421" s="18" t="s">
        <v>540</v>
      </c>
      <c r="D421" s="18" t="s">
        <v>106</v>
      </c>
      <c r="E421" s="18" t="s">
        <v>60</v>
      </c>
      <c r="F421" s="19" t="n">
        <v>327.05</v>
      </c>
      <c r="G421" s="20" t="s">
        <v>520</v>
      </c>
    </row>
    <row r="422" customFormat="false" ht="15" hidden="false" customHeight="true" outlineLevel="0" collapsed="false">
      <c r="B422" s="17" t="n">
        <v>46054</v>
      </c>
      <c r="C422" s="18" t="s">
        <v>541</v>
      </c>
      <c r="D422" s="18" t="s">
        <v>106</v>
      </c>
      <c r="E422" s="18" t="s">
        <v>58</v>
      </c>
      <c r="F422" s="19" t="n">
        <v>83322.37</v>
      </c>
      <c r="G422" s="20" t="s">
        <v>520</v>
      </c>
    </row>
    <row r="423" customFormat="false" ht="15" hidden="false" customHeight="true" outlineLevel="0" collapsed="false">
      <c r="B423" s="17" t="n">
        <v>46054</v>
      </c>
      <c r="C423" s="18" t="s">
        <v>542</v>
      </c>
      <c r="D423" s="18" t="s">
        <v>106</v>
      </c>
      <c r="E423" s="18" t="s">
        <v>63</v>
      </c>
      <c r="F423" s="19" t="n">
        <v>24458.68</v>
      </c>
      <c r="G423" s="20" t="s">
        <v>520</v>
      </c>
    </row>
    <row r="424" customFormat="false" ht="15" hidden="false" customHeight="true" outlineLevel="0" collapsed="false">
      <c r="B424" s="17" t="n">
        <v>46054</v>
      </c>
      <c r="C424" s="18" t="s">
        <v>543</v>
      </c>
      <c r="D424" s="18" t="s">
        <v>106</v>
      </c>
      <c r="E424" s="18" t="s">
        <v>85</v>
      </c>
      <c r="F424" s="19" t="n">
        <v>4455.12</v>
      </c>
      <c r="G424" s="20" t="s">
        <v>520</v>
      </c>
    </row>
    <row r="425" customFormat="false" ht="15" hidden="false" customHeight="true" outlineLevel="0" collapsed="false">
      <c r="B425" s="17" t="n">
        <v>46054</v>
      </c>
      <c r="C425" s="18" t="s">
        <v>544</v>
      </c>
      <c r="D425" s="18" t="s">
        <v>106</v>
      </c>
      <c r="E425" s="18" t="s">
        <v>54</v>
      </c>
      <c r="F425" s="19" t="n">
        <v>957</v>
      </c>
      <c r="G425" s="20" t="s">
        <v>520</v>
      </c>
    </row>
    <row r="426" customFormat="false" ht="15" hidden="false" customHeight="true" outlineLevel="0" collapsed="false">
      <c r="B426" s="17" t="n">
        <v>46054</v>
      </c>
      <c r="C426" s="18" t="s">
        <v>545</v>
      </c>
      <c r="D426" s="18" t="s">
        <v>106</v>
      </c>
      <c r="E426" s="18" t="s">
        <v>70</v>
      </c>
      <c r="F426" s="19" t="n">
        <v>7750</v>
      </c>
      <c r="G426" s="20" t="s">
        <v>520</v>
      </c>
    </row>
    <row r="427" customFormat="false" ht="15" hidden="false" customHeight="true" outlineLevel="0" collapsed="false">
      <c r="B427" s="17" t="n">
        <v>46054</v>
      </c>
      <c r="C427" s="18" t="s">
        <v>546</v>
      </c>
      <c r="D427" s="18" t="s">
        <v>106</v>
      </c>
      <c r="E427" s="18" t="s">
        <v>82</v>
      </c>
      <c r="F427" s="19" t="n">
        <v>517.08</v>
      </c>
      <c r="G427" s="20" t="s">
        <v>520</v>
      </c>
    </row>
    <row r="428" customFormat="false" ht="15" hidden="false" customHeight="true" outlineLevel="0" collapsed="false">
      <c r="B428" s="17" t="n">
        <v>46054</v>
      </c>
      <c r="C428" s="18" t="s">
        <v>547</v>
      </c>
      <c r="D428" s="18" t="s">
        <v>106</v>
      </c>
      <c r="E428" s="18" t="s">
        <v>84</v>
      </c>
      <c r="F428" s="19" t="n">
        <v>2500</v>
      </c>
      <c r="G428" s="20" t="s">
        <v>520</v>
      </c>
    </row>
    <row r="429" customFormat="false" ht="15" hidden="false" customHeight="true" outlineLevel="0" collapsed="false">
      <c r="B429" s="17" t="n">
        <v>46054</v>
      </c>
      <c r="C429" s="18" t="s">
        <v>548</v>
      </c>
      <c r="D429" s="18" t="s">
        <v>106</v>
      </c>
      <c r="E429" s="18" t="s">
        <v>81</v>
      </c>
      <c r="F429" s="19" t="n">
        <v>5000</v>
      </c>
      <c r="G429" s="20" t="s">
        <v>520</v>
      </c>
    </row>
    <row r="430" customFormat="false" ht="15" hidden="false" customHeight="true" outlineLevel="0" collapsed="false">
      <c r="B430" s="17" t="n">
        <v>46054</v>
      </c>
      <c r="C430" s="18" t="s">
        <v>549</v>
      </c>
      <c r="D430" s="18" t="s">
        <v>106</v>
      </c>
      <c r="E430" s="18" t="s">
        <v>89</v>
      </c>
      <c r="F430" s="19" t="n">
        <v>1985.33</v>
      </c>
      <c r="G430" s="20" t="s">
        <v>520</v>
      </c>
    </row>
    <row r="431" customFormat="false" ht="15" hidden="false" customHeight="true" outlineLevel="0" collapsed="false">
      <c r="B431" s="17" t="n">
        <v>46054</v>
      </c>
      <c r="C431" s="18" t="s">
        <v>550</v>
      </c>
      <c r="D431" s="18" t="s">
        <v>106</v>
      </c>
      <c r="E431" s="18" t="s">
        <v>95</v>
      </c>
      <c r="F431" s="19" t="n">
        <v>989.17</v>
      </c>
      <c r="G431" s="20" t="s">
        <v>520</v>
      </c>
    </row>
    <row r="432" customFormat="false" ht="15" hidden="false" customHeight="true" outlineLevel="0" collapsed="false">
      <c r="B432" s="17" t="n">
        <v>46054</v>
      </c>
      <c r="C432" s="18" t="s">
        <v>551</v>
      </c>
      <c r="D432" s="18" t="s">
        <v>106</v>
      </c>
      <c r="E432" s="18" t="s">
        <v>24</v>
      </c>
      <c r="F432" s="19" t="n">
        <v>188747.08</v>
      </c>
      <c r="G432" s="20" t="s">
        <v>520</v>
      </c>
    </row>
    <row r="433" customFormat="false" ht="15" hidden="false" customHeight="true" outlineLevel="0" collapsed="false">
      <c r="B433" s="17" t="n">
        <v>46054</v>
      </c>
      <c r="C433" s="18" t="s">
        <v>552</v>
      </c>
      <c r="D433" s="18" t="s">
        <v>106</v>
      </c>
      <c r="E433" s="18" t="s">
        <v>86</v>
      </c>
      <c r="F433" s="19" t="n">
        <v>25000</v>
      </c>
      <c r="G433" s="20" t="s">
        <v>520</v>
      </c>
    </row>
    <row r="434" customFormat="false" ht="15" hidden="false" customHeight="true" outlineLevel="0" collapsed="false">
      <c r="B434" s="17" t="n">
        <v>46082</v>
      </c>
      <c r="C434" s="18" t="s">
        <v>553</v>
      </c>
      <c r="D434" s="18" t="s">
        <v>116</v>
      </c>
      <c r="E434" s="18" t="s">
        <v>22</v>
      </c>
      <c r="F434" s="19" t="n">
        <v>318410</v>
      </c>
      <c r="G434" s="20" t="s">
        <v>554</v>
      </c>
    </row>
    <row r="435" customFormat="false" ht="15" hidden="false" customHeight="true" outlineLevel="0" collapsed="false">
      <c r="B435" s="17" t="n">
        <v>46082</v>
      </c>
      <c r="C435" s="18" t="s">
        <v>555</v>
      </c>
      <c r="D435" s="18" t="s">
        <v>106</v>
      </c>
      <c r="E435" s="18" t="s">
        <v>52</v>
      </c>
      <c r="F435" s="19" t="n">
        <v>8100</v>
      </c>
      <c r="G435" s="20" t="s">
        <v>554</v>
      </c>
    </row>
    <row r="436" customFormat="false" ht="15" hidden="false" customHeight="true" outlineLevel="0" collapsed="false">
      <c r="B436" s="17" t="n">
        <v>46082</v>
      </c>
      <c r="C436" s="18" t="s">
        <v>556</v>
      </c>
      <c r="D436" s="18" t="s">
        <v>106</v>
      </c>
      <c r="E436" s="18" t="s">
        <v>51</v>
      </c>
      <c r="F436" s="19" t="n">
        <v>31240.56</v>
      </c>
      <c r="G436" s="20" t="s">
        <v>554</v>
      </c>
    </row>
    <row r="437" customFormat="false" ht="15" hidden="false" customHeight="true" outlineLevel="0" collapsed="false">
      <c r="B437" s="17" t="n">
        <v>46082</v>
      </c>
      <c r="C437" s="18" t="s">
        <v>557</v>
      </c>
      <c r="D437" s="18" t="s">
        <v>106</v>
      </c>
      <c r="E437" s="18" t="s">
        <v>59</v>
      </c>
      <c r="F437" s="19" t="n">
        <v>3550.01</v>
      </c>
      <c r="G437" s="20" t="s">
        <v>554</v>
      </c>
    </row>
    <row r="438" customFormat="false" ht="15" hidden="false" customHeight="true" outlineLevel="0" collapsed="false">
      <c r="B438" s="17" t="n">
        <v>46082</v>
      </c>
      <c r="C438" s="18" t="s">
        <v>558</v>
      </c>
      <c r="D438" s="18" t="s">
        <v>106</v>
      </c>
      <c r="E438" s="18" t="s">
        <v>87</v>
      </c>
      <c r="F438" s="19" t="n">
        <v>4763.35</v>
      </c>
      <c r="G438" s="20" t="s">
        <v>554</v>
      </c>
    </row>
    <row r="439" customFormat="false" ht="15" hidden="false" customHeight="true" outlineLevel="0" collapsed="false">
      <c r="B439" s="17" t="n">
        <v>46082</v>
      </c>
      <c r="C439" s="18" t="s">
        <v>559</v>
      </c>
      <c r="D439" s="18" t="s">
        <v>106</v>
      </c>
      <c r="E439" s="18" t="s">
        <v>61</v>
      </c>
      <c r="F439" s="19" t="n">
        <v>6370.18</v>
      </c>
      <c r="G439" s="20" t="s">
        <v>554</v>
      </c>
    </row>
    <row r="440" customFormat="false" ht="15" hidden="false" customHeight="true" outlineLevel="0" collapsed="false">
      <c r="B440" s="17" t="n">
        <v>46082</v>
      </c>
      <c r="C440" s="18" t="s">
        <v>560</v>
      </c>
      <c r="D440" s="18" t="s">
        <v>106</v>
      </c>
      <c r="E440" s="18" t="s">
        <v>64</v>
      </c>
      <c r="F440" s="19" t="n">
        <v>928.23</v>
      </c>
      <c r="G440" s="20" t="s">
        <v>554</v>
      </c>
    </row>
    <row r="441" customFormat="false" ht="15" hidden="false" customHeight="true" outlineLevel="0" collapsed="false">
      <c r="B441" s="17" t="n">
        <v>46082</v>
      </c>
      <c r="C441" s="18" t="s">
        <v>561</v>
      </c>
      <c r="D441" s="18" t="s">
        <v>106</v>
      </c>
      <c r="E441" s="18" t="s">
        <v>62</v>
      </c>
      <c r="F441" s="19" t="n">
        <v>508.74</v>
      </c>
      <c r="G441" s="20" t="s">
        <v>554</v>
      </c>
    </row>
    <row r="442" customFormat="false" ht="15" hidden="false" customHeight="true" outlineLevel="0" collapsed="false">
      <c r="B442" s="17" t="n">
        <v>46082</v>
      </c>
      <c r="C442" s="18" t="s">
        <v>562</v>
      </c>
      <c r="D442" s="18" t="s">
        <v>106</v>
      </c>
      <c r="E442" s="18" t="s">
        <v>49</v>
      </c>
      <c r="F442" s="19" t="n">
        <v>2400</v>
      </c>
      <c r="G442" s="20" t="s">
        <v>554</v>
      </c>
    </row>
    <row r="443" customFormat="false" ht="15" hidden="false" customHeight="true" outlineLevel="0" collapsed="false">
      <c r="B443" s="17" t="n">
        <v>46082</v>
      </c>
      <c r="C443" s="18" t="s">
        <v>563</v>
      </c>
      <c r="D443" s="18" t="s">
        <v>106</v>
      </c>
      <c r="E443" s="18" t="s">
        <v>50</v>
      </c>
      <c r="F443" s="19" t="n">
        <v>3950</v>
      </c>
      <c r="G443" s="20" t="s">
        <v>554</v>
      </c>
    </row>
    <row r="444" customFormat="false" ht="15" hidden="false" customHeight="true" outlineLevel="0" collapsed="false">
      <c r="B444" s="17" t="n">
        <v>46082</v>
      </c>
      <c r="C444" s="18" t="s">
        <v>564</v>
      </c>
      <c r="D444" s="18" t="s">
        <v>106</v>
      </c>
      <c r="E444" s="18" t="s">
        <v>68</v>
      </c>
      <c r="F444" s="19" t="n">
        <v>163.62</v>
      </c>
      <c r="G444" s="20" t="s">
        <v>554</v>
      </c>
    </row>
    <row r="445" customFormat="false" ht="15" hidden="false" customHeight="true" outlineLevel="0" collapsed="false">
      <c r="B445" s="17" t="n">
        <v>46082</v>
      </c>
      <c r="C445" s="18" t="s">
        <v>565</v>
      </c>
      <c r="D445" s="18" t="s">
        <v>106</v>
      </c>
      <c r="E445" s="18" t="s">
        <v>69</v>
      </c>
      <c r="F445" s="19" t="n">
        <v>203.75</v>
      </c>
      <c r="G445" s="20" t="s">
        <v>554</v>
      </c>
    </row>
    <row r="446" customFormat="false" ht="15" hidden="false" customHeight="true" outlineLevel="0" collapsed="false">
      <c r="B446" s="17" t="n">
        <v>46082</v>
      </c>
      <c r="C446" s="18" t="s">
        <v>566</v>
      </c>
      <c r="D446" s="18" t="s">
        <v>106</v>
      </c>
      <c r="E446" s="18" t="s">
        <v>78</v>
      </c>
      <c r="F446" s="19" t="n">
        <v>90</v>
      </c>
      <c r="G446" s="20" t="s">
        <v>554</v>
      </c>
    </row>
    <row r="447" customFormat="false" ht="15" hidden="false" customHeight="true" outlineLevel="0" collapsed="false">
      <c r="B447" s="17" t="n">
        <v>46082</v>
      </c>
      <c r="C447" s="18" t="s">
        <v>567</v>
      </c>
      <c r="D447" s="18" t="s">
        <v>106</v>
      </c>
      <c r="E447" s="18" t="s">
        <v>42</v>
      </c>
      <c r="F447" s="19" t="n">
        <v>1967.03</v>
      </c>
      <c r="G447" s="20" t="s">
        <v>554</v>
      </c>
    </row>
    <row r="448" customFormat="false" ht="15" hidden="false" customHeight="true" outlineLevel="0" collapsed="false">
      <c r="B448" s="17" t="n">
        <v>46082</v>
      </c>
      <c r="C448" s="18" t="s">
        <v>568</v>
      </c>
      <c r="D448" s="18" t="s">
        <v>106</v>
      </c>
      <c r="E448" s="18" t="s">
        <v>76</v>
      </c>
      <c r="F448" s="19" t="n">
        <v>1100</v>
      </c>
      <c r="G448" s="20" t="s">
        <v>554</v>
      </c>
    </row>
    <row r="449" customFormat="false" ht="15" hidden="false" customHeight="true" outlineLevel="0" collapsed="false">
      <c r="B449" s="17" t="n">
        <v>46082</v>
      </c>
      <c r="C449" s="18" t="s">
        <v>569</v>
      </c>
      <c r="D449" s="18" t="s">
        <v>106</v>
      </c>
      <c r="E449" s="18" t="s">
        <v>45</v>
      </c>
      <c r="F449" s="19" t="n">
        <v>25</v>
      </c>
      <c r="G449" s="20" t="s">
        <v>554</v>
      </c>
    </row>
    <row r="450" customFormat="false" ht="15" hidden="false" customHeight="true" outlineLevel="0" collapsed="false">
      <c r="B450" s="17" t="n">
        <v>46082</v>
      </c>
      <c r="C450" s="18" t="s">
        <v>570</v>
      </c>
      <c r="D450" s="18" t="s">
        <v>106</v>
      </c>
      <c r="E450" s="18" t="s">
        <v>43</v>
      </c>
      <c r="F450" s="19" t="n">
        <v>1421.38</v>
      </c>
      <c r="G450" s="20" t="s">
        <v>554</v>
      </c>
    </row>
    <row r="451" customFormat="false" ht="15" hidden="false" customHeight="true" outlineLevel="0" collapsed="false">
      <c r="B451" s="17" t="n">
        <v>46082</v>
      </c>
      <c r="C451" s="18" t="s">
        <v>571</v>
      </c>
      <c r="D451" s="18" t="s">
        <v>106</v>
      </c>
      <c r="E451" s="18" t="s">
        <v>46</v>
      </c>
      <c r="F451" s="19" t="n">
        <v>140</v>
      </c>
      <c r="G451" s="20" t="s">
        <v>554</v>
      </c>
    </row>
    <row r="452" customFormat="false" ht="15" hidden="false" customHeight="true" outlineLevel="0" collapsed="false">
      <c r="B452" s="17" t="n">
        <v>46082</v>
      </c>
      <c r="C452" s="18" t="s">
        <v>572</v>
      </c>
      <c r="D452" s="18" t="s">
        <v>106</v>
      </c>
      <c r="E452" s="18" t="s">
        <v>65</v>
      </c>
      <c r="F452" s="19" t="n">
        <v>126.97</v>
      </c>
      <c r="G452" s="20" t="s">
        <v>554</v>
      </c>
    </row>
    <row r="453" customFormat="false" ht="15" hidden="false" customHeight="true" outlineLevel="0" collapsed="false">
      <c r="B453" s="17" t="n">
        <v>46082</v>
      </c>
      <c r="C453" s="18" t="s">
        <v>573</v>
      </c>
      <c r="D453" s="18" t="s">
        <v>106</v>
      </c>
      <c r="E453" s="18" t="s">
        <v>60</v>
      </c>
      <c r="F453" s="19" t="n">
        <v>327.05</v>
      </c>
      <c r="G453" s="20" t="s">
        <v>554</v>
      </c>
    </row>
    <row r="454" customFormat="false" ht="15" hidden="false" customHeight="true" outlineLevel="0" collapsed="false">
      <c r="B454" s="17" t="n">
        <v>46082</v>
      </c>
      <c r="C454" s="18" t="s">
        <v>574</v>
      </c>
      <c r="D454" s="18" t="s">
        <v>106</v>
      </c>
      <c r="E454" s="18" t="s">
        <v>72</v>
      </c>
      <c r="F454" s="19" t="n">
        <v>1508.5</v>
      </c>
      <c r="G454" s="20" t="s">
        <v>554</v>
      </c>
    </row>
    <row r="455" customFormat="false" ht="15" hidden="false" customHeight="true" outlineLevel="0" collapsed="false">
      <c r="B455" s="17" t="n">
        <v>46082</v>
      </c>
      <c r="C455" s="18" t="s">
        <v>575</v>
      </c>
      <c r="D455" s="18" t="s">
        <v>106</v>
      </c>
      <c r="E455" s="18" t="s">
        <v>58</v>
      </c>
      <c r="F455" s="19" t="n">
        <v>83514.06</v>
      </c>
      <c r="G455" s="20" t="s">
        <v>554</v>
      </c>
    </row>
    <row r="456" customFormat="false" ht="15" hidden="false" customHeight="true" outlineLevel="0" collapsed="false">
      <c r="B456" s="17" t="n">
        <v>46082</v>
      </c>
      <c r="C456" s="18" t="s">
        <v>576</v>
      </c>
      <c r="D456" s="18" t="s">
        <v>106</v>
      </c>
      <c r="E456" s="18" t="s">
        <v>63</v>
      </c>
      <c r="F456" s="19" t="n">
        <v>24458.68</v>
      </c>
      <c r="G456" s="20" t="s">
        <v>554</v>
      </c>
    </row>
    <row r="457" customFormat="false" ht="15" hidden="false" customHeight="true" outlineLevel="0" collapsed="false">
      <c r="B457" s="17" t="n">
        <v>46082</v>
      </c>
      <c r="C457" s="18" t="s">
        <v>577</v>
      </c>
      <c r="D457" s="18" t="s">
        <v>106</v>
      </c>
      <c r="E457" s="18" t="s">
        <v>90</v>
      </c>
      <c r="F457" s="19" t="n">
        <v>905</v>
      </c>
      <c r="G457" s="20" t="s">
        <v>554</v>
      </c>
    </row>
    <row r="458" customFormat="false" ht="15" hidden="false" customHeight="true" outlineLevel="0" collapsed="false">
      <c r="B458" s="17" t="n">
        <v>46082</v>
      </c>
      <c r="C458" s="18" t="s">
        <v>578</v>
      </c>
      <c r="D458" s="18" t="s">
        <v>106</v>
      </c>
      <c r="E458" s="18" t="s">
        <v>85</v>
      </c>
      <c r="F458" s="19" t="n">
        <v>3373.29</v>
      </c>
      <c r="G458" s="20" t="s">
        <v>554</v>
      </c>
    </row>
    <row r="459" customFormat="false" ht="15" hidden="false" customHeight="true" outlineLevel="0" collapsed="false">
      <c r="B459" s="17" t="n">
        <v>46082</v>
      </c>
      <c r="C459" s="18" t="s">
        <v>579</v>
      </c>
      <c r="D459" s="18" t="s">
        <v>106</v>
      </c>
      <c r="E459" s="18" t="s">
        <v>54</v>
      </c>
      <c r="F459" s="19" t="n">
        <v>1085</v>
      </c>
      <c r="G459" s="20" t="s">
        <v>554</v>
      </c>
    </row>
    <row r="460" customFormat="false" ht="15" hidden="false" customHeight="true" outlineLevel="0" collapsed="false">
      <c r="B460" s="17" t="n">
        <v>46082</v>
      </c>
      <c r="C460" s="18" t="s">
        <v>580</v>
      </c>
      <c r="D460" s="18" t="s">
        <v>106</v>
      </c>
      <c r="E460" s="18" t="s">
        <v>57</v>
      </c>
      <c r="F460" s="19" t="n">
        <v>28</v>
      </c>
      <c r="G460" s="20" t="s">
        <v>554</v>
      </c>
    </row>
    <row r="461" customFormat="false" ht="15" hidden="false" customHeight="true" outlineLevel="0" collapsed="false">
      <c r="B461" s="17" t="n">
        <v>46082</v>
      </c>
      <c r="C461" s="18" t="s">
        <v>581</v>
      </c>
      <c r="D461" s="18" t="s">
        <v>106</v>
      </c>
      <c r="E461" s="18" t="s">
        <v>70</v>
      </c>
      <c r="F461" s="19" t="n">
        <v>7750</v>
      </c>
      <c r="G461" s="20" t="s">
        <v>554</v>
      </c>
    </row>
    <row r="462" customFormat="false" ht="15" hidden="false" customHeight="true" outlineLevel="0" collapsed="false">
      <c r="B462" s="17" t="n">
        <v>46082</v>
      </c>
      <c r="C462" s="18" t="s">
        <v>582</v>
      </c>
      <c r="D462" s="18" t="s">
        <v>106</v>
      </c>
      <c r="E462" s="18" t="s">
        <v>82</v>
      </c>
      <c r="F462" s="19" t="n">
        <v>22</v>
      </c>
      <c r="G462" s="20" t="s">
        <v>554</v>
      </c>
    </row>
    <row r="463" customFormat="false" ht="15" hidden="false" customHeight="true" outlineLevel="0" collapsed="false">
      <c r="B463" s="17" t="n">
        <v>46082</v>
      </c>
      <c r="C463" s="18" t="s">
        <v>583</v>
      </c>
      <c r="D463" s="18" t="s">
        <v>106</v>
      </c>
      <c r="E463" s="18" t="s">
        <v>84</v>
      </c>
      <c r="F463" s="19" t="n">
        <v>2500</v>
      </c>
      <c r="G463" s="20" t="s">
        <v>554</v>
      </c>
    </row>
    <row r="464" customFormat="false" ht="15" hidden="false" customHeight="true" outlineLevel="0" collapsed="false">
      <c r="B464" s="17" t="n">
        <v>46082</v>
      </c>
      <c r="C464" s="18" t="s">
        <v>584</v>
      </c>
      <c r="D464" s="18" t="s">
        <v>106</v>
      </c>
      <c r="E464" s="18" t="s">
        <v>81</v>
      </c>
      <c r="F464" s="19" t="n">
        <v>3500</v>
      </c>
      <c r="G464" s="20" t="s">
        <v>554</v>
      </c>
    </row>
    <row r="465" customFormat="false" ht="15" hidden="false" customHeight="true" outlineLevel="0" collapsed="false">
      <c r="B465" s="17" t="n">
        <v>46082</v>
      </c>
      <c r="C465" s="18" t="s">
        <v>585</v>
      </c>
      <c r="D465" s="18" t="s">
        <v>106</v>
      </c>
      <c r="E465" s="18" t="s">
        <v>89</v>
      </c>
      <c r="F465" s="19" t="n">
        <v>2056</v>
      </c>
      <c r="G465" s="20" t="s">
        <v>554</v>
      </c>
    </row>
    <row r="466" customFormat="false" ht="15" hidden="false" customHeight="true" outlineLevel="0" collapsed="false">
      <c r="B466" s="17" t="n">
        <v>46082</v>
      </c>
      <c r="C466" s="18" t="s">
        <v>586</v>
      </c>
      <c r="D466" s="18" t="s">
        <v>106</v>
      </c>
      <c r="E466" s="18" t="s">
        <v>95</v>
      </c>
      <c r="F466" s="19" t="n">
        <v>1677.63</v>
      </c>
      <c r="G466" s="20" t="s">
        <v>554</v>
      </c>
    </row>
    <row r="467" customFormat="false" ht="15" hidden="false" customHeight="true" outlineLevel="0" collapsed="false">
      <c r="B467" s="17" t="n">
        <v>46082</v>
      </c>
      <c r="C467" s="18" t="s">
        <v>587</v>
      </c>
      <c r="D467" s="18" t="s">
        <v>106</v>
      </c>
      <c r="E467" s="18" t="s">
        <v>24</v>
      </c>
      <c r="F467" s="19" t="n">
        <v>208123.65</v>
      </c>
      <c r="G467" s="20" t="s">
        <v>554</v>
      </c>
    </row>
    <row r="468" customFormat="false" ht="15" hidden="false" customHeight="true" outlineLevel="0" collapsed="false">
      <c r="B468" s="17" t="n">
        <v>46082</v>
      </c>
      <c r="C468" s="18" t="s">
        <v>588</v>
      </c>
      <c r="D468" s="18" t="s">
        <v>106</v>
      </c>
      <c r="E468" s="18" t="s">
        <v>86</v>
      </c>
      <c r="F468" s="19" t="n">
        <v>25000</v>
      </c>
      <c r="G468" s="20" t="s">
        <v>554</v>
      </c>
    </row>
    <row r="469" customFormat="false" ht="15" hidden="false" customHeight="true" outlineLevel="0" collapsed="false">
      <c r="B469" s="17" t="n">
        <v>46113</v>
      </c>
      <c r="C469" s="18" t="s">
        <v>589</v>
      </c>
      <c r="D469" s="18" t="s">
        <v>116</v>
      </c>
      <c r="E469" s="18" t="s">
        <v>22</v>
      </c>
      <c r="F469" s="19" t="n">
        <v>425042.8</v>
      </c>
      <c r="G469" s="20" t="s">
        <v>590</v>
      </c>
    </row>
    <row r="470" customFormat="false" ht="15" hidden="false" customHeight="true" outlineLevel="0" collapsed="false">
      <c r="B470" s="17" t="n">
        <v>46113</v>
      </c>
      <c r="C470" s="18" t="s">
        <v>591</v>
      </c>
      <c r="D470" s="18" t="s">
        <v>106</v>
      </c>
      <c r="E470" s="18" t="s">
        <v>52</v>
      </c>
      <c r="F470" s="19" t="n">
        <v>8100</v>
      </c>
      <c r="G470" s="20" t="s">
        <v>590</v>
      </c>
    </row>
    <row r="471" customFormat="false" ht="15" hidden="false" customHeight="true" outlineLevel="0" collapsed="false">
      <c r="B471" s="17" t="n">
        <v>46113</v>
      </c>
      <c r="C471" s="18" t="s">
        <v>592</v>
      </c>
      <c r="D471" s="18" t="s">
        <v>106</v>
      </c>
      <c r="E471" s="18" t="s">
        <v>51</v>
      </c>
      <c r="F471" s="19" t="n">
        <v>31939.4</v>
      </c>
      <c r="G471" s="20" t="s">
        <v>590</v>
      </c>
    </row>
    <row r="472" customFormat="false" ht="15" hidden="false" customHeight="true" outlineLevel="0" collapsed="false">
      <c r="B472" s="17" t="n">
        <v>46113</v>
      </c>
      <c r="C472" s="18" t="s">
        <v>593</v>
      </c>
      <c r="D472" s="18" t="s">
        <v>106</v>
      </c>
      <c r="E472" s="18" t="s">
        <v>59</v>
      </c>
      <c r="F472" s="19" t="n">
        <v>3650</v>
      </c>
      <c r="G472" s="20" t="s">
        <v>590</v>
      </c>
    </row>
    <row r="473" customFormat="false" ht="15" hidden="false" customHeight="true" outlineLevel="0" collapsed="false">
      <c r="B473" s="17" t="n">
        <v>46113</v>
      </c>
      <c r="C473" s="18" t="s">
        <v>594</v>
      </c>
      <c r="D473" s="18" t="s">
        <v>106</v>
      </c>
      <c r="E473" s="18" t="s">
        <v>87</v>
      </c>
      <c r="F473" s="19" t="n">
        <v>2623.23</v>
      </c>
      <c r="G473" s="20" t="s">
        <v>590</v>
      </c>
    </row>
    <row r="474" customFormat="false" ht="15" hidden="false" customHeight="true" outlineLevel="0" collapsed="false">
      <c r="B474" s="17" t="n">
        <v>46113</v>
      </c>
      <c r="C474" s="18" t="s">
        <v>595</v>
      </c>
      <c r="D474" s="18" t="s">
        <v>106</v>
      </c>
      <c r="E474" s="18" t="s">
        <v>67</v>
      </c>
      <c r="F474" s="19" t="n">
        <v>168.44</v>
      </c>
      <c r="G474" s="20" t="s">
        <v>590</v>
      </c>
    </row>
    <row r="475" customFormat="false" ht="15" hidden="false" customHeight="true" outlineLevel="0" collapsed="false">
      <c r="B475" s="17" t="n">
        <v>46113</v>
      </c>
      <c r="C475" s="18" t="s">
        <v>596</v>
      </c>
      <c r="D475" s="18" t="s">
        <v>106</v>
      </c>
      <c r="E475" s="18" t="s">
        <v>61</v>
      </c>
      <c r="F475" s="19" t="n">
        <v>6258.05</v>
      </c>
      <c r="G475" s="20" t="s">
        <v>590</v>
      </c>
    </row>
    <row r="476" customFormat="false" ht="15" hidden="false" customHeight="true" outlineLevel="0" collapsed="false">
      <c r="B476" s="17" t="n">
        <v>46113</v>
      </c>
      <c r="C476" s="18" t="s">
        <v>597</v>
      </c>
      <c r="D476" s="18" t="s">
        <v>106</v>
      </c>
      <c r="E476" s="18" t="s">
        <v>64</v>
      </c>
      <c r="F476" s="19" t="n">
        <v>1198.14</v>
      </c>
      <c r="G476" s="20" t="s">
        <v>590</v>
      </c>
    </row>
    <row r="477" customFormat="false" ht="15" hidden="false" customHeight="true" outlineLevel="0" collapsed="false">
      <c r="B477" s="17" t="n">
        <v>46113</v>
      </c>
      <c r="C477" s="18" t="s">
        <v>598</v>
      </c>
      <c r="D477" s="18" t="s">
        <v>106</v>
      </c>
      <c r="E477" s="18" t="s">
        <v>62</v>
      </c>
      <c r="F477" s="19" t="n">
        <v>508.74</v>
      </c>
      <c r="G477" s="20" t="s">
        <v>590</v>
      </c>
    </row>
    <row r="478" customFormat="false" ht="15" hidden="false" customHeight="true" outlineLevel="0" collapsed="false">
      <c r="B478" s="17" t="n">
        <v>46113</v>
      </c>
      <c r="C478" s="18" t="s">
        <v>599</v>
      </c>
      <c r="D478" s="18" t="s">
        <v>106</v>
      </c>
      <c r="E478" s="18" t="s">
        <v>49</v>
      </c>
      <c r="F478" s="19" t="n">
        <v>1980</v>
      </c>
      <c r="G478" s="20" t="s">
        <v>590</v>
      </c>
    </row>
    <row r="479" customFormat="false" ht="15" hidden="false" customHeight="true" outlineLevel="0" collapsed="false">
      <c r="B479" s="17" t="n">
        <v>46113</v>
      </c>
      <c r="C479" s="18" t="s">
        <v>600</v>
      </c>
      <c r="D479" s="18" t="s">
        <v>106</v>
      </c>
      <c r="E479" s="18" t="s">
        <v>68</v>
      </c>
      <c r="F479" s="19" t="n">
        <v>151.96</v>
      </c>
      <c r="G479" s="20" t="s">
        <v>590</v>
      </c>
    </row>
    <row r="480" customFormat="false" ht="15" hidden="false" customHeight="true" outlineLevel="0" collapsed="false">
      <c r="B480" s="17" t="n">
        <v>46113</v>
      </c>
      <c r="C480" s="18" t="s">
        <v>601</v>
      </c>
      <c r="D480" s="18" t="s">
        <v>106</v>
      </c>
      <c r="E480" s="18" t="s">
        <v>69</v>
      </c>
      <c r="F480" s="19" t="n">
        <v>261.86</v>
      </c>
      <c r="G480" s="20" t="s">
        <v>590</v>
      </c>
    </row>
    <row r="481" customFormat="false" ht="15" hidden="false" customHeight="true" outlineLevel="0" collapsed="false">
      <c r="B481" s="17" t="n">
        <v>46113</v>
      </c>
      <c r="C481" s="18" t="s">
        <v>602</v>
      </c>
      <c r="D481" s="18" t="s">
        <v>106</v>
      </c>
      <c r="E481" s="18" t="s">
        <v>42</v>
      </c>
      <c r="F481" s="19" t="n">
        <v>1927.86</v>
      </c>
      <c r="G481" s="20" t="s">
        <v>590</v>
      </c>
    </row>
    <row r="482" customFormat="false" ht="15" hidden="false" customHeight="true" outlineLevel="0" collapsed="false">
      <c r="B482" s="17" t="n">
        <v>46113</v>
      </c>
      <c r="C482" s="18" t="s">
        <v>603</v>
      </c>
      <c r="D482" s="18" t="s">
        <v>106</v>
      </c>
      <c r="E482" s="18" t="s">
        <v>76</v>
      </c>
      <c r="F482" s="19" t="n">
        <v>1100</v>
      </c>
      <c r="G482" s="20" t="s">
        <v>590</v>
      </c>
    </row>
    <row r="483" customFormat="false" ht="15" hidden="false" customHeight="true" outlineLevel="0" collapsed="false">
      <c r="B483" s="17" t="n">
        <v>46113</v>
      </c>
      <c r="C483" s="18" t="s">
        <v>604</v>
      </c>
      <c r="D483" s="18" t="s">
        <v>106</v>
      </c>
      <c r="E483" s="18" t="s">
        <v>43</v>
      </c>
      <c r="F483" s="19" t="n">
        <v>1349.31</v>
      </c>
      <c r="G483" s="20" t="s">
        <v>590</v>
      </c>
    </row>
    <row r="484" customFormat="false" ht="15" hidden="false" customHeight="true" outlineLevel="0" collapsed="false">
      <c r="B484" s="17" t="n">
        <v>46113</v>
      </c>
      <c r="C484" s="18" t="s">
        <v>605</v>
      </c>
      <c r="D484" s="18" t="s">
        <v>106</v>
      </c>
      <c r="E484" s="18" t="s">
        <v>46</v>
      </c>
      <c r="F484" s="19" t="n">
        <v>150</v>
      </c>
      <c r="G484" s="20" t="s">
        <v>590</v>
      </c>
    </row>
    <row r="485" customFormat="false" ht="15" hidden="false" customHeight="true" outlineLevel="0" collapsed="false">
      <c r="B485" s="17" t="n">
        <v>46113</v>
      </c>
      <c r="C485" s="18" t="s">
        <v>606</v>
      </c>
      <c r="D485" s="18" t="s">
        <v>106</v>
      </c>
      <c r="E485" s="18" t="s">
        <v>65</v>
      </c>
      <c r="F485" s="19" t="n">
        <v>130</v>
      </c>
      <c r="G485" s="20" t="s">
        <v>590</v>
      </c>
    </row>
    <row r="486" customFormat="false" ht="15" hidden="false" customHeight="true" outlineLevel="0" collapsed="false">
      <c r="B486" s="17" t="n">
        <v>46113</v>
      </c>
      <c r="C486" s="18" t="s">
        <v>607</v>
      </c>
      <c r="D486" s="18" t="s">
        <v>106</v>
      </c>
      <c r="E486" s="18" t="s">
        <v>60</v>
      </c>
      <c r="F486" s="19" t="n">
        <v>327.05</v>
      </c>
      <c r="G486" s="20" t="s">
        <v>590</v>
      </c>
    </row>
    <row r="487" customFormat="false" ht="15" hidden="false" customHeight="true" outlineLevel="0" collapsed="false">
      <c r="B487" s="17" t="n">
        <v>46113</v>
      </c>
      <c r="C487" s="18" t="s">
        <v>608</v>
      </c>
      <c r="D487" s="18" t="s">
        <v>106</v>
      </c>
      <c r="E487" s="18" t="s">
        <v>58</v>
      </c>
      <c r="F487" s="19" t="n">
        <v>103560.2</v>
      </c>
      <c r="G487" s="20" t="s">
        <v>590</v>
      </c>
    </row>
    <row r="488" customFormat="false" ht="15" hidden="false" customHeight="true" outlineLevel="0" collapsed="false">
      <c r="B488" s="17" t="n">
        <v>46113</v>
      </c>
      <c r="C488" s="18" t="s">
        <v>609</v>
      </c>
      <c r="D488" s="18" t="s">
        <v>106</v>
      </c>
      <c r="E488" s="18" t="s">
        <v>63</v>
      </c>
      <c r="F488" s="19" t="n">
        <v>24458.68</v>
      </c>
      <c r="G488" s="20" t="s">
        <v>590</v>
      </c>
    </row>
    <row r="489" customFormat="false" ht="15" hidden="false" customHeight="true" outlineLevel="0" collapsed="false">
      <c r="B489" s="17" t="n">
        <v>46113</v>
      </c>
      <c r="C489" s="18" t="s">
        <v>610</v>
      </c>
      <c r="D489" s="18" t="s">
        <v>106</v>
      </c>
      <c r="E489" s="18" t="s">
        <v>90</v>
      </c>
      <c r="F489" s="19" t="n">
        <v>28.5</v>
      </c>
      <c r="G489" s="20" t="s">
        <v>590</v>
      </c>
    </row>
    <row r="490" customFormat="false" ht="15" hidden="false" customHeight="true" outlineLevel="0" collapsed="false">
      <c r="B490" s="17" t="n">
        <v>46113</v>
      </c>
      <c r="C490" s="18" t="s">
        <v>611</v>
      </c>
      <c r="D490" s="18" t="s">
        <v>106</v>
      </c>
      <c r="E490" s="18" t="s">
        <v>85</v>
      </c>
      <c r="F490" s="19" t="n">
        <v>3216.94</v>
      </c>
      <c r="G490" s="20" t="s">
        <v>590</v>
      </c>
    </row>
    <row r="491" customFormat="false" ht="15" hidden="false" customHeight="true" outlineLevel="0" collapsed="false">
      <c r="B491" s="17" t="n">
        <v>46113</v>
      </c>
      <c r="C491" s="18" t="s">
        <v>612</v>
      </c>
      <c r="D491" s="18" t="s">
        <v>106</v>
      </c>
      <c r="E491" s="18" t="s">
        <v>54</v>
      </c>
      <c r="F491" s="19" t="n">
        <v>957</v>
      </c>
      <c r="G491" s="20" t="s">
        <v>590</v>
      </c>
    </row>
    <row r="492" customFormat="false" ht="15" hidden="false" customHeight="true" outlineLevel="0" collapsed="false">
      <c r="B492" s="17" t="n">
        <v>46113</v>
      </c>
      <c r="C492" s="18" t="s">
        <v>613</v>
      </c>
      <c r="D492" s="18" t="s">
        <v>106</v>
      </c>
      <c r="E492" s="18" t="s">
        <v>57</v>
      </c>
      <c r="F492" s="19" t="n">
        <v>13.74</v>
      </c>
      <c r="G492" s="20" t="s">
        <v>590</v>
      </c>
    </row>
    <row r="493" customFormat="false" ht="15" hidden="false" customHeight="true" outlineLevel="0" collapsed="false">
      <c r="B493" s="17" t="n">
        <v>46113</v>
      </c>
      <c r="C493" s="18" t="s">
        <v>614</v>
      </c>
      <c r="D493" s="18" t="s">
        <v>106</v>
      </c>
      <c r="E493" s="18" t="s">
        <v>70</v>
      </c>
      <c r="F493" s="19" t="n">
        <v>7750</v>
      </c>
      <c r="G493" s="20" t="s">
        <v>590</v>
      </c>
    </row>
    <row r="494" customFormat="false" ht="15" hidden="false" customHeight="true" outlineLevel="0" collapsed="false">
      <c r="B494" s="17" t="n">
        <v>46113</v>
      </c>
      <c r="C494" s="18" t="s">
        <v>615</v>
      </c>
      <c r="D494" s="18" t="s">
        <v>106</v>
      </c>
      <c r="E494" s="18" t="s">
        <v>82</v>
      </c>
      <c r="F494" s="19" t="n">
        <v>89.29</v>
      </c>
      <c r="G494" s="20" t="s">
        <v>590</v>
      </c>
    </row>
    <row r="495" customFormat="false" ht="15" hidden="false" customHeight="true" outlineLevel="0" collapsed="false">
      <c r="B495" s="17" t="n">
        <v>46113</v>
      </c>
      <c r="C495" s="18" t="s">
        <v>616</v>
      </c>
      <c r="D495" s="18" t="s">
        <v>106</v>
      </c>
      <c r="E495" s="18" t="s">
        <v>84</v>
      </c>
      <c r="F495" s="19" t="n">
        <v>2500</v>
      </c>
      <c r="G495" s="20" t="s">
        <v>590</v>
      </c>
    </row>
    <row r="496" customFormat="false" ht="15" hidden="false" customHeight="true" outlineLevel="0" collapsed="false">
      <c r="B496" s="17" t="n">
        <v>46113</v>
      </c>
      <c r="C496" s="18" t="s">
        <v>617</v>
      </c>
      <c r="D496" s="18" t="s">
        <v>106</v>
      </c>
      <c r="E496" s="18" t="s">
        <v>81</v>
      </c>
      <c r="F496" s="19" t="n">
        <v>3500</v>
      </c>
      <c r="G496" s="20" t="s">
        <v>590</v>
      </c>
    </row>
    <row r="497" customFormat="false" ht="15" hidden="false" customHeight="true" outlineLevel="0" collapsed="false">
      <c r="B497" s="17" t="n">
        <v>46113</v>
      </c>
      <c r="C497" s="18" t="s">
        <v>618</v>
      </c>
      <c r="D497" s="18" t="s">
        <v>106</v>
      </c>
      <c r="E497" s="18" t="s">
        <v>89</v>
      </c>
      <c r="F497" s="19" t="n">
        <v>2055.6</v>
      </c>
      <c r="G497" s="20" t="s">
        <v>590</v>
      </c>
    </row>
    <row r="498" customFormat="false" ht="15" hidden="false" customHeight="true" outlineLevel="0" collapsed="false">
      <c r="B498" s="17" t="n">
        <v>46113</v>
      </c>
      <c r="C498" s="18" t="s">
        <v>619</v>
      </c>
      <c r="D498" s="18" t="s">
        <v>106</v>
      </c>
      <c r="E498" s="18" t="s">
        <v>95</v>
      </c>
      <c r="F498" s="19" t="n">
        <v>2147</v>
      </c>
      <c r="G498" s="20" t="s">
        <v>590</v>
      </c>
    </row>
    <row r="499" customFormat="false" ht="15" hidden="false" customHeight="true" outlineLevel="0" collapsed="false">
      <c r="B499" s="17" t="n">
        <v>46113</v>
      </c>
      <c r="C499" s="18" t="s">
        <v>620</v>
      </c>
      <c r="D499" s="18" t="s">
        <v>106</v>
      </c>
      <c r="E499" s="18" t="s">
        <v>24</v>
      </c>
      <c r="F499" s="19" t="n">
        <v>284043.68</v>
      </c>
      <c r="G499" s="20" t="s">
        <v>590</v>
      </c>
    </row>
    <row r="500" customFormat="false" ht="15" hidden="false" customHeight="true" outlineLevel="0" collapsed="false">
      <c r="B500" s="17" t="n">
        <v>46113</v>
      </c>
      <c r="C500" s="18" t="s">
        <v>621</v>
      </c>
      <c r="D500" s="18" t="s">
        <v>106</v>
      </c>
      <c r="E500" s="18" t="s">
        <v>86</v>
      </c>
      <c r="F500" s="19" t="n">
        <v>25000</v>
      </c>
      <c r="G500" s="20" t="s">
        <v>590</v>
      </c>
    </row>
    <row r="501" customFormat="false" ht="15" hidden="false" customHeight="true" outlineLevel="0" collapsed="false">
      <c r="B501" s="17" t="n">
        <v>46143</v>
      </c>
      <c r="C501" s="18" t="s">
        <v>622</v>
      </c>
      <c r="D501" s="18" t="s">
        <v>116</v>
      </c>
      <c r="E501" s="18" t="s">
        <v>22</v>
      </c>
      <c r="F501" s="19" t="n">
        <v>582637.02</v>
      </c>
      <c r="G501" s="20" t="s">
        <v>623</v>
      </c>
    </row>
    <row r="502" customFormat="false" ht="15" hidden="false" customHeight="true" outlineLevel="0" collapsed="false">
      <c r="B502" s="17" t="n">
        <v>46143</v>
      </c>
      <c r="C502" s="18" t="s">
        <v>624</v>
      </c>
      <c r="D502" s="18" t="s">
        <v>106</v>
      </c>
      <c r="E502" s="18" t="s">
        <v>52</v>
      </c>
      <c r="F502" s="19" t="n">
        <v>8100</v>
      </c>
      <c r="G502" s="20" t="s">
        <v>623</v>
      </c>
    </row>
    <row r="503" customFormat="false" ht="15" hidden="false" customHeight="true" outlineLevel="0" collapsed="false">
      <c r="B503" s="17" t="n">
        <v>46143</v>
      </c>
      <c r="C503" s="18" t="s">
        <v>625</v>
      </c>
      <c r="D503" s="18" t="s">
        <v>106</v>
      </c>
      <c r="E503" s="18" t="s">
        <v>51</v>
      </c>
      <c r="F503" s="19" t="n">
        <v>31560.15</v>
      </c>
      <c r="G503" s="20" t="s">
        <v>623</v>
      </c>
    </row>
    <row r="504" customFormat="false" ht="15" hidden="false" customHeight="true" outlineLevel="0" collapsed="false">
      <c r="B504" s="17" t="n">
        <v>46143</v>
      </c>
      <c r="C504" s="18" t="s">
        <v>626</v>
      </c>
      <c r="D504" s="18" t="s">
        <v>106</v>
      </c>
      <c r="E504" s="18" t="s">
        <v>59</v>
      </c>
      <c r="F504" s="19" t="n">
        <v>2850.01</v>
      </c>
      <c r="G504" s="20" t="s">
        <v>623</v>
      </c>
    </row>
    <row r="505" customFormat="false" ht="15" hidden="false" customHeight="true" outlineLevel="0" collapsed="false">
      <c r="B505" s="17" t="n">
        <v>46143</v>
      </c>
      <c r="C505" s="18" t="s">
        <v>627</v>
      </c>
      <c r="D505" s="18" t="s">
        <v>106</v>
      </c>
      <c r="E505" s="18" t="s">
        <v>87</v>
      </c>
      <c r="F505" s="19" t="n">
        <v>2903.47</v>
      </c>
      <c r="G505" s="20" t="s">
        <v>623</v>
      </c>
    </row>
    <row r="506" customFormat="false" ht="15" hidden="false" customHeight="true" outlineLevel="0" collapsed="false">
      <c r="B506" s="17" t="n">
        <v>46143</v>
      </c>
      <c r="C506" s="18" t="s">
        <v>628</v>
      </c>
      <c r="D506" s="18" t="s">
        <v>106</v>
      </c>
      <c r="E506" s="18" t="s">
        <v>61</v>
      </c>
      <c r="F506" s="19" t="n">
        <v>5873.77</v>
      </c>
      <c r="G506" s="20" t="s">
        <v>623</v>
      </c>
    </row>
    <row r="507" customFormat="false" ht="15" hidden="false" customHeight="true" outlineLevel="0" collapsed="false">
      <c r="B507" s="17" t="n">
        <v>46143</v>
      </c>
      <c r="C507" s="18" t="s">
        <v>629</v>
      </c>
      <c r="D507" s="18" t="s">
        <v>106</v>
      </c>
      <c r="E507" s="18" t="s">
        <v>64</v>
      </c>
      <c r="F507" s="19" t="n">
        <v>1198.14</v>
      </c>
      <c r="G507" s="20" t="s">
        <v>623</v>
      </c>
    </row>
    <row r="508" customFormat="false" ht="15" hidden="false" customHeight="true" outlineLevel="0" collapsed="false">
      <c r="B508" s="17" t="n">
        <v>46143</v>
      </c>
      <c r="C508" s="18" t="s">
        <v>630</v>
      </c>
      <c r="D508" s="18" t="s">
        <v>106</v>
      </c>
      <c r="E508" s="18" t="s">
        <v>62</v>
      </c>
      <c r="F508" s="19" t="n">
        <v>248</v>
      </c>
      <c r="G508" s="20" t="s">
        <v>623</v>
      </c>
    </row>
    <row r="509" customFormat="false" ht="15" hidden="false" customHeight="true" outlineLevel="0" collapsed="false">
      <c r="B509" s="17" t="n">
        <v>46143</v>
      </c>
      <c r="C509" s="18" t="s">
        <v>631</v>
      </c>
      <c r="D509" s="18" t="s">
        <v>106</v>
      </c>
      <c r="E509" s="18" t="s">
        <v>49</v>
      </c>
      <c r="F509" s="19" t="n">
        <v>2000</v>
      </c>
      <c r="G509" s="20" t="s">
        <v>623</v>
      </c>
    </row>
    <row r="510" customFormat="false" ht="15" hidden="false" customHeight="true" outlineLevel="0" collapsed="false">
      <c r="B510" s="17" t="n">
        <v>46143</v>
      </c>
      <c r="C510" s="18" t="s">
        <v>632</v>
      </c>
      <c r="D510" s="18" t="s">
        <v>106</v>
      </c>
      <c r="E510" s="18" t="s">
        <v>50</v>
      </c>
      <c r="F510" s="19" t="n">
        <v>3300</v>
      </c>
      <c r="G510" s="20" t="s">
        <v>623</v>
      </c>
    </row>
    <row r="511" customFormat="false" ht="15" hidden="false" customHeight="true" outlineLevel="0" collapsed="false">
      <c r="B511" s="17" t="n">
        <v>46143</v>
      </c>
      <c r="C511" s="18" t="s">
        <v>633</v>
      </c>
      <c r="D511" s="18" t="s">
        <v>106</v>
      </c>
      <c r="E511" s="18" t="s">
        <v>68</v>
      </c>
      <c r="F511" s="19" t="n">
        <v>116.38</v>
      </c>
      <c r="G511" s="20" t="s">
        <v>623</v>
      </c>
    </row>
    <row r="512" customFormat="false" ht="15" hidden="false" customHeight="true" outlineLevel="0" collapsed="false">
      <c r="B512" s="17" t="n">
        <v>46143</v>
      </c>
      <c r="C512" s="18" t="s">
        <v>634</v>
      </c>
      <c r="D512" s="18" t="s">
        <v>106</v>
      </c>
      <c r="E512" s="18" t="s">
        <v>69</v>
      </c>
      <c r="F512" s="19" t="n">
        <v>242.88</v>
      </c>
      <c r="G512" s="20" t="s">
        <v>623</v>
      </c>
    </row>
    <row r="513" customFormat="false" ht="15" hidden="false" customHeight="true" outlineLevel="0" collapsed="false">
      <c r="B513" s="17" t="n">
        <v>46143</v>
      </c>
      <c r="C513" s="18" t="s">
        <v>635</v>
      </c>
      <c r="D513" s="18" t="s">
        <v>106</v>
      </c>
      <c r="E513" s="18" t="s">
        <v>78</v>
      </c>
      <c r="F513" s="19" t="n">
        <v>90</v>
      </c>
      <c r="G513" s="20" t="s">
        <v>623</v>
      </c>
    </row>
    <row r="514" customFormat="false" ht="15" hidden="false" customHeight="true" outlineLevel="0" collapsed="false">
      <c r="B514" s="17" t="n">
        <v>46143</v>
      </c>
      <c r="C514" s="18" t="s">
        <v>636</v>
      </c>
      <c r="D514" s="18" t="s">
        <v>106</v>
      </c>
      <c r="E514" s="18" t="s">
        <v>42</v>
      </c>
      <c r="F514" s="19" t="n">
        <v>1153.94</v>
      </c>
      <c r="G514" s="20" t="s">
        <v>623</v>
      </c>
    </row>
    <row r="515" customFormat="false" ht="15" hidden="false" customHeight="true" outlineLevel="0" collapsed="false">
      <c r="B515" s="17" t="n">
        <v>46143</v>
      </c>
      <c r="C515" s="18" t="s">
        <v>637</v>
      </c>
      <c r="D515" s="18" t="s">
        <v>106</v>
      </c>
      <c r="E515" s="18" t="s">
        <v>76</v>
      </c>
      <c r="F515" s="19" t="n">
        <v>1100</v>
      </c>
      <c r="G515" s="20" t="s">
        <v>623</v>
      </c>
    </row>
    <row r="516" customFormat="false" ht="15" hidden="false" customHeight="true" outlineLevel="0" collapsed="false">
      <c r="B516" s="17" t="n">
        <v>46143</v>
      </c>
      <c r="C516" s="18" t="s">
        <v>638</v>
      </c>
      <c r="D516" s="18" t="s">
        <v>106</v>
      </c>
      <c r="E516" s="18" t="s">
        <v>97</v>
      </c>
      <c r="F516" s="19" t="n">
        <v>100</v>
      </c>
      <c r="G516" s="20" t="s">
        <v>623</v>
      </c>
    </row>
    <row r="517" customFormat="false" ht="15" hidden="false" customHeight="true" outlineLevel="0" collapsed="false">
      <c r="B517" s="17" t="n">
        <v>46143</v>
      </c>
      <c r="C517" s="18" t="s">
        <v>639</v>
      </c>
      <c r="D517" s="18" t="s">
        <v>106</v>
      </c>
      <c r="E517" s="18" t="s">
        <v>45</v>
      </c>
      <c r="F517" s="19" t="n">
        <v>202</v>
      </c>
      <c r="G517" s="20" t="s">
        <v>623</v>
      </c>
    </row>
    <row r="518" customFormat="false" ht="15" hidden="false" customHeight="true" outlineLevel="0" collapsed="false">
      <c r="B518" s="17" t="n">
        <v>46143</v>
      </c>
      <c r="C518" s="18" t="s">
        <v>640</v>
      </c>
      <c r="D518" s="18" t="s">
        <v>106</v>
      </c>
      <c r="E518" s="18" t="s">
        <v>43</v>
      </c>
      <c r="F518" s="19" t="n">
        <v>967.75</v>
      </c>
      <c r="G518" s="20" t="s">
        <v>623</v>
      </c>
    </row>
    <row r="519" customFormat="false" ht="15" hidden="false" customHeight="true" outlineLevel="0" collapsed="false">
      <c r="B519" s="17" t="n">
        <v>46143</v>
      </c>
      <c r="C519" s="18" t="s">
        <v>641</v>
      </c>
      <c r="D519" s="18" t="s">
        <v>106</v>
      </c>
      <c r="E519" s="18" t="s">
        <v>44</v>
      </c>
      <c r="F519" s="19" t="n">
        <v>600</v>
      </c>
      <c r="G519" s="20" t="s">
        <v>623</v>
      </c>
    </row>
    <row r="520" customFormat="false" ht="15" hidden="false" customHeight="true" outlineLevel="0" collapsed="false">
      <c r="B520" s="17" t="n">
        <v>46143</v>
      </c>
      <c r="C520" s="18" t="s">
        <v>642</v>
      </c>
      <c r="D520" s="18" t="s">
        <v>106</v>
      </c>
      <c r="E520" s="18" t="s">
        <v>46</v>
      </c>
      <c r="F520" s="19" t="n">
        <v>155</v>
      </c>
      <c r="G520" s="20" t="s">
        <v>623</v>
      </c>
    </row>
    <row r="521" customFormat="false" ht="15" hidden="false" customHeight="true" outlineLevel="0" collapsed="false">
      <c r="B521" s="17" t="n">
        <v>46143</v>
      </c>
      <c r="C521" s="18" t="s">
        <v>643</v>
      </c>
      <c r="D521" s="18" t="s">
        <v>106</v>
      </c>
      <c r="E521" s="18" t="s">
        <v>65</v>
      </c>
      <c r="F521" s="19" t="n">
        <v>130</v>
      </c>
      <c r="G521" s="20" t="s">
        <v>623</v>
      </c>
    </row>
    <row r="522" customFormat="false" ht="15" hidden="false" customHeight="true" outlineLevel="0" collapsed="false">
      <c r="B522" s="17" t="n">
        <v>46143</v>
      </c>
      <c r="C522" s="18" t="s">
        <v>644</v>
      </c>
      <c r="D522" s="18" t="s">
        <v>106</v>
      </c>
      <c r="E522" s="18" t="s">
        <v>60</v>
      </c>
      <c r="F522" s="19" t="n">
        <v>404.49</v>
      </c>
      <c r="G522" s="20" t="s">
        <v>623</v>
      </c>
    </row>
    <row r="523" customFormat="false" ht="15" hidden="false" customHeight="true" outlineLevel="0" collapsed="false">
      <c r="B523" s="17" t="n">
        <v>46143</v>
      </c>
      <c r="C523" s="18" t="s">
        <v>645</v>
      </c>
      <c r="D523" s="18" t="s">
        <v>106</v>
      </c>
      <c r="E523" s="18" t="s">
        <v>58</v>
      </c>
      <c r="F523" s="19" t="n">
        <v>103771.9</v>
      </c>
      <c r="G523" s="20" t="s">
        <v>623</v>
      </c>
    </row>
    <row r="524" customFormat="false" ht="15" hidden="false" customHeight="true" outlineLevel="0" collapsed="false">
      <c r="B524" s="17" t="n">
        <v>46143</v>
      </c>
      <c r="C524" s="18" t="s">
        <v>646</v>
      </c>
      <c r="D524" s="18" t="s">
        <v>106</v>
      </c>
      <c r="E524" s="18" t="s">
        <v>63</v>
      </c>
      <c r="F524" s="19" t="n">
        <v>24458.68</v>
      </c>
      <c r="G524" s="20" t="s">
        <v>623</v>
      </c>
    </row>
    <row r="525" customFormat="false" ht="15" hidden="false" customHeight="true" outlineLevel="0" collapsed="false">
      <c r="B525" s="17" t="n">
        <v>46143</v>
      </c>
      <c r="C525" s="18" t="s">
        <v>647</v>
      </c>
      <c r="D525" s="18" t="s">
        <v>106</v>
      </c>
      <c r="E525" s="18" t="s">
        <v>74</v>
      </c>
      <c r="F525" s="19" t="n">
        <v>243.88</v>
      </c>
      <c r="G525" s="20" t="s">
        <v>623</v>
      </c>
    </row>
    <row r="526" customFormat="false" ht="15" hidden="false" customHeight="true" outlineLevel="0" collapsed="false">
      <c r="B526" s="17" t="n">
        <v>46143</v>
      </c>
      <c r="C526" s="18" t="s">
        <v>648</v>
      </c>
      <c r="D526" s="18" t="s">
        <v>106</v>
      </c>
      <c r="E526" s="18" t="s">
        <v>90</v>
      </c>
      <c r="F526" s="19" t="n">
        <v>1905</v>
      </c>
      <c r="G526" s="20" t="s">
        <v>623</v>
      </c>
    </row>
    <row r="527" customFormat="false" ht="15" hidden="false" customHeight="true" outlineLevel="0" collapsed="false">
      <c r="B527" s="17" t="n">
        <v>46143</v>
      </c>
      <c r="C527" s="18" t="s">
        <v>649</v>
      </c>
      <c r="D527" s="18" t="s">
        <v>106</v>
      </c>
      <c r="E527" s="18" t="s">
        <v>85</v>
      </c>
      <c r="F527" s="19" t="n">
        <v>3992.67</v>
      </c>
      <c r="G527" s="20" t="s">
        <v>623</v>
      </c>
    </row>
    <row r="528" customFormat="false" ht="15" hidden="false" customHeight="true" outlineLevel="0" collapsed="false">
      <c r="B528" s="17" t="n">
        <v>46143</v>
      </c>
      <c r="C528" s="18" t="s">
        <v>650</v>
      </c>
      <c r="D528" s="18" t="s">
        <v>106</v>
      </c>
      <c r="E528" s="18" t="s">
        <v>94</v>
      </c>
      <c r="F528" s="19" t="n">
        <v>495</v>
      </c>
      <c r="G528" s="20" t="s">
        <v>623</v>
      </c>
    </row>
    <row r="529" customFormat="false" ht="15" hidden="false" customHeight="true" outlineLevel="0" collapsed="false">
      <c r="B529" s="17" t="n">
        <v>46143</v>
      </c>
      <c r="C529" s="18" t="s">
        <v>651</v>
      </c>
      <c r="D529" s="18" t="s">
        <v>106</v>
      </c>
      <c r="E529" s="18" t="s">
        <v>54</v>
      </c>
      <c r="F529" s="19" t="n">
        <v>1456.4</v>
      </c>
      <c r="G529" s="20" t="s">
        <v>623</v>
      </c>
    </row>
    <row r="530" customFormat="false" ht="15" hidden="false" customHeight="true" outlineLevel="0" collapsed="false">
      <c r="B530" s="17" t="n">
        <v>46143</v>
      </c>
      <c r="C530" s="18" t="s">
        <v>652</v>
      </c>
      <c r="D530" s="18" t="s">
        <v>106</v>
      </c>
      <c r="E530" s="18" t="s">
        <v>82</v>
      </c>
      <c r="F530" s="19" t="n">
        <v>24.22</v>
      </c>
      <c r="G530" s="20" t="s">
        <v>623</v>
      </c>
    </row>
    <row r="531" customFormat="false" ht="15" hidden="false" customHeight="true" outlineLevel="0" collapsed="false">
      <c r="B531" s="17" t="n">
        <v>46143</v>
      </c>
      <c r="C531" s="18" t="s">
        <v>653</v>
      </c>
      <c r="D531" s="18" t="s">
        <v>106</v>
      </c>
      <c r="E531" s="18" t="s">
        <v>84</v>
      </c>
      <c r="F531" s="19" t="n">
        <v>2500</v>
      </c>
      <c r="G531" s="20" t="s">
        <v>623</v>
      </c>
    </row>
    <row r="532" customFormat="false" ht="15" hidden="false" customHeight="true" outlineLevel="0" collapsed="false">
      <c r="B532" s="17" t="n">
        <v>46143</v>
      </c>
      <c r="C532" s="18" t="s">
        <v>654</v>
      </c>
      <c r="D532" s="18" t="s">
        <v>106</v>
      </c>
      <c r="E532" s="18" t="s">
        <v>81</v>
      </c>
      <c r="F532" s="19" t="n">
        <v>3500</v>
      </c>
      <c r="G532" s="20" t="s">
        <v>623</v>
      </c>
    </row>
    <row r="533" customFormat="false" ht="15" hidden="false" customHeight="true" outlineLevel="0" collapsed="false">
      <c r="B533" s="17" t="n">
        <v>46143</v>
      </c>
      <c r="C533" s="18" t="s">
        <v>655</v>
      </c>
      <c r="D533" s="18" t="s">
        <v>106</v>
      </c>
      <c r="E533" s="18" t="s">
        <v>89</v>
      </c>
      <c r="F533" s="19" t="n">
        <v>2077.21</v>
      </c>
      <c r="G533" s="20" t="s">
        <v>623</v>
      </c>
    </row>
    <row r="534" customFormat="false" ht="15" hidden="false" customHeight="true" outlineLevel="0" collapsed="false">
      <c r="B534" s="17" t="n">
        <v>46143</v>
      </c>
      <c r="C534" s="18" t="s">
        <v>656</v>
      </c>
      <c r="D534" s="18" t="s">
        <v>106</v>
      </c>
      <c r="E534" s="18" t="s">
        <v>95</v>
      </c>
      <c r="F534" s="19" t="n">
        <v>6721.75</v>
      </c>
      <c r="G534" s="20" t="s">
        <v>623</v>
      </c>
    </row>
    <row r="535" customFormat="false" ht="15" hidden="false" customHeight="true" outlineLevel="0" collapsed="false">
      <c r="B535" s="17" t="n">
        <v>46143</v>
      </c>
      <c r="C535" s="18" t="s">
        <v>657</v>
      </c>
      <c r="D535" s="18" t="s">
        <v>106</v>
      </c>
      <c r="E535" s="18" t="s">
        <v>658</v>
      </c>
      <c r="F535" s="19" t="n">
        <v>130.21</v>
      </c>
      <c r="G535" s="20" t="s">
        <v>623</v>
      </c>
    </row>
    <row r="536" customFormat="false" ht="15" hidden="false" customHeight="true" outlineLevel="0" collapsed="false">
      <c r="B536" s="17" t="n">
        <v>46143</v>
      </c>
      <c r="C536" s="18" t="s">
        <v>659</v>
      </c>
      <c r="D536" s="18" t="s">
        <v>106</v>
      </c>
      <c r="E536" s="18" t="s">
        <v>660</v>
      </c>
      <c r="F536" s="19" t="n">
        <v>7750</v>
      </c>
      <c r="G536" s="20" t="s">
        <v>623</v>
      </c>
    </row>
    <row r="537" customFormat="false" ht="15" hidden="false" customHeight="true" outlineLevel="0" collapsed="false">
      <c r="B537" s="17" t="n">
        <v>46143</v>
      </c>
      <c r="C537" s="18" t="s">
        <v>661</v>
      </c>
      <c r="D537" s="18" t="s">
        <v>106</v>
      </c>
      <c r="E537" s="18" t="s">
        <v>24</v>
      </c>
      <c r="F537" s="19" t="n">
        <v>395423.3</v>
      </c>
      <c r="G537" s="20" t="s">
        <v>623</v>
      </c>
    </row>
    <row r="538" customFormat="false" ht="15" hidden="false" customHeight="true" outlineLevel="0" collapsed="false">
      <c r="B538" s="17" t="n">
        <v>46143</v>
      </c>
      <c r="C538" s="18" t="s">
        <v>662</v>
      </c>
      <c r="D538" s="18" t="s">
        <v>106</v>
      </c>
      <c r="E538" s="18" t="s">
        <v>86</v>
      </c>
      <c r="F538" s="19" t="n">
        <v>25000</v>
      </c>
      <c r="G538" s="20" t="s">
        <v>623</v>
      </c>
    </row>
    <row r="539" customFormat="false" ht="15" hidden="false" customHeight="true" outlineLevel="0" collapsed="false">
      <c r="B539" s="17" t="n">
        <v>46174</v>
      </c>
      <c r="C539" s="18" t="s">
        <v>663</v>
      </c>
      <c r="D539" s="18" t="s">
        <v>116</v>
      </c>
      <c r="E539" s="18" t="s">
        <v>22</v>
      </c>
      <c r="F539" s="19" t="n">
        <v>168545.68</v>
      </c>
      <c r="G539" s="20" t="s">
        <v>664</v>
      </c>
    </row>
    <row r="540" customFormat="false" ht="15" hidden="false" customHeight="true" outlineLevel="0" collapsed="false">
      <c r="B540" s="17" t="n">
        <v>46174</v>
      </c>
      <c r="C540" s="18" t="s">
        <v>665</v>
      </c>
      <c r="D540" s="18" t="s">
        <v>106</v>
      </c>
      <c r="E540" s="18" t="s">
        <v>51</v>
      </c>
      <c r="F540" s="19" t="n">
        <v>29390.14</v>
      </c>
      <c r="G540" s="20" t="s">
        <v>664</v>
      </c>
    </row>
    <row r="541" customFormat="false" ht="15" hidden="false" customHeight="true" outlineLevel="0" collapsed="false">
      <c r="B541" s="17" t="n">
        <v>46174</v>
      </c>
      <c r="C541" s="18" t="s">
        <v>666</v>
      </c>
      <c r="D541" s="18" t="s">
        <v>106</v>
      </c>
      <c r="E541" s="18" t="s">
        <v>59</v>
      </c>
      <c r="F541" s="19" t="n">
        <v>3250</v>
      </c>
      <c r="G541" s="20" t="s">
        <v>664</v>
      </c>
    </row>
    <row r="542" customFormat="false" ht="15" hidden="false" customHeight="true" outlineLevel="0" collapsed="false">
      <c r="B542" s="17" t="n">
        <v>46174</v>
      </c>
      <c r="C542" s="18" t="s">
        <v>667</v>
      </c>
      <c r="D542" s="18" t="s">
        <v>106</v>
      </c>
      <c r="E542" s="18" t="s">
        <v>64</v>
      </c>
      <c r="F542" s="19" t="n">
        <v>1198.14</v>
      </c>
      <c r="G542" s="20" t="s">
        <v>664</v>
      </c>
    </row>
    <row r="543" customFormat="false" ht="15" hidden="false" customHeight="true" outlineLevel="0" collapsed="false">
      <c r="B543" s="17" t="n">
        <v>46174</v>
      </c>
      <c r="C543" s="18" t="s">
        <v>668</v>
      </c>
      <c r="D543" s="18" t="s">
        <v>106</v>
      </c>
      <c r="E543" s="18" t="s">
        <v>62</v>
      </c>
      <c r="F543" s="19" t="n">
        <v>248</v>
      </c>
      <c r="G543" s="20" t="s">
        <v>664</v>
      </c>
    </row>
    <row r="544" customFormat="false" ht="15" hidden="false" customHeight="true" outlineLevel="0" collapsed="false">
      <c r="B544" s="17" t="n">
        <v>46174</v>
      </c>
      <c r="C544" s="18" t="s">
        <v>669</v>
      </c>
      <c r="D544" s="18" t="s">
        <v>106</v>
      </c>
      <c r="E544" s="18" t="s">
        <v>49</v>
      </c>
      <c r="F544" s="19" t="n">
        <v>2400</v>
      </c>
      <c r="G544" s="20" t="s">
        <v>664</v>
      </c>
    </row>
    <row r="545" customFormat="false" ht="15" hidden="false" customHeight="true" outlineLevel="0" collapsed="false">
      <c r="B545" s="17" t="n">
        <v>46174</v>
      </c>
      <c r="C545" s="18" t="s">
        <v>670</v>
      </c>
      <c r="D545" s="18" t="s">
        <v>106</v>
      </c>
      <c r="E545" s="18" t="s">
        <v>68</v>
      </c>
      <c r="F545" s="19" t="n">
        <v>450</v>
      </c>
      <c r="G545" s="20" t="s">
        <v>664</v>
      </c>
    </row>
    <row r="546" customFormat="false" ht="15" hidden="false" customHeight="true" outlineLevel="0" collapsed="false">
      <c r="B546" s="17" t="n">
        <v>46174</v>
      </c>
      <c r="C546" s="18" t="s">
        <v>671</v>
      </c>
      <c r="D546" s="18" t="s">
        <v>106</v>
      </c>
      <c r="E546" s="18" t="s">
        <v>69</v>
      </c>
      <c r="F546" s="19" t="n">
        <v>280</v>
      </c>
      <c r="G546" s="20" t="s">
        <v>664</v>
      </c>
    </row>
    <row r="547" customFormat="false" ht="15" hidden="false" customHeight="true" outlineLevel="0" collapsed="false">
      <c r="B547" s="17" t="n">
        <v>46174</v>
      </c>
      <c r="C547" s="18" t="s">
        <v>672</v>
      </c>
      <c r="D547" s="18" t="s">
        <v>106</v>
      </c>
      <c r="E547" s="18" t="s">
        <v>76</v>
      </c>
      <c r="F547" s="19" t="n">
        <v>1100</v>
      </c>
      <c r="G547" s="20" t="s">
        <v>664</v>
      </c>
    </row>
    <row r="548" customFormat="false" ht="15" hidden="false" customHeight="true" outlineLevel="0" collapsed="false">
      <c r="B548" s="17" t="n">
        <v>46174</v>
      </c>
      <c r="C548" s="18" t="s">
        <v>673</v>
      </c>
      <c r="D548" s="18" t="s">
        <v>106</v>
      </c>
      <c r="E548" s="18" t="s">
        <v>65</v>
      </c>
      <c r="F548" s="19" t="n">
        <v>130</v>
      </c>
      <c r="G548" s="20" t="s">
        <v>664</v>
      </c>
    </row>
    <row r="549" customFormat="false" ht="15" hidden="false" customHeight="true" outlineLevel="0" collapsed="false">
      <c r="B549" s="17" t="n">
        <v>46174</v>
      </c>
      <c r="C549" s="18" t="s">
        <v>674</v>
      </c>
      <c r="D549" s="18" t="s">
        <v>106</v>
      </c>
      <c r="E549" s="18" t="s">
        <v>60</v>
      </c>
      <c r="F549" s="19" t="n">
        <v>350</v>
      </c>
      <c r="G549" s="20" t="s">
        <v>664</v>
      </c>
    </row>
    <row r="550" customFormat="false" ht="15" hidden="false" customHeight="true" outlineLevel="0" collapsed="false">
      <c r="B550" s="17" t="n">
        <v>46174</v>
      </c>
      <c r="C550" s="18" t="s">
        <v>675</v>
      </c>
      <c r="D550" s="18" t="s">
        <v>106</v>
      </c>
      <c r="E550" s="18" t="s">
        <v>58</v>
      </c>
      <c r="F550" s="19" t="n">
        <v>103251.2</v>
      </c>
      <c r="G550" s="20" t="s">
        <v>664</v>
      </c>
    </row>
    <row r="551" customFormat="false" ht="15" hidden="false" customHeight="true" outlineLevel="0" collapsed="false">
      <c r="B551" s="17" t="n">
        <v>46174</v>
      </c>
      <c r="C551" s="18" t="s">
        <v>676</v>
      </c>
      <c r="D551" s="18" t="s">
        <v>106</v>
      </c>
      <c r="E551" s="18" t="s">
        <v>63</v>
      </c>
      <c r="F551" s="19" t="n">
        <v>24458.68</v>
      </c>
      <c r="G551" s="20" t="s">
        <v>664</v>
      </c>
    </row>
    <row r="552" customFormat="false" ht="15" hidden="false" customHeight="true" outlineLevel="0" collapsed="false">
      <c r="B552" s="17" t="n">
        <v>46174</v>
      </c>
      <c r="C552" s="18" t="s">
        <v>677</v>
      </c>
      <c r="D552" s="18" t="s">
        <v>106</v>
      </c>
      <c r="E552" s="18" t="s">
        <v>54</v>
      </c>
      <c r="F552" s="19" t="n">
        <v>1456.4</v>
      </c>
      <c r="G552" s="20" t="s">
        <v>664</v>
      </c>
    </row>
    <row r="553" customFormat="false" ht="15" hidden="false" customHeight="true" outlineLevel="0" collapsed="false">
      <c r="B553" s="17" t="n">
        <v>46174</v>
      </c>
      <c r="C553" s="18" t="s">
        <v>678</v>
      </c>
      <c r="D553" s="18" t="s">
        <v>106</v>
      </c>
      <c r="E553" s="18" t="s">
        <v>84</v>
      </c>
      <c r="F553" s="19" t="n">
        <v>2500</v>
      </c>
      <c r="G553" s="20" t="s">
        <v>664</v>
      </c>
    </row>
    <row r="554" customFormat="false" ht="15" hidden="false" customHeight="true" outlineLevel="0" collapsed="false">
      <c r="B554" s="17" t="n">
        <v>46174</v>
      </c>
      <c r="C554" s="18" t="s">
        <v>679</v>
      </c>
      <c r="D554" s="18" t="s">
        <v>106</v>
      </c>
      <c r="E554" s="18" t="s">
        <v>81</v>
      </c>
      <c r="F554" s="19" t="n">
        <v>3500</v>
      </c>
      <c r="G554" s="20" t="s">
        <v>664</v>
      </c>
    </row>
    <row r="555" customFormat="false" ht="15" hidden="false" customHeight="true" outlineLevel="0" collapsed="false">
      <c r="B555" s="17" t="n">
        <v>46174</v>
      </c>
      <c r="C555" s="18" t="s">
        <v>680</v>
      </c>
      <c r="D555" s="18" t="s">
        <v>106</v>
      </c>
      <c r="E555" s="18" t="s">
        <v>95</v>
      </c>
      <c r="F555" s="19" t="n">
        <v>3544</v>
      </c>
      <c r="G555" s="20" t="s">
        <v>664</v>
      </c>
    </row>
    <row r="556" customFormat="false" ht="15" hidden="false" customHeight="true" outlineLevel="0" collapsed="false">
      <c r="B556" s="17" t="n">
        <v>46174</v>
      </c>
      <c r="C556" s="18" t="s">
        <v>681</v>
      </c>
      <c r="D556" s="18" t="s">
        <v>106</v>
      </c>
      <c r="E556" s="18" t="s">
        <v>86</v>
      </c>
      <c r="F556" s="19" t="n">
        <v>25000</v>
      </c>
      <c r="G556" s="20" t="s">
        <v>664</v>
      </c>
    </row>
    <row r="557" customFormat="false" ht="15" hidden="false" customHeight="true" outlineLevel="0" collapsed="false">
      <c r="B557" s="21"/>
      <c r="C557" s="22"/>
      <c r="D557" s="22"/>
      <c r="E557" s="22"/>
      <c r="F557" s="23"/>
      <c r="G557" s="24"/>
    </row>
    <row r="558" customFormat="false" ht="15" hidden="false" customHeight="true" outlineLevel="0" collapsed="false">
      <c r="B558" s="21"/>
      <c r="C558" s="22"/>
      <c r="D558" s="22"/>
      <c r="E558" s="22"/>
      <c r="F558" s="23"/>
      <c r="G558" s="24"/>
    </row>
    <row r="559" customFormat="false" ht="15" hidden="false" customHeight="true" outlineLevel="0" collapsed="false">
      <c r="B559" s="21"/>
      <c r="C559" s="22"/>
      <c r="D559" s="22"/>
      <c r="E559" s="22"/>
      <c r="F559" s="23"/>
      <c r="G559" s="24"/>
    </row>
    <row r="560" customFormat="false" ht="15" hidden="false" customHeight="true" outlineLevel="0" collapsed="false">
      <c r="B560" s="21"/>
      <c r="C560" s="22"/>
      <c r="D560" s="22"/>
      <c r="E560" s="22"/>
      <c r="F560" s="23"/>
      <c r="G560" s="24"/>
    </row>
    <row r="561" customFormat="false" ht="15" hidden="false" customHeight="true" outlineLevel="0" collapsed="false">
      <c r="B561" s="21"/>
      <c r="C561" s="22"/>
      <c r="D561" s="22"/>
      <c r="E561" s="22"/>
      <c r="F561" s="23"/>
      <c r="G561" s="24"/>
    </row>
    <row r="562" customFormat="false" ht="15" hidden="false" customHeight="true" outlineLevel="0" collapsed="false">
      <c r="B562" s="21"/>
      <c r="C562" s="22"/>
      <c r="D562" s="22"/>
      <c r="E562" s="22"/>
      <c r="F562" s="23"/>
      <c r="G562" s="24"/>
    </row>
    <row r="563" customFormat="false" ht="15" hidden="false" customHeight="true" outlineLevel="0" collapsed="false">
      <c r="B563" s="21"/>
      <c r="C563" s="22"/>
      <c r="D563" s="22"/>
      <c r="E563" s="22"/>
      <c r="F563" s="23"/>
      <c r="G563" s="24"/>
    </row>
    <row r="564" customFormat="false" ht="15" hidden="false" customHeight="true" outlineLevel="0" collapsed="false">
      <c r="B564" s="21"/>
      <c r="C564" s="22"/>
      <c r="D564" s="22"/>
      <c r="E564" s="22"/>
      <c r="F564" s="23"/>
      <c r="G564" s="24"/>
    </row>
    <row r="565" customFormat="false" ht="15" hidden="false" customHeight="true" outlineLevel="0" collapsed="false">
      <c r="B565" s="21"/>
      <c r="C565" s="22"/>
      <c r="D565" s="22"/>
      <c r="E565" s="22"/>
      <c r="F565" s="23"/>
      <c r="G565" s="24"/>
    </row>
    <row r="566" customFormat="false" ht="15" hidden="false" customHeight="true" outlineLevel="0" collapsed="false">
      <c r="B566" s="21"/>
      <c r="C566" s="22"/>
      <c r="D566" s="22"/>
      <c r="E566" s="22"/>
      <c r="F566" s="23"/>
      <c r="G566" s="24"/>
    </row>
    <row r="567" customFormat="false" ht="15" hidden="false" customHeight="true" outlineLevel="0" collapsed="false">
      <c r="B567" s="21"/>
      <c r="C567" s="22"/>
      <c r="D567" s="22"/>
      <c r="E567" s="22"/>
      <c r="F567" s="23"/>
      <c r="G567" s="24"/>
    </row>
    <row r="568" customFormat="false" ht="15" hidden="false" customHeight="true" outlineLevel="0" collapsed="false">
      <c r="B568" s="21"/>
      <c r="C568" s="22"/>
      <c r="D568" s="22"/>
      <c r="E568" s="22"/>
      <c r="F568" s="23"/>
      <c r="G568" s="24"/>
    </row>
    <row r="569" customFormat="false" ht="15" hidden="false" customHeight="true" outlineLevel="0" collapsed="false">
      <c r="B569" s="21"/>
      <c r="C569" s="22"/>
      <c r="D569" s="22"/>
      <c r="E569" s="22"/>
      <c r="F569" s="23"/>
      <c r="G569" s="24"/>
    </row>
    <row r="570" customFormat="false" ht="15" hidden="false" customHeight="true" outlineLevel="0" collapsed="false">
      <c r="B570" s="21"/>
      <c r="C570" s="22"/>
      <c r="D570" s="22"/>
      <c r="E570" s="22"/>
      <c r="F570" s="23"/>
      <c r="G570" s="24"/>
    </row>
    <row r="571" customFormat="false" ht="15" hidden="false" customHeight="true" outlineLevel="0" collapsed="false">
      <c r="B571" s="21"/>
      <c r="C571" s="22"/>
      <c r="D571" s="22"/>
      <c r="E571" s="22"/>
      <c r="F571" s="23"/>
      <c r="G571" s="24"/>
    </row>
    <row r="572" customFormat="false" ht="15" hidden="false" customHeight="true" outlineLevel="0" collapsed="false">
      <c r="B572" s="21"/>
      <c r="C572" s="22"/>
      <c r="D572" s="22"/>
      <c r="E572" s="22"/>
      <c r="F572" s="23"/>
      <c r="G572" s="24"/>
    </row>
    <row r="573" customFormat="false" ht="15" hidden="false" customHeight="true" outlineLevel="0" collapsed="false">
      <c r="B573" s="21"/>
      <c r="C573" s="22"/>
      <c r="D573" s="22"/>
      <c r="E573" s="22"/>
      <c r="F573" s="23"/>
      <c r="G573" s="24"/>
    </row>
    <row r="574" customFormat="false" ht="15" hidden="false" customHeight="true" outlineLevel="0" collapsed="false">
      <c r="B574" s="21"/>
      <c r="C574" s="22"/>
      <c r="D574" s="22"/>
      <c r="E574" s="22"/>
      <c r="F574" s="23"/>
      <c r="G574" s="24"/>
    </row>
    <row r="575" customFormat="false" ht="15" hidden="false" customHeight="true" outlineLevel="0" collapsed="false">
      <c r="B575" s="21"/>
      <c r="C575" s="22"/>
      <c r="D575" s="22"/>
      <c r="E575" s="22"/>
      <c r="F575" s="23"/>
      <c r="G575" s="24"/>
    </row>
    <row r="576" customFormat="false" ht="15" hidden="false" customHeight="true" outlineLevel="0" collapsed="false">
      <c r="B576" s="21"/>
      <c r="C576" s="22"/>
      <c r="D576" s="22"/>
      <c r="E576" s="22"/>
      <c r="F576" s="23"/>
      <c r="G576" s="24"/>
    </row>
    <row r="577" customFormat="false" ht="15" hidden="false" customHeight="true" outlineLevel="0" collapsed="false">
      <c r="B577" s="21"/>
      <c r="C577" s="22"/>
      <c r="D577" s="22"/>
      <c r="E577" s="22"/>
      <c r="F577" s="23"/>
      <c r="G577" s="24"/>
    </row>
    <row r="578" customFormat="false" ht="15" hidden="false" customHeight="true" outlineLevel="0" collapsed="false">
      <c r="B578" s="21"/>
      <c r="C578" s="22"/>
      <c r="D578" s="22"/>
      <c r="E578" s="22"/>
      <c r="F578" s="23"/>
      <c r="G578" s="24"/>
    </row>
    <row r="579" customFormat="false" ht="15" hidden="false" customHeight="true" outlineLevel="0" collapsed="false">
      <c r="B579" s="21"/>
      <c r="C579" s="22"/>
      <c r="D579" s="22"/>
      <c r="E579" s="22"/>
      <c r="F579" s="23"/>
      <c r="G579" s="24"/>
    </row>
    <row r="580" customFormat="false" ht="15" hidden="false" customHeight="true" outlineLevel="0" collapsed="false">
      <c r="B580" s="21"/>
      <c r="C580" s="22"/>
      <c r="D580" s="22"/>
      <c r="E580" s="22"/>
      <c r="F580" s="23"/>
      <c r="G580" s="24"/>
    </row>
    <row r="581" customFormat="false" ht="15" hidden="false" customHeight="true" outlineLevel="0" collapsed="false">
      <c r="B581" s="21"/>
      <c r="C581" s="22"/>
      <c r="D581" s="22"/>
      <c r="E581" s="22"/>
      <c r="F581" s="23"/>
      <c r="G581" s="24"/>
    </row>
    <row r="582" customFormat="false" ht="15" hidden="false" customHeight="true" outlineLevel="0" collapsed="false">
      <c r="B582" s="21"/>
      <c r="C582" s="22"/>
      <c r="D582" s="22"/>
      <c r="E582" s="22"/>
      <c r="F582" s="23"/>
      <c r="G582" s="24"/>
    </row>
    <row r="583" customFormat="false" ht="15" hidden="false" customHeight="true" outlineLevel="0" collapsed="false">
      <c r="B583" s="21"/>
      <c r="C583" s="22"/>
      <c r="D583" s="22"/>
      <c r="E583" s="22"/>
      <c r="F583" s="23"/>
      <c r="G583" s="24"/>
    </row>
    <row r="584" customFormat="false" ht="15" hidden="false" customHeight="true" outlineLevel="0" collapsed="false">
      <c r="B584" s="21"/>
      <c r="C584" s="22"/>
      <c r="D584" s="22"/>
      <c r="E584" s="22"/>
      <c r="F584" s="23"/>
      <c r="G584" s="24"/>
    </row>
    <row r="585" customFormat="false" ht="15" hidden="false" customHeight="true" outlineLevel="0" collapsed="false">
      <c r="B585" s="21"/>
      <c r="C585" s="22"/>
      <c r="D585" s="22"/>
      <c r="E585" s="22"/>
      <c r="F585" s="23"/>
      <c r="G585" s="24"/>
    </row>
    <row r="586" customFormat="false" ht="15" hidden="false" customHeight="true" outlineLevel="0" collapsed="false">
      <c r="B586" s="21"/>
      <c r="C586" s="22"/>
      <c r="D586" s="22"/>
      <c r="E586" s="22"/>
      <c r="F586" s="23"/>
      <c r="G586" s="24"/>
    </row>
    <row r="587" customFormat="false" ht="15" hidden="false" customHeight="true" outlineLevel="0" collapsed="false">
      <c r="B587" s="21"/>
      <c r="C587" s="22"/>
      <c r="D587" s="22"/>
      <c r="E587" s="22"/>
      <c r="F587" s="23"/>
      <c r="G587" s="24"/>
    </row>
    <row r="588" customFormat="false" ht="15" hidden="false" customHeight="true" outlineLevel="0" collapsed="false">
      <c r="B588" s="21"/>
      <c r="C588" s="22"/>
      <c r="D588" s="22"/>
      <c r="E588" s="22"/>
      <c r="F588" s="23"/>
      <c r="G588" s="24"/>
    </row>
    <row r="589" customFormat="false" ht="15" hidden="false" customHeight="true" outlineLevel="0" collapsed="false">
      <c r="B589" s="21"/>
      <c r="C589" s="22"/>
      <c r="D589" s="22"/>
      <c r="E589" s="22"/>
      <c r="F589" s="23"/>
      <c r="G589" s="24"/>
    </row>
    <row r="590" customFormat="false" ht="15" hidden="false" customHeight="true" outlineLevel="0" collapsed="false">
      <c r="B590" s="21"/>
      <c r="C590" s="22"/>
      <c r="D590" s="22"/>
      <c r="E590" s="22"/>
      <c r="F590" s="23"/>
      <c r="G590" s="24"/>
    </row>
    <row r="591" customFormat="false" ht="15" hidden="false" customHeight="true" outlineLevel="0" collapsed="false">
      <c r="B591" s="21"/>
      <c r="C591" s="22"/>
      <c r="D591" s="22"/>
      <c r="E591" s="22"/>
      <c r="F591" s="23"/>
      <c r="G591" s="24"/>
    </row>
    <row r="592" customFormat="false" ht="15" hidden="false" customHeight="true" outlineLevel="0" collapsed="false">
      <c r="B592" s="21"/>
      <c r="C592" s="22"/>
      <c r="D592" s="22"/>
      <c r="E592" s="22"/>
      <c r="F592" s="23"/>
      <c r="G592" s="24"/>
    </row>
    <row r="593" customFormat="false" ht="15" hidden="false" customHeight="true" outlineLevel="0" collapsed="false">
      <c r="B593" s="21"/>
      <c r="C593" s="22"/>
      <c r="D593" s="22"/>
      <c r="E593" s="22"/>
      <c r="F593" s="23"/>
      <c r="G593" s="24"/>
    </row>
    <row r="594" customFormat="false" ht="15" hidden="false" customHeight="true" outlineLevel="0" collapsed="false">
      <c r="B594" s="21"/>
      <c r="C594" s="22"/>
      <c r="D594" s="22"/>
      <c r="E594" s="22"/>
      <c r="F594" s="23"/>
      <c r="G594" s="24"/>
    </row>
    <row r="595" customFormat="false" ht="15" hidden="false" customHeight="true" outlineLevel="0" collapsed="false">
      <c r="B595" s="21"/>
      <c r="C595" s="22"/>
      <c r="D595" s="22"/>
      <c r="E595" s="22"/>
      <c r="F595" s="23"/>
      <c r="G595" s="24"/>
    </row>
    <row r="596" customFormat="false" ht="15" hidden="false" customHeight="true" outlineLevel="0" collapsed="false">
      <c r="B596" s="21"/>
      <c r="C596" s="22"/>
      <c r="D596" s="22"/>
      <c r="E596" s="22"/>
      <c r="F596" s="23"/>
      <c r="G596" s="24"/>
    </row>
    <row r="597" customFormat="false" ht="15" hidden="false" customHeight="true" outlineLevel="0" collapsed="false">
      <c r="B597" s="21"/>
      <c r="C597" s="22"/>
      <c r="D597" s="22"/>
      <c r="E597" s="22"/>
      <c r="F597" s="23"/>
      <c r="G597" s="24"/>
    </row>
    <row r="598" customFormat="false" ht="15" hidden="false" customHeight="true" outlineLevel="0" collapsed="false">
      <c r="B598" s="21"/>
      <c r="C598" s="22"/>
      <c r="D598" s="22"/>
      <c r="E598" s="22"/>
      <c r="F598" s="23"/>
      <c r="G598" s="24"/>
    </row>
    <row r="599" customFormat="false" ht="15" hidden="false" customHeight="true" outlineLevel="0" collapsed="false">
      <c r="B599" s="21"/>
      <c r="C599" s="22"/>
      <c r="D599" s="22"/>
      <c r="E599" s="22"/>
      <c r="F599" s="23"/>
      <c r="G599" s="24"/>
    </row>
    <row r="600" customFormat="false" ht="15" hidden="false" customHeight="true" outlineLevel="0" collapsed="false">
      <c r="B600" s="21"/>
      <c r="C600" s="22"/>
      <c r="D600" s="22"/>
      <c r="E600" s="22"/>
      <c r="F600" s="23"/>
      <c r="G600" s="24"/>
    </row>
    <row r="601" customFormat="false" ht="15" hidden="false" customHeight="true" outlineLevel="0" collapsed="false">
      <c r="B601" s="21"/>
      <c r="C601" s="22"/>
      <c r="D601" s="22"/>
      <c r="E601" s="22"/>
      <c r="F601" s="23"/>
      <c r="G601" s="24"/>
    </row>
    <row r="602" customFormat="false" ht="15" hidden="false" customHeight="true" outlineLevel="0" collapsed="false">
      <c r="B602" s="21"/>
      <c r="C602" s="22"/>
      <c r="D602" s="22"/>
      <c r="E602" s="22"/>
      <c r="F602" s="23"/>
      <c r="G602" s="24"/>
    </row>
    <row r="603" customFormat="false" ht="15" hidden="false" customHeight="true" outlineLevel="0" collapsed="false">
      <c r="B603" s="21"/>
      <c r="C603" s="25"/>
      <c r="D603" s="25"/>
      <c r="E603" s="25"/>
      <c r="F603" s="23"/>
      <c r="G603" s="24"/>
    </row>
    <row r="604" customFormat="false" ht="15" hidden="false" customHeight="true" outlineLevel="0" collapsed="false">
      <c r="B604" s="21"/>
      <c r="C604" s="25"/>
      <c r="D604" s="25"/>
      <c r="E604" s="25"/>
      <c r="F604" s="23"/>
      <c r="G604" s="24"/>
    </row>
    <row r="605" customFormat="false" ht="15" hidden="false" customHeight="true" outlineLevel="0" collapsed="false">
      <c r="B605" s="21"/>
      <c r="C605" s="25"/>
      <c r="D605" s="25"/>
      <c r="E605" s="25"/>
      <c r="F605" s="23"/>
      <c r="G605" s="24"/>
    </row>
    <row r="606" customFormat="false" ht="15" hidden="false" customHeight="true" outlineLevel="0" collapsed="false">
      <c r="B606" s="21"/>
      <c r="C606" s="25"/>
      <c r="D606" s="25"/>
      <c r="E606" s="25"/>
      <c r="F606" s="23"/>
      <c r="G606" s="24"/>
    </row>
    <row r="607" customFormat="false" ht="15" hidden="false" customHeight="true" outlineLevel="0" collapsed="false">
      <c r="B607" s="21"/>
      <c r="C607" s="25"/>
      <c r="D607" s="25"/>
      <c r="E607" s="25"/>
      <c r="F607" s="23"/>
      <c r="G607" s="24"/>
    </row>
    <row r="608" customFormat="false" ht="15" hidden="false" customHeight="true" outlineLevel="0" collapsed="false">
      <c r="B608" s="21"/>
      <c r="C608" s="25"/>
      <c r="D608" s="25"/>
      <c r="E608" s="25"/>
      <c r="F608" s="23"/>
      <c r="G608" s="24"/>
    </row>
    <row r="609" customFormat="false" ht="15" hidden="false" customHeight="true" outlineLevel="0" collapsed="false">
      <c r="B609" s="21"/>
      <c r="C609" s="25"/>
      <c r="D609" s="25"/>
      <c r="E609" s="25"/>
      <c r="F609" s="23"/>
      <c r="G609" s="24"/>
    </row>
    <row r="610" customFormat="false" ht="15" hidden="false" customHeight="true" outlineLevel="0" collapsed="false">
      <c r="B610" s="21"/>
      <c r="C610" s="25"/>
      <c r="D610" s="25"/>
      <c r="E610" s="25"/>
      <c r="F610" s="23"/>
      <c r="G610" s="24"/>
    </row>
    <row r="611" customFormat="false" ht="15" hidden="false" customHeight="true" outlineLevel="0" collapsed="false">
      <c r="B611" s="21"/>
      <c r="C611" s="25"/>
      <c r="D611" s="25"/>
      <c r="E611" s="25"/>
      <c r="F611" s="23"/>
      <c r="G611" s="24"/>
    </row>
    <row r="612" customFormat="false" ht="15" hidden="false" customHeight="true" outlineLevel="0" collapsed="false">
      <c r="B612" s="21"/>
      <c r="C612" s="25"/>
      <c r="D612" s="25"/>
      <c r="E612" s="25"/>
      <c r="F612" s="23"/>
      <c r="G612" s="24"/>
    </row>
    <row r="613" customFormat="false" ht="15" hidden="false" customHeight="true" outlineLevel="0" collapsed="false">
      <c r="B613" s="21"/>
      <c r="C613" s="25"/>
      <c r="D613" s="25"/>
      <c r="E613" s="25"/>
      <c r="F613" s="23"/>
      <c r="G613" s="24"/>
    </row>
    <row r="614" customFormat="false" ht="15" hidden="false" customHeight="true" outlineLevel="0" collapsed="false">
      <c r="B614" s="21"/>
      <c r="C614" s="25"/>
      <c r="D614" s="25"/>
      <c r="E614" s="25"/>
      <c r="F614" s="23"/>
      <c r="G614" s="24"/>
    </row>
    <row r="615" customFormat="false" ht="15" hidden="false" customHeight="true" outlineLevel="0" collapsed="false">
      <c r="B615" s="21"/>
      <c r="C615" s="25"/>
      <c r="D615" s="25"/>
      <c r="E615" s="25"/>
      <c r="F615" s="23"/>
      <c r="G615" s="24"/>
    </row>
    <row r="616" customFormat="false" ht="15" hidden="false" customHeight="true" outlineLevel="0" collapsed="false">
      <c r="B616" s="21"/>
      <c r="C616" s="25"/>
      <c r="D616" s="25"/>
      <c r="E616" s="25"/>
      <c r="F616" s="23"/>
      <c r="G616" s="24"/>
    </row>
    <row r="617" customFormat="false" ht="15" hidden="false" customHeight="true" outlineLevel="0" collapsed="false">
      <c r="B617" s="21"/>
      <c r="C617" s="25"/>
      <c r="D617" s="25"/>
      <c r="E617" s="25"/>
      <c r="F617" s="23"/>
      <c r="G617" s="24"/>
    </row>
    <row r="618" customFormat="false" ht="15" hidden="false" customHeight="true" outlineLevel="0" collapsed="false">
      <c r="B618" s="21"/>
      <c r="C618" s="25"/>
      <c r="D618" s="25"/>
      <c r="E618" s="25"/>
      <c r="F618" s="23"/>
      <c r="G618" s="24"/>
    </row>
    <row r="619" customFormat="false" ht="15" hidden="false" customHeight="true" outlineLevel="0" collapsed="false">
      <c r="B619" s="21"/>
      <c r="C619" s="25"/>
      <c r="D619" s="25"/>
      <c r="E619" s="25"/>
      <c r="F619" s="23"/>
      <c r="G619" s="24"/>
    </row>
    <row r="620" customFormat="false" ht="15" hidden="false" customHeight="true" outlineLevel="0" collapsed="false">
      <c r="B620" s="21"/>
      <c r="C620" s="25"/>
      <c r="D620" s="25"/>
      <c r="E620" s="25"/>
      <c r="F620" s="23"/>
      <c r="G620" s="24"/>
    </row>
    <row r="621" customFormat="false" ht="15" hidden="false" customHeight="true" outlineLevel="0" collapsed="false">
      <c r="B621" s="21"/>
      <c r="C621" s="25"/>
      <c r="D621" s="25"/>
      <c r="E621" s="25"/>
      <c r="F621" s="23"/>
      <c r="G621" s="24"/>
    </row>
    <row r="622" customFormat="false" ht="15" hidden="false" customHeight="true" outlineLevel="0" collapsed="false">
      <c r="B622" s="21"/>
      <c r="C622" s="25"/>
      <c r="D622" s="25"/>
      <c r="E622" s="25"/>
      <c r="F622" s="23"/>
      <c r="G622" s="24"/>
    </row>
    <row r="623" customFormat="false" ht="15" hidden="false" customHeight="true" outlineLevel="0" collapsed="false">
      <c r="B623" s="21"/>
      <c r="C623" s="25"/>
      <c r="D623" s="25"/>
      <c r="E623" s="25"/>
      <c r="F623" s="23"/>
      <c r="G623" s="24"/>
    </row>
    <row r="624" customFormat="false" ht="15" hidden="false" customHeight="true" outlineLevel="0" collapsed="false">
      <c r="B624" s="21"/>
      <c r="C624" s="25"/>
      <c r="D624" s="25"/>
      <c r="E624" s="25"/>
      <c r="F624" s="23"/>
      <c r="G624" s="24"/>
    </row>
    <row r="625" customFormat="false" ht="15" hidden="false" customHeight="true" outlineLevel="0" collapsed="false">
      <c r="B625" s="21"/>
      <c r="C625" s="25"/>
      <c r="D625" s="25"/>
      <c r="E625" s="25"/>
      <c r="F625" s="23"/>
      <c r="G625" s="24"/>
    </row>
    <row r="626" customFormat="false" ht="15" hidden="false" customHeight="true" outlineLevel="0" collapsed="false">
      <c r="B626" s="21"/>
      <c r="C626" s="25"/>
      <c r="D626" s="25"/>
      <c r="E626" s="25"/>
      <c r="F626" s="23"/>
      <c r="G626" s="24"/>
    </row>
    <row r="627" customFormat="false" ht="15" hidden="false" customHeight="true" outlineLevel="0" collapsed="false">
      <c r="B627" s="21"/>
      <c r="C627" s="25"/>
      <c r="D627" s="25"/>
      <c r="E627" s="25"/>
      <c r="F627" s="23"/>
      <c r="G627" s="24"/>
    </row>
    <row r="628" customFormat="false" ht="15" hidden="false" customHeight="true" outlineLevel="0" collapsed="false">
      <c r="B628" s="21"/>
      <c r="C628" s="25"/>
      <c r="D628" s="25"/>
      <c r="E628" s="25"/>
      <c r="F628" s="23"/>
      <c r="G628" s="24"/>
    </row>
    <row r="629" customFormat="false" ht="15" hidden="false" customHeight="true" outlineLevel="0" collapsed="false">
      <c r="B629" s="21"/>
      <c r="C629" s="25"/>
      <c r="D629" s="25"/>
      <c r="E629" s="25"/>
      <c r="F629" s="23"/>
      <c r="G629" s="24"/>
    </row>
    <row r="630" customFormat="false" ht="15" hidden="false" customHeight="true" outlineLevel="0" collapsed="false">
      <c r="B630" s="21"/>
      <c r="C630" s="25"/>
      <c r="D630" s="25"/>
      <c r="E630" s="25"/>
      <c r="F630" s="23"/>
      <c r="G630" s="24"/>
    </row>
    <row r="631" customFormat="false" ht="15" hidden="false" customHeight="true" outlineLevel="0" collapsed="false">
      <c r="B631" s="21"/>
      <c r="C631" s="25"/>
      <c r="D631" s="25"/>
      <c r="E631" s="25"/>
      <c r="F631" s="23"/>
      <c r="G631" s="24"/>
    </row>
    <row r="632" customFormat="false" ht="15" hidden="false" customHeight="true" outlineLevel="0" collapsed="false">
      <c r="B632" s="21"/>
      <c r="C632" s="25"/>
      <c r="D632" s="25"/>
      <c r="E632" s="25"/>
      <c r="F632" s="23"/>
      <c r="G632" s="24"/>
    </row>
    <row r="633" customFormat="false" ht="15" hidden="false" customHeight="true" outlineLevel="0" collapsed="false">
      <c r="B633" s="21"/>
      <c r="C633" s="25"/>
      <c r="D633" s="25"/>
      <c r="E633" s="25"/>
      <c r="F633" s="23"/>
      <c r="G633" s="24"/>
    </row>
    <row r="634" customFormat="false" ht="15" hidden="false" customHeight="true" outlineLevel="0" collapsed="false">
      <c r="B634" s="21"/>
      <c r="C634" s="25"/>
      <c r="D634" s="25"/>
      <c r="E634" s="25"/>
      <c r="F634" s="23"/>
      <c r="G634" s="24"/>
    </row>
    <row r="635" customFormat="false" ht="15" hidden="false" customHeight="true" outlineLevel="0" collapsed="false">
      <c r="B635" s="21"/>
      <c r="C635" s="25"/>
      <c r="D635" s="25"/>
      <c r="E635" s="25"/>
      <c r="F635" s="23"/>
      <c r="G635" s="24"/>
    </row>
    <row r="636" customFormat="false" ht="15" hidden="false" customHeight="true" outlineLevel="0" collapsed="false">
      <c r="B636" s="21"/>
      <c r="C636" s="25"/>
      <c r="D636" s="25"/>
      <c r="E636" s="25"/>
      <c r="F636" s="23"/>
      <c r="G636" s="24"/>
    </row>
    <row r="637" customFormat="false" ht="15" hidden="false" customHeight="true" outlineLevel="0" collapsed="false">
      <c r="B637" s="21"/>
      <c r="C637" s="25"/>
      <c r="D637" s="25"/>
      <c r="E637" s="25"/>
      <c r="F637" s="23"/>
      <c r="G637" s="24"/>
    </row>
    <row r="638" customFormat="false" ht="15" hidden="false" customHeight="true" outlineLevel="0" collapsed="false">
      <c r="B638" s="21"/>
      <c r="C638" s="25"/>
      <c r="D638" s="25"/>
      <c r="E638" s="25"/>
      <c r="F638" s="23"/>
      <c r="G638" s="24"/>
    </row>
    <row r="639" customFormat="false" ht="15" hidden="false" customHeight="true" outlineLevel="0" collapsed="false">
      <c r="B639" s="21"/>
      <c r="C639" s="25"/>
      <c r="D639" s="25"/>
      <c r="E639" s="25"/>
      <c r="F639" s="23"/>
      <c r="G639" s="24"/>
    </row>
    <row r="640" customFormat="false" ht="15" hidden="false" customHeight="true" outlineLevel="0" collapsed="false">
      <c r="B640" s="21"/>
      <c r="C640" s="25"/>
      <c r="D640" s="25"/>
      <c r="E640" s="25"/>
      <c r="F640" s="23"/>
      <c r="G640" s="24"/>
    </row>
    <row r="641" customFormat="false" ht="15" hidden="false" customHeight="true" outlineLevel="0" collapsed="false">
      <c r="B641" s="21"/>
      <c r="C641" s="25"/>
      <c r="D641" s="25"/>
      <c r="E641" s="25"/>
      <c r="F641" s="23"/>
      <c r="G641" s="24"/>
    </row>
    <row r="642" customFormat="false" ht="15" hidden="false" customHeight="true" outlineLevel="0" collapsed="false">
      <c r="B642" s="21"/>
      <c r="C642" s="25"/>
      <c r="D642" s="25"/>
      <c r="E642" s="25"/>
      <c r="F642" s="23"/>
      <c r="G642" s="24"/>
    </row>
    <row r="643" customFormat="false" ht="15" hidden="false" customHeight="true" outlineLevel="0" collapsed="false">
      <c r="B643" s="21"/>
      <c r="C643" s="25"/>
      <c r="D643" s="25"/>
      <c r="E643" s="25"/>
      <c r="F643" s="23"/>
      <c r="G643" s="24"/>
    </row>
    <row r="644" customFormat="false" ht="15" hidden="false" customHeight="true" outlineLevel="0" collapsed="false">
      <c r="B644" s="21"/>
      <c r="C644" s="25"/>
      <c r="D644" s="25"/>
      <c r="E644" s="25"/>
      <c r="F644" s="23"/>
      <c r="G644" s="24"/>
    </row>
    <row r="645" customFormat="false" ht="15" hidden="false" customHeight="true" outlineLevel="0" collapsed="false">
      <c r="B645" s="21"/>
      <c r="C645" s="25"/>
      <c r="D645" s="25"/>
      <c r="E645" s="25"/>
      <c r="F645" s="23"/>
      <c r="G645" s="24"/>
    </row>
    <row r="646" customFormat="false" ht="15" hidden="false" customHeight="true" outlineLevel="0" collapsed="false">
      <c r="B646" s="21"/>
      <c r="C646" s="25"/>
      <c r="D646" s="25"/>
      <c r="E646" s="25"/>
      <c r="F646" s="23"/>
      <c r="G646" s="24"/>
    </row>
    <row r="647" customFormat="false" ht="15" hidden="false" customHeight="true" outlineLevel="0" collapsed="false">
      <c r="B647" s="21"/>
      <c r="C647" s="25"/>
      <c r="D647" s="25"/>
      <c r="E647" s="25"/>
      <c r="F647" s="23"/>
      <c r="G647" s="24"/>
    </row>
    <row r="648" customFormat="false" ht="15" hidden="false" customHeight="true" outlineLevel="0" collapsed="false">
      <c r="B648" s="21"/>
      <c r="C648" s="25"/>
      <c r="D648" s="25"/>
      <c r="E648" s="25"/>
      <c r="F648" s="23"/>
      <c r="G648" s="24"/>
    </row>
    <row r="649" customFormat="false" ht="15" hidden="false" customHeight="true" outlineLevel="0" collapsed="false">
      <c r="B649" s="21"/>
      <c r="C649" s="25"/>
      <c r="D649" s="25"/>
      <c r="E649" s="25"/>
      <c r="F649" s="23"/>
      <c r="G649" s="24"/>
    </row>
    <row r="650" customFormat="false" ht="15" hidden="false" customHeight="true" outlineLevel="0" collapsed="false">
      <c r="B650" s="21"/>
      <c r="C650" s="25"/>
      <c r="D650" s="25"/>
      <c r="E650" s="25"/>
      <c r="F650" s="23"/>
      <c r="G650" s="24"/>
    </row>
    <row r="651" customFormat="false" ht="15" hidden="false" customHeight="true" outlineLevel="0" collapsed="false">
      <c r="B651" s="21"/>
      <c r="C651" s="25"/>
      <c r="D651" s="25"/>
      <c r="E651" s="25"/>
      <c r="F651" s="23"/>
      <c r="G651" s="24"/>
    </row>
    <row r="652" customFormat="false" ht="15" hidden="false" customHeight="true" outlineLevel="0" collapsed="false">
      <c r="B652" s="21"/>
      <c r="C652" s="25"/>
      <c r="D652" s="25"/>
      <c r="E652" s="25"/>
      <c r="F652" s="23"/>
      <c r="G652" s="24"/>
    </row>
    <row r="653" customFormat="false" ht="15" hidden="false" customHeight="true" outlineLevel="0" collapsed="false">
      <c r="B653" s="21"/>
      <c r="C653" s="25"/>
      <c r="D653" s="25"/>
      <c r="E653" s="25"/>
      <c r="F653" s="23"/>
      <c r="G653" s="24"/>
    </row>
    <row r="654" customFormat="false" ht="15" hidden="false" customHeight="true" outlineLevel="0" collapsed="false">
      <c r="B654" s="21"/>
      <c r="C654" s="25"/>
      <c r="D654" s="25"/>
      <c r="E654" s="25"/>
      <c r="F654" s="23"/>
      <c r="G654" s="24"/>
    </row>
    <row r="655" customFormat="false" ht="15" hidden="false" customHeight="true" outlineLevel="0" collapsed="false">
      <c r="B655" s="21"/>
      <c r="C655" s="25"/>
      <c r="D655" s="25"/>
      <c r="E655" s="25"/>
      <c r="F655" s="23"/>
      <c r="G655" s="24"/>
    </row>
    <row r="656" customFormat="false" ht="15" hidden="false" customHeight="true" outlineLevel="0" collapsed="false">
      <c r="B656" s="21"/>
      <c r="C656" s="25"/>
      <c r="D656" s="25"/>
      <c r="E656" s="25"/>
      <c r="F656" s="23"/>
      <c r="G656" s="24"/>
    </row>
    <row r="657" customFormat="false" ht="15" hidden="false" customHeight="true" outlineLevel="0" collapsed="false">
      <c r="B657" s="21"/>
      <c r="C657" s="25"/>
      <c r="D657" s="25"/>
      <c r="E657" s="25"/>
      <c r="F657" s="23"/>
      <c r="G657" s="24"/>
    </row>
    <row r="658" customFormat="false" ht="15" hidden="false" customHeight="true" outlineLevel="0" collapsed="false">
      <c r="B658" s="21"/>
      <c r="C658" s="25"/>
      <c r="D658" s="25"/>
      <c r="E658" s="25"/>
      <c r="F658" s="23"/>
      <c r="G658" s="24"/>
    </row>
    <row r="659" customFormat="false" ht="15" hidden="false" customHeight="true" outlineLevel="0" collapsed="false">
      <c r="B659" s="21"/>
      <c r="C659" s="25"/>
      <c r="D659" s="25"/>
      <c r="E659" s="25"/>
      <c r="F659" s="23"/>
      <c r="G659" s="24"/>
    </row>
    <row r="660" customFormat="false" ht="15" hidden="false" customHeight="true" outlineLevel="0" collapsed="false">
      <c r="B660" s="21"/>
      <c r="C660" s="25"/>
      <c r="D660" s="25"/>
      <c r="E660" s="25"/>
      <c r="F660" s="23"/>
      <c r="G660" s="24"/>
    </row>
    <row r="661" customFormat="false" ht="15" hidden="false" customHeight="true" outlineLevel="0" collapsed="false">
      <c r="B661" s="21"/>
      <c r="C661" s="25"/>
      <c r="D661" s="25"/>
      <c r="E661" s="25"/>
      <c r="F661" s="23"/>
      <c r="G661" s="24"/>
    </row>
    <row r="662" customFormat="false" ht="15" hidden="false" customHeight="true" outlineLevel="0" collapsed="false">
      <c r="B662" s="21"/>
      <c r="C662" s="25"/>
      <c r="D662" s="25"/>
      <c r="E662" s="25"/>
      <c r="F662" s="23"/>
      <c r="G662" s="24"/>
    </row>
    <row r="663" customFormat="false" ht="15" hidden="false" customHeight="true" outlineLevel="0" collapsed="false">
      <c r="B663" s="21"/>
      <c r="C663" s="25"/>
      <c r="D663" s="25"/>
      <c r="E663" s="25"/>
      <c r="F663" s="23"/>
      <c r="G663" s="24"/>
    </row>
    <row r="664" customFormat="false" ht="15" hidden="false" customHeight="true" outlineLevel="0" collapsed="false">
      <c r="B664" s="21"/>
      <c r="C664" s="25"/>
      <c r="D664" s="25"/>
      <c r="E664" s="25"/>
      <c r="F664" s="23"/>
      <c r="G664" s="24"/>
    </row>
    <row r="665" customFormat="false" ht="15" hidden="false" customHeight="true" outlineLevel="0" collapsed="false">
      <c r="B665" s="21"/>
      <c r="C665" s="25"/>
      <c r="D665" s="25"/>
      <c r="E665" s="25"/>
      <c r="F665" s="23"/>
      <c r="G665" s="24"/>
    </row>
    <row r="666" customFormat="false" ht="15" hidden="false" customHeight="true" outlineLevel="0" collapsed="false">
      <c r="B666" s="21"/>
      <c r="C666" s="25"/>
      <c r="D666" s="25"/>
      <c r="E666" s="25"/>
      <c r="F666" s="23"/>
      <c r="G666" s="24"/>
    </row>
    <row r="667" customFormat="false" ht="15" hidden="false" customHeight="true" outlineLevel="0" collapsed="false">
      <c r="B667" s="21"/>
      <c r="C667" s="25"/>
      <c r="D667" s="25"/>
      <c r="E667" s="25"/>
      <c r="F667" s="23"/>
      <c r="G667" s="24"/>
    </row>
    <row r="668" customFormat="false" ht="15" hidden="false" customHeight="true" outlineLevel="0" collapsed="false">
      <c r="B668" s="21"/>
      <c r="C668" s="25"/>
      <c r="D668" s="25"/>
      <c r="E668" s="25"/>
      <c r="F668" s="23"/>
      <c r="G668" s="24"/>
    </row>
    <row r="669" customFormat="false" ht="15" hidden="false" customHeight="true" outlineLevel="0" collapsed="false">
      <c r="B669" s="21"/>
      <c r="C669" s="25"/>
      <c r="D669" s="25"/>
      <c r="E669" s="25"/>
      <c r="F669" s="23"/>
      <c r="G669" s="24"/>
    </row>
    <row r="670" customFormat="false" ht="15" hidden="false" customHeight="true" outlineLevel="0" collapsed="false">
      <c r="B670" s="21"/>
      <c r="C670" s="25"/>
      <c r="D670" s="25"/>
      <c r="E670" s="25"/>
      <c r="F670" s="23"/>
      <c r="G670" s="24"/>
    </row>
    <row r="671" customFormat="false" ht="15" hidden="false" customHeight="true" outlineLevel="0" collapsed="false">
      <c r="B671" s="21"/>
      <c r="C671" s="25"/>
      <c r="D671" s="25"/>
      <c r="E671" s="25"/>
      <c r="F671" s="23"/>
      <c r="G671" s="24"/>
    </row>
    <row r="672" customFormat="false" ht="15" hidden="false" customHeight="true" outlineLevel="0" collapsed="false">
      <c r="B672" s="21"/>
      <c r="C672" s="25"/>
      <c r="D672" s="25"/>
      <c r="E672" s="25"/>
      <c r="F672" s="23"/>
      <c r="G672" s="24"/>
    </row>
    <row r="673" customFormat="false" ht="15" hidden="false" customHeight="true" outlineLevel="0" collapsed="false">
      <c r="B673" s="21"/>
      <c r="C673" s="25"/>
      <c r="D673" s="25"/>
      <c r="E673" s="25"/>
      <c r="F673" s="23"/>
      <c r="G673" s="24"/>
    </row>
    <row r="674" customFormat="false" ht="15" hidden="false" customHeight="true" outlineLevel="0" collapsed="false">
      <c r="B674" s="21"/>
      <c r="C674" s="25"/>
      <c r="D674" s="25"/>
      <c r="E674" s="25"/>
      <c r="F674" s="23"/>
      <c r="G674" s="24"/>
    </row>
    <row r="675" customFormat="false" ht="15" hidden="false" customHeight="true" outlineLevel="0" collapsed="false">
      <c r="B675" s="21"/>
      <c r="C675" s="25"/>
      <c r="D675" s="25"/>
      <c r="E675" s="25"/>
      <c r="F675" s="23"/>
      <c r="G675" s="24"/>
    </row>
    <row r="676" customFormat="false" ht="15" hidden="false" customHeight="true" outlineLevel="0" collapsed="false">
      <c r="B676" s="21"/>
      <c r="C676" s="25"/>
      <c r="D676" s="25"/>
      <c r="E676" s="25"/>
      <c r="F676" s="23"/>
      <c r="G676" s="24"/>
    </row>
    <row r="677" customFormat="false" ht="15" hidden="false" customHeight="true" outlineLevel="0" collapsed="false">
      <c r="B677" s="21"/>
      <c r="C677" s="25"/>
      <c r="D677" s="25"/>
      <c r="E677" s="25"/>
      <c r="F677" s="23"/>
      <c r="G677" s="24"/>
    </row>
    <row r="678" customFormat="false" ht="15" hidden="false" customHeight="true" outlineLevel="0" collapsed="false">
      <c r="B678" s="21"/>
      <c r="C678" s="25"/>
      <c r="D678" s="25"/>
      <c r="E678" s="25"/>
      <c r="F678" s="23"/>
      <c r="G678" s="24"/>
    </row>
    <row r="679" customFormat="false" ht="15" hidden="false" customHeight="true" outlineLevel="0" collapsed="false">
      <c r="B679" s="21"/>
      <c r="C679" s="25"/>
      <c r="D679" s="25"/>
      <c r="E679" s="25"/>
      <c r="F679" s="23"/>
      <c r="G679" s="24"/>
    </row>
    <row r="680" customFormat="false" ht="15" hidden="false" customHeight="true" outlineLevel="0" collapsed="false">
      <c r="B680" s="21"/>
      <c r="C680" s="25"/>
      <c r="D680" s="25"/>
      <c r="E680" s="25"/>
      <c r="F680" s="23"/>
      <c r="G680" s="24"/>
    </row>
    <row r="681" customFormat="false" ht="15" hidden="false" customHeight="true" outlineLevel="0" collapsed="false">
      <c r="B681" s="21"/>
      <c r="C681" s="25"/>
      <c r="D681" s="25"/>
      <c r="E681" s="25"/>
      <c r="F681" s="23"/>
      <c r="G681" s="24"/>
    </row>
    <row r="682" customFormat="false" ht="15" hidden="false" customHeight="true" outlineLevel="0" collapsed="false">
      <c r="B682" s="21"/>
      <c r="C682" s="25"/>
      <c r="D682" s="25"/>
      <c r="E682" s="25"/>
      <c r="F682" s="23"/>
      <c r="G682" s="24"/>
    </row>
    <row r="683" customFormat="false" ht="15" hidden="false" customHeight="true" outlineLevel="0" collapsed="false">
      <c r="B683" s="21"/>
      <c r="C683" s="25"/>
      <c r="D683" s="25"/>
      <c r="E683" s="25"/>
      <c r="F683" s="23"/>
      <c r="G683" s="24"/>
    </row>
    <row r="684" customFormat="false" ht="15" hidden="false" customHeight="true" outlineLevel="0" collapsed="false">
      <c r="B684" s="21"/>
      <c r="C684" s="25"/>
      <c r="D684" s="25"/>
      <c r="E684" s="25"/>
      <c r="F684" s="23"/>
      <c r="G684" s="24"/>
    </row>
    <row r="685" customFormat="false" ht="15" hidden="false" customHeight="true" outlineLevel="0" collapsed="false">
      <c r="B685" s="21"/>
      <c r="C685" s="25"/>
      <c r="D685" s="25"/>
      <c r="E685" s="25"/>
      <c r="F685" s="23"/>
      <c r="G685" s="24"/>
    </row>
    <row r="686" customFormat="false" ht="15" hidden="false" customHeight="true" outlineLevel="0" collapsed="false">
      <c r="B686" s="21"/>
      <c r="C686" s="25"/>
      <c r="D686" s="25"/>
      <c r="E686" s="25"/>
      <c r="F686" s="23"/>
      <c r="G686" s="24"/>
    </row>
    <row r="687" customFormat="false" ht="15" hidden="false" customHeight="true" outlineLevel="0" collapsed="false">
      <c r="B687" s="21"/>
      <c r="C687" s="25"/>
      <c r="D687" s="25"/>
      <c r="E687" s="25"/>
      <c r="F687" s="23"/>
      <c r="G687" s="24"/>
    </row>
    <row r="688" customFormat="false" ht="15" hidden="false" customHeight="true" outlineLevel="0" collapsed="false">
      <c r="B688" s="21"/>
      <c r="C688" s="25"/>
      <c r="D688" s="25"/>
      <c r="E688" s="25"/>
      <c r="F688" s="23"/>
      <c r="G688" s="24"/>
    </row>
    <row r="689" customFormat="false" ht="15" hidden="false" customHeight="true" outlineLevel="0" collapsed="false">
      <c r="B689" s="21"/>
      <c r="C689" s="25"/>
      <c r="D689" s="25"/>
      <c r="E689" s="25"/>
      <c r="F689" s="23"/>
      <c r="G689" s="24"/>
    </row>
    <row r="690" customFormat="false" ht="15" hidden="false" customHeight="true" outlineLevel="0" collapsed="false">
      <c r="B690" s="21"/>
      <c r="C690" s="25"/>
      <c r="D690" s="25"/>
      <c r="E690" s="25"/>
      <c r="F690" s="23"/>
      <c r="G690" s="24"/>
    </row>
    <row r="691" customFormat="false" ht="15" hidden="false" customHeight="true" outlineLevel="0" collapsed="false">
      <c r="B691" s="21"/>
      <c r="C691" s="25"/>
      <c r="D691" s="25"/>
      <c r="E691" s="25"/>
      <c r="F691" s="23"/>
      <c r="G691" s="24"/>
    </row>
    <row r="692" customFormat="false" ht="15" hidden="false" customHeight="true" outlineLevel="0" collapsed="false">
      <c r="B692" s="21"/>
      <c r="C692" s="25"/>
      <c r="D692" s="25"/>
      <c r="E692" s="25"/>
      <c r="F692" s="23"/>
      <c r="G692" s="24"/>
    </row>
    <row r="693" customFormat="false" ht="15" hidden="false" customHeight="true" outlineLevel="0" collapsed="false">
      <c r="B693" s="21"/>
      <c r="C693" s="25"/>
      <c r="D693" s="25"/>
      <c r="E693" s="25"/>
      <c r="F693" s="23"/>
      <c r="G693" s="24"/>
    </row>
    <row r="694" customFormat="false" ht="15" hidden="false" customHeight="true" outlineLevel="0" collapsed="false">
      <c r="B694" s="21"/>
      <c r="C694" s="25"/>
      <c r="D694" s="25"/>
      <c r="E694" s="25"/>
      <c r="F694" s="23"/>
      <c r="G694" s="24"/>
    </row>
    <row r="695" customFormat="false" ht="15" hidden="false" customHeight="true" outlineLevel="0" collapsed="false">
      <c r="B695" s="21"/>
      <c r="C695" s="25"/>
      <c r="D695" s="25"/>
      <c r="E695" s="25"/>
      <c r="F695" s="23"/>
      <c r="G695" s="24"/>
    </row>
    <row r="696" customFormat="false" ht="15" hidden="false" customHeight="true" outlineLevel="0" collapsed="false">
      <c r="B696" s="21"/>
      <c r="C696" s="25"/>
      <c r="D696" s="25"/>
      <c r="E696" s="25"/>
      <c r="F696" s="23"/>
      <c r="G696" s="24"/>
    </row>
    <row r="697" customFormat="false" ht="15" hidden="false" customHeight="true" outlineLevel="0" collapsed="false">
      <c r="B697" s="21"/>
      <c r="C697" s="25"/>
      <c r="D697" s="25"/>
      <c r="E697" s="25"/>
      <c r="F697" s="23"/>
      <c r="G697" s="24"/>
    </row>
    <row r="698" customFormat="false" ht="15" hidden="false" customHeight="true" outlineLevel="0" collapsed="false">
      <c r="B698" s="21"/>
      <c r="C698" s="25"/>
      <c r="D698" s="25"/>
      <c r="E698" s="25"/>
      <c r="F698" s="23"/>
      <c r="G698" s="24"/>
    </row>
    <row r="699" customFormat="false" ht="15" hidden="false" customHeight="true" outlineLevel="0" collapsed="false">
      <c r="B699" s="21"/>
      <c r="C699" s="25"/>
      <c r="D699" s="25"/>
      <c r="E699" s="25"/>
      <c r="F699" s="23"/>
      <c r="G699" s="24"/>
    </row>
    <row r="700" customFormat="false" ht="15" hidden="false" customHeight="true" outlineLevel="0" collapsed="false">
      <c r="B700" s="21"/>
      <c r="C700" s="25"/>
      <c r="D700" s="25"/>
      <c r="E700" s="25"/>
      <c r="F700" s="23"/>
      <c r="G700" s="24"/>
    </row>
    <row r="701" customFormat="false" ht="15" hidden="false" customHeight="true" outlineLevel="0" collapsed="false">
      <c r="B701" s="21"/>
      <c r="C701" s="25"/>
      <c r="D701" s="25"/>
      <c r="E701" s="25"/>
      <c r="F701" s="23"/>
      <c r="G701" s="24"/>
    </row>
    <row r="702" customFormat="false" ht="15" hidden="false" customHeight="true" outlineLevel="0" collapsed="false">
      <c r="B702" s="21"/>
      <c r="C702" s="25"/>
      <c r="D702" s="25"/>
      <c r="E702" s="25"/>
      <c r="F702" s="23"/>
      <c r="G702" s="24"/>
    </row>
    <row r="703" customFormat="false" ht="15" hidden="false" customHeight="true" outlineLevel="0" collapsed="false">
      <c r="B703" s="21"/>
      <c r="C703" s="25"/>
      <c r="D703" s="25"/>
      <c r="E703" s="25"/>
      <c r="F703" s="23"/>
      <c r="G703" s="24"/>
    </row>
    <row r="704" customFormat="false" ht="15" hidden="false" customHeight="true" outlineLevel="0" collapsed="false">
      <c r="B704" s="21"/>
      <c r="C704" s="25"/>
      <c r="D704" s="25"/>
      <c r="E704" s="25"/>
      <c r="F704" s="23"/>
      <c r="G704" s="24"/>
    </row>
    <row r="705" customFormat="false" ht="15" hidden="false" customHeight="true" outlineLevel="0" collapsed="false">
      <c r="B705" s="21"/>
      <c r="C705" s="25"/>
      <c r="D705" s="25"/>
      <c r="E705" s="25"/>
      <c r="F705" s="23"/>
      <c r="G705" s="24"/>
    </row>
    <row r="706" customFormat="false" ht="15" hidden="false" customHeight="true" outlineLevel="0" collapsed="false">
      <c r="B706" s="21"/>
      <c r="C706" s="25"/>
      <c r="D706" s="25"/>
      <c r="E706" s="25"/>
      <c r="F706" s="23"/>
      <c r="G706" s="24"/>
    </row>
    <row r="707" customFormat="false" ht="15" hidden="false" customHeight="true" outlineLevel="0" collapsed="false">
      <c r="B707" s="21"/>
      <c r="C707" s="25"/>
      <c r="D707" s="25"/>
      <c r="E707" s="25"/>
      <c r="F707" s="23"/>
      <c r="G707" s="24"/>
    </row>
    <row r="708" customFormat="false" ht="15" hidden="false" customHeight="true" outlineLevel="0" collapsed="false">
      <c r="B708" s="21"/>
      <c r="C708" s="25"/>
      <c r="D708" s="25"/>
      <c r="E708" s="25"/>
      <c r="F708" s="23"/>
      <c r="G708" s="24"/>
    </row>
    <row r="709" customFormat="false" ht="15" hidden="false" customHeight="true" outlineLevel="0" collapsed="false">
      <c r="B709" s="21"/>
      <c r="C709" s="25"/>
      <c r="D709" s="25"/>
      <c r="E709" s="25"/>
      <c r="F709" s="23"/>
      <c r="G709" s="24"/>
    </row>
    <row r="710" customFormat="false" ht="15" hidden="false" customHeight="true" outlineLevel="0" collapsed="false">
      <c r="B710" s="21"/>
      <c r="C710" s="25"/>
      <c r="D710" s="25"/>
      <c r="E710" s="25"/>
      <c r="F710" s="23"/>
      <c r="G710" s="24"/>
    </row>
    <row r="711" customFormat="false" ht="15" hidden="false" customHeight="true" outlineLevel="0" collapsed="false">
      <c r="B711" s="21"/>
      <c r="C711" s="25"/>
      <c r="D711" s="25"/>
      <c r="E711" s="25"/>
      <c r="F711" s="23"/>
      <c r="G711" s="24"/>
    </row>
    <row r="712" customFormat="false" ht="15" hidden="false" customHeight="true" outlineLevel="0" collapsed="false">
      <c r="B712" s="21"/>
      <c r="C712" s="25"/>
      <c r="D712" s="25"/>
      <c r="E712" s="25"/>
      <c r="F712" s="23"/>
      <c r="G712" s="24"/>
    </row>
    <row r="713" customFormat="false" ht="15" hidden="false" customHeight="true" outlineLevel="0" collapsed="false">
      <c r="B713" s="21"/>
      <c r="C713" s="25"/>
      <c r="D713" s="25"/>
      <c r="E713" s="25"/>
      <c r="F713" s="23"/>
      <c r="G713" s="24"/>
    </row>
    <row r="714" customFormat="false" ht="15" hidden="false" customHeight="true" outlineLevel="0" collapsed="false">
      <c r="B714" s="21"/>
      <c r="C714" s="25"/>
      <c r="D714" s="25"/>
      <c r="E714" s="25"/>
      <c r="F714" s="23"/>
      <c r="G714" s="24"/>
    </row>
    <row r="715" customFormat="false" ht="15" hidden="false" customHeight="true" outlineLevel="0" collapsed="false">
      <c r="B715" s="21"/>
      <c r="C715" s="25"/>
      <c r="D715" s="25"/>
      <c r="E715" s="25"/>
      <c r="F715" s="23"/>
      <c r="G715" s="24"/>
    </row>
    <row r="716" customFormat="false" ht="15" hidden="false" customHeight="true" outlineLevel="0" collapsed="false">
      <c r="B716" s="21"/>
      <c r="C716" s="25"/>
      <c r="D716" s="25"/>
      <c r="E716" s="25"/>
      <c r="F716" s="23"/>
      <c r="G716" s="24"/>
    </row>
    <row r="717" customFormat="false" ht="15" hidden="false" customHeight="true" outlineLevel="0" collapsed="false">
      <c r="B717" s="21"/>
      <c r="C717" s="25"/>
      <c r="D717" s="25"/>
      <c r="E717" s="25"/>
      <c r="F717" s="23"/>
      <c r="G717" s="24"/>
    </row>
    <row r="718" customFormat="false" ht="15" hidden="false" customHeight="true" outlineLevel="0" collapsed="false">
      <c r="B718" s="21"/>
      <c r="C718" s="25"/>
      <c r="D718" s="25"/>
      <c r="E718" s="25"/>
      <c r="F718" s="23"/>
      <c r="G718" s="24"/>
    </row>
    <row r="719" customFormat="false" ht="15" hidden="false" customHeight="true" outlineLevel="0" collapsed="false">
      <c r="B719" s="21"/>
      <c r="C719" s="25"/>
      <c r="D719" s="25"/>
      <c r="E719" s="25"/>
      <c r="F719" s="23"/>
      <c r="G719" s="24"/>
    </row>
    <row r="720" customFormat="false" ht="15" hidden="false" customHeight="true" outlineLevel="0" collapsed="false">
      <c r="B720" s="21"/>
      <c r="C720" s="25"/>
      <c r="D720" s="25"/>
      <c r="E720" s="25"/>
      <c r="F720" s="23"/>
      <c r="G720" s="24"/>
    </row>
    <row r="721" customFormat="false" ht="15" hidden="false" customHeight="true" outlineLevel="0" collapsed="false">
      <c r="B721" s="21"/>
      <c r="C721" s="25"/>
      <c r="D721" s="25"/>
      <c r="E721" s="25"/>
      <c r="F721" s="23"/>
      <c r="G721" s="24"/>
    </row>
    <row r="722" customFormat="false" ht="15" hidden="false" customHeight="true" outlineLevel="0" collapsed="false">
      <c r="B722" s="21"/>
      <c r="C722" s="25"/>
      <c r="D722" s="25"/>
      <c r="E722" s="25"/>
      <c r="F722" s="23"/>
      <c r="G722" s="24"/>
    </row>
    <row r="723" customFormat="false" ht="15" hidden="false" customHeight="true" outlineLevel="0" collapsed="false">
      <c r="B723" s="21"/>
      <c r="C723" s="25"/>
      <c r="D723" s="25"/>
      <c r="E723" s="25"/>
      <c r="F723" s="23"/>
      <c r="G723" s="24"/>
    </row>
    <row r="724" customFormat="false" ht="15" hidden="false" customHeight="true" outlineLevel="0" collapsed="false">
      <c r="B724" s="21"/>
      <c r="C724" s="25"/>
      <c r="D724" s="25"/>
      <c r="E724" s="25"/>
      <c r="F724" s="23"/>
      <c r="G724" s="24"/>
    </row>
    <row r="725" customFormat="false" ht="15" hidden="false" customHeight="true" outlineLevel="0" collapsed="false">
      <c r="B725" s="21"/>
      <c r="C725" s="25"/>
      <c r="D725" s="25"/>
      <c r="E725" s="25"/>
      <c r="F725" s="23"/>
      <c r="G725" s="24"/>
    </row>
    <row r="726" customFormat="false" ht="15" hidden="false" customHeight="true" outlineLevel="0" collapsed="false">
      <c r="B726" s="21"/>
      <c r="C726" s="25"/>
      <c r="D726" s="25"/>
      <c r="E726" s="25"/>
      <c r="F726" s="23"/>
      <c r="G726" s="24"/>
    </row>
    <row r="727" customFormat="false" ht="15" hidden="false" customHeight="true" outlineLevel="0" collapsed="false">
      <c r="B727" s="21"/>
      <c r="C727" s="25"/>
      <c r="D727" s="25"/>
      <c r="E727" s="25"/>
      <c r="F727" s="23"/>
      <c r="G727" s="24"/>
    </row>
    <row r="728" customFormat="false" ht="15" hidden="false" customHeight="true" outlineLevel="0" collapsed="false">
      <c r="B728" s="21"/>
      <c r="C728" s="25"/>
      <c r="D728" s="25"/>
      <c r="E728" s="25"/>
      <c r="F728" s="23"/>
      <c r="G728" s="24"/>
    </row>
    <row r="729" customFormat="false" ht="15" hidden="false" customHeight="true" outlineLevel="0" collapsed="false">
      <c r="B729" s="21"/>
      <c r="C729" s="25"/>
      <c r="D729" s="25"/>
      <c r="E729" s="25"/>
      <c r="F729" s="23"/>
      <c r="G729" s="24"/>
    </row>
    <row r="730" customFormat="false" ht="15" hidden="false" customHeight="true" outlineLevel="0" collapsed="false">
      <c r="B730" s="21"/>
      <c r="C730" s="25"/>
      <c r="D730" s="25"/>
      <c r="E730" s="25"/>
      <c r="F730" s="23"/>
      <c r="G730" s="24"/>
    </row>
    <row r="731" customFormat="false" ht="15" hidden="false" customHeight="true" outlineLevel="0" collapsed="false">
      <c r="B731" s="21"/>
      <c r="C731" s="25"/>
      <c r="D731" s="25"/>
      <c r="E731" s="25"/>
      <c r="F731" s="23"/>
      <c r="G731" s="24"/>
    </row>
    <row r="732" customFormat="false" ht="15" hidden="false" customHeight="true" outlineLevel="0" collapsed="false">
      <c r="B732" s="21"/>
      <c r="C732" s="25"/>
      <c r="D732" s="25"/>
      <c r="E732" s="25"/>
      <c r="F732" s="23"/>
      <c r="G732" s="24"/>
    </row>
    <row r="733" customFormat="false" ht="15" hidden="false" customHeight="true" outlineLevel="0" collapsed="false">
      <c r="B733" s="21"/>
      <c r="C733" s="25"/>
      <c r="D733" s="25"/>
      <c r="E733" s="25"/>
      <c r="F733" s="23"/>
      <c r="G733" s="24"/>
    </row>
    <row r="734" customFormat="false" ht="15" hidden="false" customHeight="true" outlineLevel="0" collapsed="false">
      <c r="B734" s="21"/>
      <c r="C734" s="25"/>
      <c r="D734" s="25"/>
      <c r="E734" s="25"/>
      <c r="F734" s="23"/>
      <c r="G734" s="24"/>
    </row>
    <row r="735" customFormat="false" ht="15" hidden="false" customHeight="true" outlineLevel="0" collapsed="false">
      <c r="B735" s="21"/>
      <c r="C735" s="25"/>
      <c r="D735" s="25"/>
      <c r="E735" s="25"/>
      <c r="F735" s="23"/>
      <c r="G735" s="24"/>
    </row>
    <row r="736" customFormat="false" ht="15" hidden="false" customHeight="true" outlineLevel="0" collapsed="false">
      <c r="B736" s="21"/>
      <c r="C736" s="25"/>
      <c r="D736" s="25"/>
      <c r="E736" s="25"/>
      <c r="F736" s="23"/>
      <c r="G736" s="24"/>
    </row>
    <row r="737" customFormat="false" ht="15" hidden="false" customHeight="true" outlineLevel="0" collapsed="false">
      <c r="B737" s="21"/>
      <c r="C737" s="25"/>
      <c r="D737" s="25"/>
      <c r="E737" s="25"/>
      <c r="F737" s="23"/>
      <c r="G737" s="24"/>
    </row>
    <row r="738" customFormat="false" ht="15" hidden="false" customHeight="true" outlineLevel="0" collapsed="false">
      <c r="B738" s="21"/>
      <c r="C738" s="25"/>
      <c r="D738" s="25"/>
      <c r="E738" s="25"/>
      <c r="F738" s="23"/>
      <c r="G738" s="24"/>
    </row>
    <row r="739" customFormat="false" ht="15" hidden="false" customHeight="true" outlineLevel="0" collapsed="false">
      <c r="B739" s="21"/>
      <c r="C739" s="25"/>
      <c r="D739" s="25"/>
      <c r="E739" s="25"/>
      <c r="F739" s="23"/>
      <c r="G739" s="24"/>
    </row>
    <row r="740" customFormat="false" ht="15" hidden="false" customHeight="true" outlineLevel="0" collapsed="false">
      <c r="B740" s="21"/>
      <c r="C740" s="25"/>
      <c r="D740" s="25"/>
      <c r="E740" s="25"/>
      <c r="F740" s="23"/>
      <c r="G740" s="24"/>
    </row>
    <row r="741" customFormat="false" ht="15" hidden="false" customHeight="true" outlineLevel="0" collapsed="false">
      <c r="B741" s="21"/>
      <c r="C741" s="25"/>
      <c r="D741" s="25"/>
      <c r="E741" s="25"/>
      <c r="F741" s="23"/>
      <c r="G741" s="24"/>
    </row>
    <row r="742" customFormat="false" ht="15" hidden="false" customHeight="true" outlineLevel="0" collapsed="false">
      <c r="B742" s="21"/>
      <c r="C742" s="25"/>
      <c r="D742" s="25"/>
      <c r="E742" s="25"/>
      <c r="F742" s="23"/>
      <c r="G742" s="24"/>
    </row>
    <row r="743" customFormat="false" ht="15" hidden="false" customHeight="true" outlineLevel="0" collapsed="false">
      <c r="B743" s="21"/>
      <c r="C743" s="25"/>
      <c r="D743" s="25"/>
      <c r="E743" s="25"/>
      <c r="F743" s="23"/>
      <c r="G743" s="24"/>
    </row>
    <row r="744" customFormat="false" ht="15" hidden="false" customHeight="true" outlineLevel="0" collapsed="false">
      <c r="B744" s="21"/>
      <c r="C744" s="25"/>
      <c r="D744" s="25"/>
      <c r="E744" s="25"/>
      <c r="F744" s="23"/>
      <c r="G744" s="24"/>
    </row>
    <row r="745" customFormat="false" ht="15" hidden="false" customHeight="true" outlineLevel="0" collapsed="false">
      <c r="B745" s="21"/>
      <c r="C745" s="25"/>
      <c r="D745" s="25"/>
      <c r="E745" s="25"/>
      <c r="F745" s="23"/>
      <c r="G745" s="24"/>
    </row>
    <row r="746" customFormat="false" ht="15" hidden="false" customHeight="true" outlineLevel="0" collapsed="false">
      <c r="B746" s="21"/>
      <c r="C746" s="25"/>
      <c r="D746" s="25"/>
      <c r="E746" s="25"/>
      <c r="F746" s="23"/>
      <c r="G746" s="24"/>
    </row>
    <row r="747" customFormat="false" ht="15" hidden="false" customHeight="true" outlineLevel="0" collapsed="false">
      <c r="B747" s="21"/>
      <c r="C747" s="25"/>
      <c r="D747" s="25"/>
      <c r="E747" s="25"/>
      <c r="F747" s="23"/>
      <c r="G747" s="24"/>
    </row>
    <row r="748" customFormat="false" ht="15" hidden="false" customHeight="true" outlineLevel="0" collapsed="false">
      <c r="B748" s="21"/>
      <c r="C748" s="25"/>
      <c r="D748" s="25"/>
      <c r="E748" s="25"/>
      <c r="F748" s="23"/>
      <c r="G748" s="24"/>
    </row>
    <row r="749" customFormat="false" ht="15" hidden="false" customHeight="true" outlineLevel="0" collapsed="false">
      <c r="B749" s="21"/>
      <c r="C749" s="25"/>
      <c r="D749" s="25"/>
      <c r="E749" s="25"/>
      <c r="F749" s="23"/>
      <c r="G749" s="24"/>
    </row>
    <row r="750" customFormat="false" ht="15" hidden="false" customHeight="true" outlineLevel="0" collapsed="false">
      <c r="B750" s="21"/>
      <c r="C750" s="25"/>
      <c r="D750" s="25"/>
      <c r="E750" s="25"/>
      <c r="F750" s="23"/>
      <c r="G750" s="24"/>
    </row>
    <row r="751" customFormat="false" ht="15" hidden="false" customHeight="true" outlineLevel="0" collapsed="false">
      <c r="B751" s="21"/>
      <c r="C751" s="25"/>
      <c r="D751" s="25"/>
      <c r="E751" s="25"/>
      <c r="F751" s="23"/>
      <c r="G751" s="24"/>
    </row>
    <row r="752" customFormat="false" ht="15" hidden="false" customHeight="true" outlineLevel="0" collapsed="false">
      <c r="B752" s="21"/>
      <c r="C752" s="25"/>
      <c r="D752" s="25"/>
      <c r="E752" s="25"/>
      <c r="F752" s="23"/>
      <c r="G752" s="24"/>
    </row>
    <row r="753" customFormat="false" ht="15" hidden="false" customHeight="true" outlineLevel="0" collapsed="false">
      <c r="B753" s="21"/>
      <c r="C753" s="25"/>
      <c r="D753" s="25"/>
      <c r="E753" s="25"/>
      <c r="F753" s="23"/>
      <c r="G753" s="24"/>
    </row>
    <row r="754" customFormat="false" ht="15" hidden="false" customHeight="true" outlineLevel="0" collapsed="false">
      <c r="B754" s="21"/>
      <c r="C754" s="25"/>
      <c r="D754" s="25"/>
      <c r="E754" s="25"/>
      <c r="F754" s="23"/>
      <c r="G754" s="24"/>
    </row>
    <row r="755" customFormat="false" ht="15" hidden="false" customHeight="true" outlineLevel="0" collapsed="false">
      <c r="B755" s="21"/>
      <c r="C755" s="25"/>
      <c r="D755" s="25"/>
      <c r="E755" s="25"/>
      <c r="F755" s="23"/>
      <c r="G755" s="24"/>
    </row>
    <row r="756" customFormat="false" ht="15" hidden="false" customHeight="true" outlineLevel="0" collapsed="false">
      <c r="B756" s="21"/>
      <c r="C756" s="25"/>
      <c r="D756" s="25"/>
      <c r="E756" s="25"/>
      <c r="F756" s="23"/>
      <c r="G756" s="24"/>
    </row>
    <row r="757" customFormat="false" ht="15" hidden="false" customHeight="true" outlineLevel="0" collapsed="false">
      <c r="B757" s="21"/>
      <c r="C757" s="25"/>
      <c r="D757" s="25"/>
      <c r="E757" s="25"/>
      <c r="F757" s="23"/>
      <c r="G757" s="24"/>
    </row>
    <row r="758" customFormat="false" ht="15" hidden="false" customHeight="true" outlineLevel="0" collapsed="false">
      <c r="B758" s="21"/>
      <c r="C758" s="25"/>
      <c r="D758" s="25"/>
      <c r="E758" s="25"/>
      <c r="F758" s="23"/>
      <c r="G758" s="24"/>
    </row>
    <row r="759" customFormat="false" ht="15" hidden="false" customHeight="true" outlineLevel="0" collapsed="false">
      <c r="B759" s="21"/>
      <c r="C759" s="25"/>
      <c r="D759" s="25"/>
      <c r="E759" s="25"/>
      <c r="F759" s="23"/>
      <c r="G759" s="24"/>
    </row>
    <row r="760" customFormat="false" ht="15" hidden="false" customHeight="true" outlineLevel="0" collapsed="false">
      <c r="B760" s="21"/>
      <c r="C760" s="25"/>
      <c r="D760" s="25"/>
      <c r="E760" s="25"/>
      <c r="F760" s="23"/>
      <c r="G760" s="24"/>
    </row>
    <row r="761" customFormat="false" ht="15" hidden="false" customHeight="true" outlineLevel="0" collapsed="false">
      <c r="B761" s="21"/>
      <c r="C761" s="25"/>
      <c r="D761" s="25"/>
      <c r="E761" s="25"/>
      <c r="F761" s="23"/>
      <c r="G761" s="24"/>
    </row>
    <row r="762" customFormat="false" ht="15" hidden="false" customHeight="true" outlineLevel="0" collapsed="false">
      <c r="B762" s="21"/>
      <c r="C762" s="25"/>
      <c r="D762" s="25"/>
      <c r="E762" s="25"/>
      <c r="F762" s="23"/>
      <c r="G762" s="24"/>
    </row>
    <row r="763" customFormat="false" ht="15" hidden="false" customHeight="true" outlineLevel="0" collapsed="false">
      <c r="B763" s="21"/>
      <c r="C763" s="25"/>
      <c r="D763" s="25"/>
      <c r="E763" s="25"/>
      <c r="F763" s="23"/>
      <c r="G763" s="24"/>
    </row>
    <row r="764" customFormat="false" ht="15" hidden="false" customHeight="true" outlineLevel="0" collapsed="false">
      <c r="B764" s="21"/>
      <c r="C764" s="25"/>
      <c r="D764" s="25"/>
      <c r="E764" s="25"/>
      <c r="F764" s="23"/>
      <c r="G764" s="24"/>
    </row>
    <row r="765" customFormat="false" ht="15" hidden="false" customHeight="true" outlineLevel="0" collapsed="false">
      <c r="B765" s="21"/>
      <c r="C765" s="25"/>
      <c r="D765" s="25"/>
      <c r="E765" s="25"/>
      <c r="F765" s="23"/>
      <c r="G765" s="24"/>
    </row>
    <row r="766" customFormat="false" ht="15" hidden="false" customHeight="true" outlineLevel="0" collapsed="false">
      <c r="B766" s="21"/>
      <c r="C766" s="25"/>
      <c r="D766" s="25"/>
      <c r="E766" s="25"/>
      <c r="F766" s="23"/>
      <c r="G766" s="24"/>
    </row>
    <row r="767" customFormat="false" ht="15" hidden="false" customHeight="true" outlineLevel="0" collapsed="false">
      <c r="B767" s="21"/>
      <c r="C767" s="25"/>
      <c r="D767" s="25"/>
      <c r="E767" s="25"/>
      <c r="F767" s="23"/>
      <c r="G767" s="24"/>
    </row>
    <row r="768" customFormat="false" ht="15" hidden="false" customHeight="true" outlineLevel="0" collapsed="false">
      <c r="B768" s="21"/>
      <c r="C768" s="25"/>
      <c r="D768" s="25"/>
      <c r="E768" s="25"/>
      <c r="F768" s="23"/>
      <c r="G768" s="24"/>
    </row>
    <row r="769" customFormat="false" ht="15" hidden="false" customHeight="true" outlineLevel="0" collapsed="false">
      <c r="B769" s="21"/>
      <c r="C769" s="25"/>
      <c r="D769" s="25"/>
      <c r="E769" s="25"/>
      <c r="F769" s="23"/>
      <c r="G769" s="24"/>
    </row>
    <row r="770" customFormat="false" ht="15" hidden="false" customHeight="true" outlineLevel="0" collapsed="false">
      <c r="B770" s="21"/>
      <c r="C770" s="25"/>
      <c r="D770" s="25"/>
      <c r="E770" s="25"/>
      <c r="F770" s="23"/>
      <c r="G770" s="24"/>
    </row>
    <row r="771" customFormat="false" ht="15" hidden="false" customHeight="true" outlineLevel="0" collapsed="false">
      <c r="B771" s="21"/>
      <c r="C771" s="25"/>
      <c r="D771" s="25"/>
      <c r="E771" s="25"/>
      <c r="F771" s="23"/>
      <c r="G771" s="24"/>
    </row>
    <row r="772" customFormat="false" ht="15" hidden="false" customHeight="true" outlineLevel="0" collapsed="false">
      <c r="B772" s="21"/>
      <c r="C772" s="25"/>
      <c r="D772" s="25"/>
      <c r="E772" s="25"/>
      <c r="F772" s="23"/>
      <c r="G772" s="24"/>
    </row>
    <row r="773" customFormat="false" ht="15" hidden="false" customHeight="true" outlineLevel="0" collapsed="false">
      <c r="B773" s="21"/>
      <c r="C773" s="25"/>
      <c r="D773" s="25"/>
      <c r="E773" s="25"/>
      <c r="F773" s="23"/>
      <c r="G773" s="24"/>
    </row>
    <row r="774" customFormat="false" ht="15" hidden="false" customHeight="true" outlineLevel="0" collapsed="false">
      <c r="B774" s="21"/>
      <c r="C774" s="25"/>
      <c r="D774" s="25"/>
      <c r="E774" s="25"/>
      <c r="F774" s="23"/>
      <c r="G774" s="24"/>
    </row>
    <row r="775" customFormat="false" ht="15" hidden="false" customHeight="true" outlineLevel="0" collapsed="false">
      <c r="B775" s="21"/>
      <c r="C775" s="25"/>
      <c r="D775" s="25"/>
      <c r="E775" s="25"/>
      <c r="F775" s="23"/>
      <c r="G775" s="24"/>
    </row>
    <row r="776" customFormat="false" ht="15" hidden="false" customHeight="true" outlineLevel="0" collapsed="false">
      <c r="B776" s="21"/>
      <c r="C776" s="25"/>
      <c r="D776" s="25"/>
      <c r="E776" s="25"/>
      <c r="F776" s="23"/>
      <c r="G776" s="24"/>
    </row>
    <row r="777" customFormat="false" ht="15" hidden="false" customHeight="true" outlineLevel="0" collapsed="false">
      <c r="B777" s="21"/>
      <c r="C777" s="25"/>
      <c r="D777" s="25"/>
      <c r="E777" s="25"/>
      <c r="F777" s="23"/>
      <c r="G777" s="24"/>
    </row>
    <row r="778" customFormat="false" ht="15" hidden="false" customHeight="true" outlineLevel="0" collapsed="false">
      <c r="B778" s="21"/>
      <c r="C778" s="25"/>
      <c r="D778" s="25"/>
      <c r="E778" s="25"/>
      <c r="F778" s="23"/>
      <c r="G778" s="24"/>
    </row>
    <row r="779" customFormat="false" ht="15" hidden="false" customHeight="true" outlineLevel="0" collapsed="false">
      <c r="B779" s="21"/>
      <c r="C779" s="25"/>
      <c r="D779" s="25"/>
      <c r="E779" s="25"/>
      <c r="F779" s="23"/>
      <c r="G779" s="24"/>
    </row>
    <row r="780" customFormat="false" ht="15" hidden="false" customHeight="true" outlineLevel="0" collapsed="false">
      <c r="B780" s="21"/>
      <c r="C780" s="25"/>
      <c r="D780" s="25"/>
      <c r="E780" s="25"/>
      <c r="F780" s="23"/>
      <c r="G780" s="24"/>
    </row>
    <row r="781" customFormat="false" ht="15" hidden="false" customHeight="true" outlineLevel="0" collapsed="false">
      <c r="B781" s="21"/>
      <c r="C781" s="25"/>
      <c r="D781" s="25"/>
      <c r="E781" s="25"/>
      <c r="F781" s="23"/>
      <c r="G781" s="24"/>
    </row>
    <row r="782" customFormat="false" ht="15" hidden="false" customHeight="true" outlineLevel="0" collapsed="false">
      <c r="B782" s="21"/>
      <c r="C782" s="25"/>
      <c r="D782" s="25"/>
      <c r="E782" s="25"/>
      <c r="F782" s="23"/>
      <c r="G782" s="24"/>
    </row>
    <row r="783" customFormat="false" ht="15" hidden="false" customHeight="true" outlineLevel="0" collapsed="false">
      <c r="B783" s="21"/>
      <c r="C783" s="25"/>
      <c r="D783" s="25"/>
      <c r="E783" s="25"/>
      <c r="F783" s="23"/>
      <c r="G783" s="24"/>
    </row>
    <row r="784" customFormat="false" ht="15" hidden="false" customHeight="true" outlineLevel="0" collapsed="false">
      <c r="B784" s="21"/>
      <c r="C784" s="25"/>
      <c r="D784" s="25"/>
      <c r="E784" s="25"/>
      <c r="F784" s="23"/>
      <c r="G784" s="24"/>
    </row>
    <row r="785" customFormat="false" ht="15" hidden="false" customHeight="true" outlineLevel="0" collapsed="false">
      <c r="B785" s="21"/>
      <c r="C785" s="25"/>
      <c r="D785" s="25"/>
      <c r="E785" s="25"/>
      <c r="F785" s="23"/>
      <c r="G785" s="24"/>
    </row>
    <row r="786" customFormat="false" ht="15" hidden="false" customHeight="true" outlineLevel="0" collapsed="false">
      <c r="B786" s="21"/>
      <c r="C786" s="25"/>
      <c r="D786" s="25"/>
      <c r="E786" s="25"/>
      <c r="F786" s="23"/>
      <c r="G786" s="24"/>
    </row>
    <row r="787" customFormat="false" ht="15" hidden="false" customHeight="true" outlineLevel="0" collapsed="false">
      <c r="B787" s="21"/>
      <c r="C787" s="25"/>
      <c r="D787" s="25"/>
      <c r="E787" s="25"/>
      <c r="F787" s="23"/>
      <c r="G787" s="24"/>
    </row>
    <row r="788" customFormat="false" ht="15" hidden="false" customHeight="true" outlineLevel="0" collapsed="false">
      <c r="B788" s="21"/>
      <c r="C788" s="25"/>
      <c r="D788" s="25"/>
      <c r="E788" s="25"/>
      <c r="F788" s="23"/>
      <c r="G788" s="24"/>
    </row>
    <row r="789" customFormat="false" ht="15" hidden="false" customHeight="true" outlineLevel="0" collapsed="false">
      <c r="B789" s="21"/>
      <c r="C789" s="25"/>
      <c r="D789" s="25"/>
      <c r="E789" s="25"/>
      <c r="F789" s="23"/>
      <c r="G789" s="24"/>
    </row>
    <row r="790" customFormat="false" ht="15" hidden="false" customHeight="true" outlineLevel="0" collapsed="false">
      <c r="B790" s="21"/>
      <c r="C790" s="25"/>
      <c r="D790" s="25"/>
      <c r="E790" s="25"/>
      <c r="F790" s="23"/>
      <c r="G790" s="24"/>
    </row>
    <row r="791" customFormat="false" ht="15" hidden="false" customHeight="true" outlineLevel="0" collapsed="false">
      <c r="B791" s="21"/>
      <c r="C791" s="25"/>
      <c r="D791" s="25"/>
      <c r="E791" s="25"/>
      <c r="F791" s="23"/>
      <c r="G791" s="24"/>
    </row>
    <row r="792" customFormat="false" ht="15" hidden="false" customHeight="true" outlineLevel="0" collapsed="false">
      <c r="B792" s="21"/>
      <c r="C792" s="25"/>
      <c r="D792" s="25"/>
      <c r="E792" s="25"/>
      <c r="F792" s="23"/>
      <c r="G792" s="24"/>
    </row>
    <row r="793" customFormat="false" ht="15" hidden="false" customHeight="true" outlineLevel="0" collapsed="false">
      <c r="B793" s="21"/>
      <c r="C793" s="25"/>
      <c r="D793" s="25"/>
      <c r="E793" s="25"/>
      <c r="F793" s="23"/>
      <c r="G793" s="24"/>
    </row>
    <row r="794" customFormat="false" ht="15" hidden="false" customHeight="true" outlineLevel="0" collapsed="false">
      <c r="B794" s="21"/>
      <c r="C794" s="25"/>
      <c r="D794" s="25"/>
      <c r="E794" s="25"/>
      <c r="F794" s="23"/>
      <c r="G794" s="24"/>
    </row>
    <row r="795" customFormat="false" ht="15" hidden="false" customHeight="true" outlineLevel="0" collapsed="false">
      <c r="B795" s="21"/>
      <c r="C795" s="25"/>
      <c r="D795" s="25"/>
      <c r="E795" s="25"/>
      <c r="F795" s="23"/>
      <c r="G795" s="24"/>
    </row>
    <row r="796" customFormat="false" ht="15" hidden="false" customHeight="true" outlineLevel="0" collapsed="false">
      <c r="B796" s="21"/>
      <c r="C796" s="25"/>
      <c r="D796" s="25"/>
      <c r="E796" s="25"/>
      <c r="F796" s="23"/>
      <c r="G796" s="24"/>
    </row>
    <row r="797" customFormat="false" ht="15" hidden="false" customHeight="true" outlineLevel="0" collapsed="false">
      <c r="B797" s="21"/>
      <c r="C797" s="25"/>
      <c r="D797" s="25"/>
      <c r="E797" s="25"/>
      <c r="F797" s="23"/>
      <c r="G797" s="24"/>
    </row>
    <row r="798" customFormat="false" ht="15" hidden="false" customHeight="true" outlineLevel="0" collapsed="false">
      <c r="B798" s="21"/>
      <c r="C798" s="25"/>
      <c r="D798" s="25"/>
      <c r="E798" s="25"/>
      <c r="F798" s="23"/>
      <c r="G798" s="24"/>
    </row>
    <row r="799" customFormat="false" ht="15" hidden="false" customHeight="true" outlineLevel="0" collapsed="false">
      <c r="B799" s="21"/>
      <c r="C799" s="25"/>
      <c r="D799" s="25"/>
      <c r="E799" s="25"/>
      <c r="F799" s="23"/>
      <c r="G799" s="24"/>
    </row>
    <row r="800" customFormat="false" ht="15" hidden="false" customHeight="true" outlineLevel="0" collapsed="false">
      <c r="B800" s="21"/>
      <c r="C800" s="25"/>
      <c r="D800" s="25"/>
      <c r="E800" s="25"/>
      <c r="F800" s="23"/>
      <c r="G800" s="24"/>
    </row>
    <row r="801" customFormat="false" ht="15" hidden="false" customHeight="true" outlineLevel="0" collapsed="false">
      <c r="B801" s="21"/>
      <c r="C801" s="25"/>
      <c r="D801" s="25"/>
      <c r="E801" s="25"/>
      <c r="F801" s="23"/>
      <c r="G801" s="24"/>
    </row>
    <row r="802" customFormat="false" ht="15" hidden="false" customHeight="true" outlineLevel="0" collapsed="false">
      <c r="B802" s="21"/>
      <c r="C802" s="25"/>
      <c r="D802" s="25"/>
      <c r="E802" s="25"/>
      <c r="F802" s="23"/>
      <c r="G802" s="24"/>
    </row>
    <row r="803" customFormat="false" ht="15" hidden="false" customHeight="true" outlineLevel="0" collapsed="false">
      <c r="B803" s="21"/>
      <c r="C803" s="25"/>
      <c r="D803" s="25"/>
      <c r="E803" s="25"/>
      <c r="F803" s="23"/>
      <c r="G803" s="24"/>
    </row>
    <row r="804" customFormat="false" ht="15" hidden="false" customHeight="true" outlineLevel="0" collapsed="false">
      <c r="B804" s="21"/>
      <c r="C804" s="25"/>
      <c r="D804" s="25"/>
      <c r="E804" s="25"/>
      <c r="F804" s="23"/>
      <c r="G804" s="24"/>
    </row>
    <row r="805" customFormat="false" ht="15" hidden="false" customHeight="true" outlineLevel="0" collapsed="false">
      <c r="B805" s="21"/>
      <c r="C805" s="25"/>
      <c r="D805" s="25"/>
      <c r="E805" s="25"/>
      <c r="F805" s="23"/>
      <c r="G805" s="24"/>
    </row>
    <row r="806" customFormat="false" ht="15" hidden="false" customHeight="true" outlineLevel="0" collapsed="false">
      <c r="B806" s="21"/>
      <c r="C806" s="25"/>
      <c r="D806" s="25"/>
      <c r="E806" s="25"/>
      <c r="F806" s="23"/>
      <c r="G806" s="24"/>
    </row>
    <row r="807" customFormat="false" ht="15" hidden="false" customHeight="true" outlineLevel="0" collapsed="false">
      <c r="B807" s="21"/>
      <c r="C807" s="25"/>
      <c r="D807" s="25"/>
      <c r="E807" s="25"/>
      <c r="F807" s="23"/>
      <c r="G807" s="24"/>
    </row>
    <row r="808" customFormat="false" ht="15" hidden="false" customHeight="true" outlineLevel="0" collapsed="false">
      <c r="B808" s="21"/>
      <c r="C808" s="25"/>
      <c r="D808" s="25"/>
      <c r="E808" s="25"/>
      <c r="F808" s="23"/>
      <c r="G808" s="24"/>
    </row>
    <row r="809" customFormat="false" ht="15" hidden="false" customHeight="true" outlineLevel="0" collapsed="false">
      <c r="B809" s="21"/>
      <c r="C809" s="25"/>
      <c r="D809" s="25"/>
      <c r="E809" s="25"/>
      <c r="F809" s="23"/>
      <c r="G809" s="24"/>
    </row>
    <row r="810" customFormat="false" ht="15" hidden="false" customHeight="true" outlineLevel="0" collapsed="false">
      <c r="B810" s="21"/>
      <c r="C810" s="25"/>
      <c r="D810" s="25"/>
      <c r="E810" s="25"/>
      <c r="F810" s="23"/>
      <c r="G810" s="24"/>
    </row>
    <row r="811" customFormat="false" ht="15" hidden="false" customHeight="true" outlineLevel="0" collapsed="false">
      <c r="B811" s="21"/>
      <c r="C811" s="25"/>
      <c r="D811" s="25"/>
      <c r="E811" s="25"/>
      <c r="F811" s="23"/>
      <c r="G811" s="24"/>
    </row>
    <row r="812" customFormat="false" ht="15" hidden="false" customHeight="true" outlineLevel="0" collapsed="false">
      <c r="B812" s="21"/>
      <c r="C812" s="25"/>
      <c r="D812" s="25"/>
      <c r="E812" s="25"/>
      <c r="F812" s="23"/>
      <c r="G812" s="24"/>
    </row>
    <row r="813" customFormat="false" ht="15" hidden="false" customHeight="true" outlineLevel="0" collapsed="false">
      <c r="B813" s="21"/>
      <c r="C813" s="25"/>
      <c r="D813" s="25"/>
      <c r="E813" s="25"/>
      <c r="F813" s="23"/>
      <c r="G813" s="24"/>
    </row>
    <row r="814" customFormat="false" ht="15" hidden="false" customHeight="true" outlineLevel="0" collapsed="false">
      <c r="B814" s="21"/>
      <c r="C814" s="25"/>
      <c r="D814" s="25"/>
      <c r="E814" s="25"/>
      <c r="F814" s="23"/>
      <c r="G814" s="24"/>
    </row>
    <row r="815" customFormat="false" ht="15" hidden="false" customHeight="true" outlineLevel="0" collapsed="false">
      <c r="B815" s="21"/>
      <c r="C815" s="25"/>
      <c r="D815" s="25"/>
      <c r="E815" s="25"/>
      <c r="F815" s="23"/>
      <c r="G815" s="24"/>
    </row>
    <row r="816" customFormat="false" ht="15" hidden="false" customHeight="true" outlineLevel="0" collapsed="false">
      <c r="B816" s="21"/>
      <c r="C816" s="25"/>
      <c r="D816" s="25"/>
      <c r="E816" s="25"/>
      <c r="F816" s="23"/>
      <c r="G816" s="24"/>
    </row>
    <row r="817" customFormat="false" ht="15" hidden="false" customHeight="true" outlineLevel="0" collapsed="false">
      <c r="B817" s="21"/>
      <c r="C817" s="25"/>
      <c r="D817" s="25"/>
      <c r="E817" s="25"/>
      <c r="F817" s="23"/>
      <c r="G817" s="24"/>
    </row>
    <row r="818" customFormat="false" ht="15" hidden="false" customHeight="true" outlineLevel="0" collapsed="false">
      <c r="B818" s="21"/>
      <c r="C818" s="25"/>
      <c r="D818" s="25"/>
      <c r="E818" s="25"/>
      <c r="F818" s="23"/>
      <c r="G818" s="24"/>
    </row>
    <row r="819" customFormat="false" ht="15" hidden="false" customHeight="true" outlineLevel="0" collapsed="false">
      <c r="B819" s="21"/>
      <c r="C819" s="25"/>
      <c r="D819" s="25"/>
      <c r="E819" s="25"/>
      <c r="F819" s="23"/>
      <c r="G819" s="24"/>
    </row>
    <row r="820" customFormat="false" ht="15" hidden="false" customHeight="true" outlineLevel="0" collapsed="false">
      <c r="B820" s="21"/>
      <c r="C820" s="25"/>
      <c r="D820" s="25"/>
      <c r="E820" s="25"/>
      <c r="F820" s="23"/>
      <c r="G820" s="24"/>
    </row>
    <row r="821" customFormat="false" ht="15" hidden="false" customHeight="true" outlineLevel="0" collapsed="false">
      <c r="B821" s="21"/>
      <c r="C821" s="25"/>
      <c r="D821" s="25"/>
      <c r="E821" s="25"/>
      <c r="F821" s="23"/>
      <c r="G821" s="24"/>
    </row>
    <row r="822" customFormat="false" ht="15" hidden="false" customHeight="true" outlineLevel="0" collapsed="false">
      <c r="B822" s="21"/>
      <c r="C822" s="25"/>
      <c r="D822" s="25"/>
      <c r="E822" s="25"/>
      <c r="F822" s="23"/>
      <c r="G822" s="24"/>
    </row>
    <row r="823" customFormat="false" ht="15" hidden="false" customHeight="true" outlineLevel="0" collapsed="false">
      <c r="B823" s="21"/>
      <c r="C823" s="25"/>
      <c r="D823" s="25"/>
      <c r="E823" s="25"/>
      <c r="F823" s="23"/>
      <c r="G823" s="24"/>
    </row>
    <row r="824" customFormat="false" ht="15" hidden="false" customHeight="true" outlineLevel="0" collapsed="false">
      <c r="B824" s="21"/>
      <c r="C824" s="25"/>
      <c r="D824" s="25"/>
      <c r="E824" s="25"/>
      <c r="F824" s="23"/>
      <c r="G824" s="24"/>
    </row>
    <row r="825" customFormat="false" ht="15" hidden="false" customHeight="true" outlineLevel="0" collapsed="false">
      <c r="B825" s="21"/>
      <c r="C825" s="25"/>
      <c r="D825" s="25"/>
      <c r="E825" s="25"/>
      <c r="F825" s="23"/>
      <c r="G825" s="24"/>
    </row>
    <row r="826" customFormat="false" ht="15" hidden="false" customHeight="true" outlineLevel="0" collapsed="false">
      <c r="B826" s="21"/>
      <c r="C826" s="25"/>
      <c r="D826" s="25"/>
      <c r="E826" s="25"/>
      <c r="F826" s="23"/>
      <c r="G826" s="24"/>
    </row>
    <row r="827" customFormat="false" ht="15" hidden="false" customHeight="true" outlineLevel="0" collapsed="false">
      <c r="B827" s="21"/>
      <c r="C827" s="25"/>
      <c r="D827" s="25"/>
      <c r="E827" s="25"/>
      <c r="F827" s="23"/>
      <c r="G827" s="24"/>
    </row>
    <row r="828" customFormat="false" ht="15" hidden="false" customHeight="true" outlineLevel="0" collapsed="false">
      <c r="B828" s="21"/>
      <c r="C828" s="25"/>
      <c r="D828" s="25"/>
      <c r="E828" s="25"/>
      <c r="F828" s="23"/>
      <c r="G828" s="24"/>
    </row>
    <row r="829" customFormat="false" ht="15" hidden="false" customHeight="true" outlineLevel="0" collapsed="false">
      <c r="B829" s="21"/>
      <c r="C829" s="25"/>
      <c r="D829" s="25"/>
      <c r="E829" s="25"/>
      <c r="F829" s="23"/>
      <c r="G829" s="24"/>
    </row>
    <row r="830" customFormat="false" ht="15" hidden="false" customHeight="true" outlineLevel="0" collapsed="false">
      <c r="B830" s="21"/>
      <c r="C830" s="25"/>
      <c r="D830" s="25"/>
      <c r="E830" s="25"/>
      <c r="F830" s="23"/>
      <c r="G830" s="24"/>
    </row>
    <row r="831" customFormat="false" ht="15" hidden="false" customHeight="true" outlineLevel="0" collapsed="false">
      <c r="B831" s="21"/>
      <c r="C831" s="25"/>
      <c r="D831" s="25"/>
      <c r="E831" s="25"/>
      <c r="F831" s="23"/>
      <c r="G831" s="24"/>
    </row>
    <row r="832" customFormat="false" ht="15" hidden="false" customHeight="true" outlineLevel="0" collapsed="false">
      <c r="B832" s="21"/>
      <c r="C832" s="25"/>
      <c r="D832" s="25"/>
      <c r="E832" s="25"/>
      <c r="F832" s="23"/>
      <c r="G832" s="24"/>
    </row>
    <row r="833" customFormat="false" ht="15" hidden="false" customHeight="true" outlineLevel="0" collapsed="false">
      <c r="B833" s="21"/>
      <c r="C833" s="25"/>
      <c r="D833" s="25"/>
      <c r="E833" s="25"/>
      <c r="F833" s="23"/>
      <c r="G833" s="24"/>
    </row>
    <row r="834" customFormat="false" ht="15" hidden="false" customHeight="true" outlineLevel="0" collapsed="false">
      <c r="B834" s="21"/>
      <c r="C834" s="25"/>
      <c r="D834" s="25"/>
      <c r="E834" s="25"/>
      <c r="F834" s="23"/>
      <c r="G834" s="24"/>
    </row>
    <row r="835" customFormat="false" ht="15" hidden="false" customHeight="true" outlineLevel="0" collapsed="false">
      <c r="B835" s="21"/>
      <c r="C835" s="25"/>
      <c r="D835" s="25"/>
      <c r="E835" s="25"/>
      <c r="F835" s="23"/>
      <c r="G835" s="24"/>
    </row>
    <row r="836" customFormat="false" ht="15" hidden="false" customHeight="true" outlineLevel="0" collapsed="false">
      <c r="B836" s="21"/>
      <c r="C836" s="25"/>
      <c r="D836" s="25"/>
      <c r="E836" s="25"/>
      <c r="F836" s="23"/>
      <c r="G836" s="24"/>
    </row>
    <row r="837" customFormat="false" ht="15" hidden="false" customHeight="true" outlineLevel="0" collapsed="false">
      <c r="B837" s="21"/>
      <c r="C837" s="25"/>
      <c r="D837" s="25"/>
      <c r="E837" s="25"/>
      <c r="F837" s="23"/>
      <c r="G837" s="24"/>
    </row>
    <row r="838" customFormat="false" ht="15" hidden="false" customHeight="true" outlineLevel="0" collapsed="false">
      <c r="B838" s="21"/>
      <c r="C838" s="25"/>
      <c r="D838" s="25"/>
      <c r="E838" s="25"/>
      <c r="F838" s="23"/>
      <c r="G838" s="24"/>
    </row>
    <row r="839" customFormat="false" ht="15" hidden="false" customHeight="true" outlineLevel="0" collapsed="false">
      <c r="B839" s="21"/>
      <c r="C839" s="25"/>
      <c r="D839" s="25"/>
      <c r="E839" s="25"/>
      <c r="F839" s="23"/>
      <c r="G839" s="24"/>
    </row>
    <row r="840" customFormat="false" ht="15" hidden="false" customHeight="true" outlineLevel="0" collapsed="false">
      <c r="B840" s="21"/>
      <c r="C840" s="25"/>
      <c r="D840" s="25"/>
      <c r="E840" s="25"/>
      <c r="F840" s="23"/>
      <c r="G840" s="24"/>
    </row>
    <row r="841" customFormat="false" ht="15" hidden="false" customHeight="true" outlineLevel="0" collapsed="false">
      <c r="B841" s="21"/>
      <c r="C841" s="25"/>
      <c r="D841" s="25"/>
      <c r="E841" s="25"/>
      <c r="F841" s="23"/>
      <c r="G841" s="24"/>
    </row>
    <row r="842" customFormat="false" ht="15" hidden="false" customHeight="true" outlineLevel="0" collapsed="false">
      <c r="B842" s="21"/>
      <c r="C842" s="25"/>
      <c r="D842" s="25"/>
      <c r="E842" s="25"/>
      <c r="F842" s="23"/>
      <c r="G842" s="24"/>
    </row>
    <row r="843" customFormat="false" ht="15" hidden="false" customHeight="true" outlineLevel="0" collapsed="false">
      <c r="B843" s="21"/>
      <c r="C843" s="25"/>
      <c r="D843" s="25"/>
      <c r="E843" s="25"/>
      <c r="F843" s="23"/>
      <c r="G843" s="24"/>
    </row>
    <row r="844" customFormat="false" ht="15" hidden="false" customHeight="true" outlineLevel="0" collapsed="false">
      <c r="B844" s="21"/>
      <c r="C844" s="25"/>
      <c r="D844" s="25"/>
      <c r="E844" s="25"/>
      <c r="F844" s="23"/>
      <c r="G844" s="24"/>
    </row>
    <row r="845" customFormat="false" ht="15" hidden="false" customHeight="true" outlineLevel="0" collapsed="false">
      <c r="B845" s="21"/>
      <c r="C845" s="25"/>
      <c r="D845" s="25"/>
      <c r="E845" s="25"/>
      <c r="F845" s="23"/>
      <c r="G845" s="24"/>
    </row>
    <row r="846" customFormat="false" ht="15" hidden="false" customHeight="true" outlineLevel="0" collapsed="false">
      <c r="B846" s="21"/>
      <c r="C846" s="25"/>
      <c r="D846" s="25"/>
      <c r="E846" s="25"/>
      <c r="F846" s="23"/>
      <c r="G846" s="24"/>
    </row>
    <row r="847" customFormat="false" ht="15" hidden="false" customHeight="true" outlineLevel="0" collapsed="false">
      <c r="B847" s="21"/>
      <c r="C847" s="25"/>
      <c r="D847" s="25"/>
      <c r="E847" s="25"/>
      <c r="F847" s="23"/>
      <c r="G847" s="24"/>
    </row>
    <row r="848" customFormat="false" ht="15" hidden="false" customHeight="true" outlineLevel="0" collapsed="false">
      <c r="B848" s="21"/>
      <c r="C848" s="25"/>
      <c r="D848" s="25"/>
      <c r="E848" s="25"/>
      <c r="F848" s="23"/>
      <c r="G848" s="24"/>
    </row>
    <row r="849" customFormat="false" ht="15" hidden="false" customHeight="true" outlineLevel="0" collapsed="false">
      <c r="B849" s="21"/>
      <c r="C849" s="25"/>
      <c r="D849" s="25"/>
      <c r="E849" s="25"/>
      <c r="F849" s="23"/>
      <c r="G849" s="24"/>
    </row>
    <row r="850" customFormat="false" ht="15" hidden="false" customHeight="true" outlineLevel="0" collapsed="false">
      <c r="B850" s="21"/>
      <c r="C850" s="25"/>
      <c r="D850" s="25"/>
      <c r="E850" s="25"/>
      <c r="F850" s="23"/>
      <c r="G850" s="24"/>
    </row>
    <row r="851" customFormat="false" ht="15" hidden="false" customHeight="true" outlineLevel="0" collapsed="false">
      <c r="B851" s="21"/>
      <c r="C851" s="25"/>
      <c r="D851" s="25"/>
      <c r="E851" s="25"/>
      <c r="F851" s="23"/>
      <c r="G851" s="24"/>
    </row>
    <row r="852" customFormat="false" ht="15" hidden="false" customHeight="true" outlineLevel="0" collapsed="false">
      <c r="B852" s="21"/>
      <c r="C852" s="25"/>
      <c r="D852" s="25"/>
      <c r="E852" s="25"/>
      <c r="F852" s="23"/>
      <c r="G852" s="24"/>
    </row>
    <row r="853" customFormat="false" ht="15" hidden="false" customHeight="true" outlineLevel="0" collapsed="false">
      <c r="B853" s="21"/>
      <c r="C853" s="25"/>
      <c r="D853" s="25"/>
      <c r="E853" s="25"/>
      <c r="F853" s="23"/>
      <c r="G853" s="24"/>
    </row>
    <row r="854" customFormat="false" ht="15" hidden="false" customHeight="true" outlineLevel="0" collapsed="false">
      <c r="B854" s="21"/>
      <c r="C854" s="25"/>
      <c r="D854" s="25"/>
      <c r="E854" s="25"/>
      <c r="F854" s="23"/>
      <c r="G854" s="24"/>
    </row>
    <row r="855" customFormat="false" ht="15" hidden="false" customHeight="true" outlineLevel="0" collapsed="false">
      <c r="B855" s="21"/>
      <c r="C855" s="25"/>
      <c r="D855" s="25"/>
      <c r="E855" s="25"/>
      <c r="F855" s="23"/>
      <c r="G855" s="24"/>
    </row>
    <row r="856" customFormat="false" ht="15" hidden="false" customHeight="true" outlineLevel="0" collapsed="false">
      <c r="B856" s="21"/>
      <c r="C856" s="25"/>
      <c r="D856" s="25"/>
      <c r="E856" s="25"/>
      <c r="F856" s="23"/>
      <c r="G856" s="24"/>
    </row>
    <row r="857" customFormat="false" ht="15" hidden="false" customHeight="true" outlineLevel="0" collapsed="false">
      <c r="B857" s="21"/>
      <c r="C857" s="25"/>
      <c r="D857" s="25"/>
      <c r="E857" s="25"/>
      <c r="F857" s="23"/>
      <c r="G857" s="24"/>
    </row>
    <row r="858" customFormat="false" ht="15" hidden="false" customHeight="true" outlineLevel="0" collapsed="false">
      <c r="B858" s="21"/>
      <c r="C858" s="25"/>
      <c r="D858" s="25"/>
      <c r="E858" s="25"/>
      <c r="F858" s="23"/>
      <c r="G858" s="24"/>
    </row>
    <row r="859" customFormat="false" ht="15" hidden="false" customHeight="true" outlineLevel="0" collapsed="false">
      <c r="B859" s="21"/>
      <c r="C859" s="25"/>
      <c r="D859" s="25"/>
      <c r="E859" s="25"/>
      <c r="F859" s="23"/>
      <c r="G859" s="24"/>
    </row>
    <row r="860" customFormat="false" ht="15" hidden="false" customHeight="true" outlineLevel="0" collapsed="false">
      <c r="B860" s="21"/>
      <c r="C860" s="25"/>
      <c r="D860" s="25"/>
      <c r="E860" s="25"/>
      <c r="F860" s="23"/>
      <c r="G860" s="24"/>
    </row>
    <row r="861" customFormat="false" ht="15" hidden="false" customHeight="true" outlineLevel="0" collapsed="false">
      <c r="B861" s="21"/>
      <c r="C861" s="25"/>
      <c r="D861" s="25"/>
      <c r="E861" s="25"/>
      <c r="F861" s="23"/>
      <c r="G861" s="24"/>
    </row>
    <row r="862" customFormat="false" ht="15" hidden="false" customHeight="true" outlineLevel="0" collapsed="false">
      <c r="B862" s="21"/>
      <c r="C862" s="25"/>
      <c r="D862" s="25"/>
      <c r="E862" s="25"/>
      <c r="F862" s="23"/>
      <c r="G862" s="24"/>
    </row>
    <row r="863" customFormat="false" ht="15" hidden="false" customHeight="true" outlineLevel="0" collapsed="false">
      <c r="B863" s="21"/>
      <c r="C863" s="25"/>
      <c r="D863" s="25"/>
      <c r="E863" s="25"/>
      <c r="F863" s="23"/>
      <c r="G863" s="24"/>
    </row>
    <row r="864" customFormat="false" ht="15" hidden="false" customHeight="true" outlineLevel="0" collapsed="false">
      <c r="B864" s="21"/>
      <c r="C864" s="25"/>
      <c r="D864" s="25"/>
      <c r="E864" s="25"/>
      <c r="F864" s="23"/>
      <c r="G864" s="24"/>
    </row>
    <row r="865" customFormat="false" ht="15" hidden="false" customHeight="true" outlineLevel="0" collapsed="false">
      <c r="B865" s="21"/>
      <c r="C865" s="25"/>
      <c r="D865" s="25"/>
      <c r="E865" s="25"/>
      <c r="F865" s="23"/>
      <c r="G865" s="24"/>
    </row>
    <row r="866" customFormat="false" ht="15" hidden="false" customHeight="true" outlineLevel="0" collapsed="false">
      <c r="B866" s="21"/>
      <c r="C866" s="25"/>
      <c r="D866" s="25"/>
      <c r="E866" s="25"/>
      <c r="F866" s="23"/>
      <c r="G866" s="24"/>
    </row>
    <row r="867" customFormat="false" ht="15" hidden="false" customHeight="true" outlineLevel="0" collapsed="false">
      <c r="B867" s="21"/>
      <c r="C867" s="25"/>
      <c r="D867" s="25"/>
      <c r="E867" s="25"/>
      <c r="F867" s="23"/>
      <c r="G867" s="24"/>
    </row>
    <row r="868" customFormat="false" ht="15" hidden="false" customHeight="true" outlineLevel="0" collapsed="false">
      <c r="B868" s="21"/>
      <c r="C868" s="25"/>
      <c r="D868" s="25"/>
      <c r="E868" s="25"/>
      <c r="F868" s="23"/>
      <c r="G868" s="24"/>
    </row>
    <row r="869" customFormat="false" ht="15" hidden="false" customHeight="true" outlineLevel="0" collapsed="false">
      <c r="B869" s="21"/>
      <c r="C869" s="25"/>
      <c r="D869" s="25"/>
      <c r="E869" s="25"/>
      <c r="F869" s="23"/>
      <c r="G869" s="24"/>
    </row>
    <row r="870" customFormat="false" ht="15" hidden="false" customHeight="true" outlineLevel="0" collapsed="false">
      <c r="B870" s="21"/>
      <c r="C870" s="25"/>
      <c r="D870" s="25"/>
      <c r="E870" s="25"/>
      <c r="F870" s="23"/>
      <c r="G870" s="24"/>
    </row>
    <row r="871" customFormat="false" ht="15" hidden="false" customHeight="true" outlineLevel="0" collapsed="false">
      <c r="B871" s="21"/>
      <c r="C871" s="25"/>
      <c r="D871" s="25"/>
      <c r="E871" s="25"/>
      <c r="F871" s="23"/>
      <c r="G871" s="24"/>
    </row>
    <row r="872" customFormat="false" ht="15" hidden="false" customHeight="true" outlineLevel="0" collapsed="false">
      <c r="B872" s="21"/>
      <c r="C872" s="25"/>
      <c r="D872" s="25"/>
      <c r="E872" s="25"/>
      <c r="F872" s="23"/>
      <c r="G872" s="24"/>
    </row>
    <row r="873" customFormat="false" ht="15" hidden="false" customHeight="true" outlineLevel="0" collapsed="false">
      <c r="B873" s="21"/>
      <c r="C873" s="25"/>
      <c r="D873" s="25"/>
      <c r="E873" s="25"/>
      <c r="F873" s="23"/>
      <c r="G873" s="24"/>
    </row>
    <row r="874" customFormat="false" ht="15" hidden="false" customHeight="true" outlineLevel="0" collapsed="false">
      <c r="B874" s="21"/>
      <c r="C874" s="25"/>
      <c r="D874" s="25"/>
      <c r="E874" s="25"/>
      <c r="F874" s="23"/>
      <c r="G874" s="24"/>
    </row>
    <row r="875" customFormat="false" ht="15" hidden="false" customHeight="true" outlineLevel="0" collapsed="false">
      <c r="B875" s="21"/>
      <c r="C875" s="25"/>
      <c r="D875" s="25"/>
      <c r="E875" s="25"/>
      <c r="F875" s="23"/>
      <c r="G875" s="24"/>
    </row>
    <row r="876" customFormat="false" ht="15" hidden="false" customHeight="true" outlineLevel="0" collapsed="false">
      <c r="B876" s="21"/>
      <c r="C876" s="25"/>
      <c r="D876" s="25"/>
      <c r="E876" s="25"/>
      <c r="F876" s="23"/>
      <c r="G876" s="24"/>
    </row>
    <row r="877" customFormat="false" ht="15" hidden="false" customHeight="true" outlineLevel="0" collapsed="false">
      <c r="B877" s="21"/>
      <c r="C877" s="25"/>
      <c r="D877" s="25"/>
      <c r="E877" s="25"/>
      <c r="F877" s="23"/>
      <c r="G877" s="24"/>
    </row>
    <row r="878" customFormat="false" ht="15" hidden="false" customHeight="true" outlineLevel="0" collapsed="false">
      <c r="B878" s="21"/>
      <c r="C878" s="25"/>
      <c r="D878" s="25"/>
      <c r="E878" s="25"/>
      <c r="F878" s="23"/>
      <c r="G878" s="24"/>
    </row>
    <row r="879" customFormat="false" ht="15" hidden="false" customHeight="true" outlineLevel="0" collapsed="false">
      <c r="B879" s="21"/>
      <c r="C879" s="25"/>
      <c r="D879" s="25"/>
      <c r="E879" s="25"/>
      <c r="F879" s="23"/>
      <c r="G879" s="24"/>
    </row>
    <row r="880" customFormat="false" ht="15" hidden="false" customHeight="true" outlineLevel="0" collapsed="false">
      <c r="B880" s="21"/>
      <c r="C880" s="25"/>
      <c r="D880" s="25"/>
      <c r="E880" s="25"/>
      <c r="F880" s="23"/>
      <c r="G880" s="24"/>
    </row>
    <row r="881" customFormat="false" ht="15" hidden="false" customHeight="true" outlineLevel="0" collapsed="false">
      <c r="B881" s="21"/>
      <c r="C881" s="25"/>
      <c r="D881" s="25"/>
      <c r="E881" s="25"/>
      <c r="F881" s="23"/>
      <c r="G881" s="24"/>
    </row>
    <row r="882" customFormat="false" ht="15" hidden="false" customHeight="true" outlineLevel="0" collapsed="false">
      <c r="B882" s="21"/>
      <c r="C882" s="25"/>
      <c r="D882" s="25"/>
      <c r="E882" s="25"/>
      <c r="F882" s="23"/>
      <c r="G882" s="24"/>
    </row>
    <row r="883" customFormat="false" ht="15" hidden="false" customHeight="true" outlineLevel="0" collapsed="false">
      <c r="B883" s="21"/>
      <c r="C883" s="25"/>
      <c r="D883" s="25"/>
      <c r="E883" s="25"/>
      <c r="F883" s="23"/>
      <c r="G883" s="24"/>
    </row>
    <row r="884" customFormat="false" ht="15" hidden="false" customHeight="true" outlineLevel="0" collapsed="false">
      <c r="B884" s="21"/>
      <c r="C884" s="25"/>
      <c r="D884" s="25"/>
      <c r="E884" s="25"/>
      <c r="F884" s="23"/>
      <c r="G884" s="24"/>
    </row>
    <row r="885" customFormat="false" ht="15" hidden="false" customHeight="true" outlineLevel="0" collapsed="false">
      <c r="B885" s="21"/>
      <c r="C885" s="25"/>
      <c r="D885" s="25"/>
      <c r="E885" s="25"/>
      <c r="F885" s="23"/>
      <c r="G885" s="24"/>
    </row>
    <row r="886" customFormat="false" ht="15" hidden="false" customHeight="true" outlineLevel="0" collapsed="false">
      <c r="B886" s="21"/>
      <c r="C886" s="25"/>
      <c r="D886" s="25"/>
      <c r="E886" s="25"/>
      <c r="F886" s="23"/>
      <c r="G886" s="24"/>
    </row>
    <row r="887" customFormat="false" ht="15" hidden="false" customHeight="true" outlineLevel="0" collapsed="false">
      <c r="B887" s="21"/>
      <c r="C887" s="25"/>
      <c r="D887" s="25"/>
      <c r="E887" s="25"/>
      <c r="F887" s="23"/>
      <c r="G887" s="24"/>
    </row>
    <row r="888" customFormat="false" ht="15" hidden="false" customHeight="true" outlineLevel="0" collapsed="false">
      <c r="B888" s="21"/>
      <c r="C888" s="25"/>
      <c r="D888" s="25"/>
      <c r="E888" s="25"/>
      <c r="F888" s="23"/>
      <c r="G888" s="24"/>
    </row>
    <row r="889" customFormat="false" ht="15" hidden="false" customHeight="true" outlineLevel="0" collapsed="false">
      <c r="B889" s="21"/>
      <c r="C889" s="25"/>
      <c r="D889" s="25"/>
      <c r="E889" s="25"/>
      <c r="F889" s="23"/>
      <c r="G889" s="24"/>
    </row>
    <row r="890" customFormat="false" ht="15" hidden="false" customHeight="true" outlineLevel="0" collapsed="false">
      <c r="B890" s="21"/>
      <c r="C890" s="25"/>
      <c r="D890" s="25"/>
      <c r="E890" s="25"/>
      <c r="F890" s="23"/>
      <c r="G890" s="24"/>
    </row>
    <row r="891" customFormat="false" ht="15" hidden="false" customHeight="true" outlineLevel="0" collapsed="false">
      <c r="B891" s="21"/>
      <c r="C891" s="25"/>
      <c r="D891" s="25"/>
      <c r="E891" s="25"/>
      <c r="F891" s="23"/>
      <c r="G891" s="24"/>
    </row>
    <row r="892" customFormat="false" ht="15" hidden="false" customHeight="true" outlineLevel="0" collapsed="false">
      <c r="B892" s="21"/>
      <c r="C892" s="25"/>
      <c r="D892" s="25"/>
      <c r="E892" s="25"/>
      <c r="F892" s="23"/>
      <c r="G892" s="24"/>
    </row>
    <row r="893" customFormat="false" ht="15" hidden="false" customHeight="true" outlineLevel="0" collapsed="false">
      <c r="B893" s="21"/>
      <c r="C893" s="25"/>
      <c r="D893" s="25"/>
      <c r="E893" s="25"/>
      <c r="F893" s="23"/>
      <c r="G893" s="24"/>
    </row>
    <row r="894" customFormat="false" ht="15" hidden="false" customHeight="true" outlineLevel="0" collapsed="false">
      <c r="B894" s="21"/>
      <c r="C894" s="25"/>
      <c r="D894" s="25"/>
      <c r="E894" s="25"/>
      <c r="F894" s="23"/>
      <c r="G894" s="24"/>
    </row>
    <row r="895" customFormat="false" ht="15" hidden="false" customHeight="true" outlineLevel="0" collapsed="false">
      <c r="B895" s="21"/>
      <c r="C895" s="25"/>
      <c r="D895" s="25"/>
      <c r="E895" s="25"/>
      <c r="F895" s="23"/>
      <c r="G895" s="24"/>
    </row>
    <row r="896" customFormat="false" ht="15" hidden="false" customHeight="true" outlineLevel="0" collapsed="false">
      <c r="B896" s="21"/>
      <c r="C896" s="25"/>
      <c r="D896" s="25"/>
      <c r="E896" s="25"/>
      <c r="F896" s="23"/>
      <c r="G896" s="24"/>
    </row>
    <row r="897" customFormat="false" ht="15" hidden="false" customHeight="true" outlineLevel="0" collapsed="false">
      <c r="B897" s="21"/>
      <c r="C897" s="25"/>
      <c r="D897" s="25"/>
      <c r="E897" s="25"/>
      <c r="F897" s="23"/>
      <c r="G897" s="24"/>
    </row>
    <row r="898" customFormat="false" ht="15" hidden="false" customHeight="true" outlineLevel="0" collapsed="false">
      <c r="B898" s="21"/>
      <c r="C898" s="25"/>
      <c r="D898" s="25"/>
      <c r="E898" s="25"/>
      <c r="F898" s="23"/>
      <c r="G898" s="24"/>
    </row>
    <row r="899" customFormat="false" ht="15" hidden="false" customHeight="true" outlineLevel="0" collapsed="false">
      <c r="B899" s="21"/>
      <c r="C899" s="25"/>
      <c r="D899" s="25"/>
      <c r="E899" s="25"/>
      <c r="F899" s="23"/>
      <c r="G899" s="24"/>
    </row>
    <row r="900" customFormat="false" ht="15" hidden="false" customHeight="true" outlineLevel="0" collapsed="false">
      <c r="B900" s="21"/>
      <c r="C900" s="25"/>
      <c r="D900" s="25"/>
      <c r="E900" s="25"/>
      <c r="F900" s="23"/>
      <c r="G900" s="24"/>
    </row>
    <row r="901" customFormat="false" ht="15" hidden="false" customHeight="true" outlineLevel="0" collapsed="false">
      <c r="B901" s="21"/>
      <c r="C901" s="25"/>
      <c r="D901" s="25"/>
      <c r="E901" s="25"/>
      <c r="F901" s="23"/>
      <c r="G901" s="24"/>
    </row>
    <row r="902" customFormat="false" ht="15" hidden="false" customHeight="true" outlineLevel="0" collapsed="false">
      <c r="B902" s="21"/>
      <c r="C902" s="25"/>
      <c r="D902" s="25"/>
      <c r="E902" s="25"/>
      <c r="F902" s="23"/>
      <c r="G902" s="24"/>
    </row>
    <row r="903" customFormat="false" ht="15" hidden="false" customHeight="true" outlineLevel="0" collapsed="false">
      <c r="B903" s="21"/>
      <c r="C903" s="25"/>
      <c r="D903" s="25"/>
      <c r="E903" s="25"/>
      <c r="F903" s="23"/>
      <c r="G903" s="24"/>
    </row>
    <row r="904" customFormat="false" ht="15" hidden="false" customHeight="true" outlineLevel="0" collapsed="false">
      <c r="B904" s="21"/>
      <c r="C904" s="25"/>
      <c r="D904" s="25"/>
      <c r="E904" s="25"/>
      <c r="F904" s="23"/>
      <c r="G904" s="24"/>
    </row>
    <row r="905" customFormat="false" ht="15" hidden="false" customHeight="true" outlineLevel="0" collapsed="false">
      <c r="B905" s="21"/>
      <c r="C905" s="25"/>
      <c r="D905" s="25"/>
      <c r="E905" s="25"/>
      <c r="F905" s="23"/>
      <c r="G905" s="24"/>
    </row>
    <row r="906" customFormat="false" ht="15" hidden="false" customHeight="true" outlineLevel="0" collapsed="false">
      <c r="B906" s="21"/>
      <c r="C906" s="25"/>
      <c r="D906" s="25"/>
      <c r="E906" s="25"/>
      <c r="F906" s="23"/>
      <c r="G906" s="24"/>
    </row>
    <row r="907" customFormat="false" ht="15" hidden="false" customHeight="true" outlineLevel="0" collapsed="false">
      <c r="B907" s="21"/>
      <c r="C907" s="25"/>
      <c r="D907" s="25"/>
      <c r="E907" s="25"/>
      <c r="F907" s="23"/>
      <c r="G907" s="24"/>
    </row>
    <row r="908" customFormat="false" ht="15" hidden="false" customHeight="true" outlineLevel="0" collapsed="false">
      <c r="B908" s="21"/>
      <c r="C908" s="25"/>
      <c r="D908" s="25"/>
      <c r="E908" s="25"/>
      <c r="F908" s="23"/>
      <c r="G908" s="24"/>
    </row>
    <row r="909" customFormat="false" ht="15" hidden="false" customHeight="true" outlineLevel="0" collapsed="false">
      <c r="B909" s="21"/>
      <c r="C909" s="25"/>
      <c r="D909" s="25"/>
      <c r="E909" s="25"/>
      <c r="F909" s="23"/>
      <c r="G909" s="24"/>
    </row>
    <row r="910" customFormat="false" ht="15" hidden="false" customHeight="true" outlineLevel="0" collapsed="false">
      <c r="B910" s="21"/>
      <c r="C910" s="25"/>
      <c r="D910" s="25"/>
      <c r="E910" s="25"/>
      <c r="F910" s="23"/>
      <c r="G910" s="24"/>
    </row>
    <row r="911" customFormat="false" ht="15" hidden="false" customHeight="true" outlineLevel="0" collapsed="false">
      <c r="B911" s="21"/>
      <c r="C911" s="25"/>
      <c r="D911" s="25"/>
      <c r="E911" s="25"/>
      <c r="F911" s="23"/>
      <c r="G911" s="24"/>
    </row>
    <row r="912" customFormat="false" ht="15" hidden="false" customHeight="true" outlineLevel="0" collapsed="false">
      <c r="B912" s="21"/>
      <c r="C912" s="25"/>
      <c r="D912" s="25"/>
      <c r="E912" s="25"/>
      <c r="F912" s="23"/>
      <c r="G912" s="24"/>
    </row>
    <row r="913" customFormat="false" ht="15" hidden="false" customHeight="true" outlineLevel="0" collapsed="false">
      <c r="B913" s="21"/>
      <c r="C913" s="25"/>
      <c r="D913" s="25"/>
      <c r="E913" s="25"/>
      <c r="F913" s="23"/>
      <c r="G913" s="24"/>
    </row>
    <row r="914" customFormat="false" ht="15" hidden="false" customHeight="true" outlineLevel="0" collapsed="false">
      <c r="B914" s="21"/>
      <c r="C914" s="25"/>
      <c r="D914" s="25"/>
      <c r="E914" s="25"/>
      <c r="F914" s="23"/>
      <c r="G914" s="24"/>
    </row>
    <row r="915" customFormat="false" ht="15" hidden="false" customHeight="true" outlineLevel="0" collapsed="false">
      <c r="B915" s="21"/>
      <c r="C915" s="25"/>
      <c r="D915" s="25"/>
      <c r="E915" s="25"/>
      <c r="F915" s="23"/>
      <c r="G915" s="24"/>
    </row>
    <row r="916" customFormat="false" ht="15" hidden="false" customHeight="true" outlineLevel="0" collapsed="false">
      <c r="B916" s="21"/>
      <c r="C916" s="25"/>
      <c r="D916" s="25"/>
      <c r="E916" s="25"/>
      <c r="F916" s="23"/>
      <c r="G916" s="24"/>
    </row>
    <row r="917" customFormat="false" ht="15" hidden="false" customHeight="true" outlineLevel="0" collapsed="false">
      <c r="B917" s="21"/>
      <c r="C917" s="25"/>
      <c r="D917" s="25"/>
      <c r="E917" s="25"/>
      <c r="F917" s="23"/>
      <c r="G917" s="24"/>
    </row>
    <row r="918" customFormat="false" ht="15" hidden="false" customHeight="true" outlineLevel="0" collapsed="false">
      <c r="B918" s="21"/>
      <c r="C918" s="25"/>
      <c r="D918" s="25"/>
      <c r="E918" s="25"/>
      <c r="F918" s="23"/>
      <c r="G918" s="24"/>
    </row>
    <row r="919" customFormat="false" ht="15" hidden="false" customHeight="true" outlineLevel="0" collapsed="false">
      <c r="B919" s="21"/>
      <c r="C919" s="25"/>
      <c r="D919" s="25"/>
      <c r="E919" s="25"/>
      <c r="F919" s="23"/>
      <c r="G919" s="24"/>
    </row>
    <row r="920" customFormat="false" ht="15" hidden="false" customHeight="true" outlineLevel="0" collapsed="false">
      <c r="B920" s="21"/>
      <c r="C920" s="25"/>
      <c r="D920" s="25"/>
      <c r="E920" s="25"/>
      <c r="F920" s="23"/>
      <c r="G920" s="24"/>
    </row>
    <row r="921" customFormat="false" ht="15" hidden="false" customHeight="true" outlineLevel="0" collapsed="false">
      <c r="B921" s="21"/>
      <c r="C921" s="25"/>
      <c r="D921" s="25"/>
      <c r="E921" s="25"/>
      <c r="F921" s="23"/>
      <c r="G921" s="24"/>
    </row>
    <row r="922" customFormat="false" ht="15" hidden="false" customHeight="true" outlineLevel="0" collapsed="false">
      <c r="B922" s="21"/>
      <c r="C922" s="25"/>
      <c r="D922" s="25"/>
      <c r="E922" s="25"/>
      <c r="F922" s="23"/>
      <c r="G922" s="24"/>
    </row>
    <row r="923" customFormat="false" ht="15" hidden="false" customHeight="true" outlineLevel="0" collapsed="false">
      <c r="B923" s="21"/>
      <c r="C923" s="25"/>
      <c r="D923" s="25"/>
      <c r="E923" s="25"/>
      <c r="F923" s="23"/>
      <c r="G923" s="24"/>
    </row>
    <row r="924" customFormat="false" ht="15" hidden="false" customHeight="true" outlineLevel="0" collapsed="false">
      <c r="B924" s="21"/>
      <c r="C924" s="25"/>
      <c r="D924" s="25"/>
      <c r="E924" s="25"/>
      <c r="F924" s="23"/>
      <c r="G924" s="24"/>
    </row>
    <row r="925" customFormat="false" ht="15" hidden="false" customHeight="true" outlineLevel="0" collapsed="false">
      <c r="B925" s="21"/>
      <c r="C925" s="25"/>
      <c r="D925" s="25"/>
      <c r="E925" s="25"/>
      <c r="F925" s="23"/>
      <c r="G925" s="24"/>
    </row>
    <row r="926" customFormat="false" ht="15" hidden="false" customHeight="true" outlineLevel="0" collapsed="false">
      <c r="B926" s="21"/>
      <c r="C926" s="25"/>
      <c r="D926" s="25"/>
      <c r="E926" s="25"/>
      <c r="F926" s="23"/>
      <c r="G926" s="24"/>
    </row>
    <row r="927" customFormat="false" ht="15" hidden="false" customHeight="true" outlineLevel="0" collapsed="false">
      <c r="B927" s="21"/>
      <c r="C927" s="25"/>
      <c r="D927" s="25"/>
      <c r="E927" s="25"/>
      <c r="F927" s="23"/>
      <c r="G927" s="24"/>
    </row>
    <row r="928" customFormat="false" ht="15" hidden="false" customHeight="true" outlineLevel="0" collapsed="false">
      <c r="B928" s="21"/>
      <c r="C928" s="25"/>
      <c r="D928" s="25"/>
      <c r="E928" s="25"/>
      <c r="F928" s="23"/>
      <c r="G928" s="24"/>
    </row>
    <row r="929" customFormat="false" ht="15" hidden="false" customHeight="true" outlineLevel="0" collapsed="false">
      <c r="B929" s="21"/>
      <c r="C929" s="25"/>
      <c r="D929" s="25"/>
      <c r="E929" s="25"/>
      <c r="F929" s="23"/>
      <c r="G929" s="24"/>
    </row>
    <row r="930" customFormat="false" ht="15" hidden="false" customHeight="true" outlineLevel="0" collapsed="false">
      <c r="B930" s="21"/>
      <c r="C930" s="25"/>
      <c r="D930" s="25"/>
      <c r="E930" s="25"/>
      <c r="F930" s="23"/>
      <c r="G930" s="24"/>
    </row>
    <row r="931" customFormat="false" ht="15" hidden="false" customHeight="true" outlineLevel="0" collapsed="false">
      <c r="B931" s="21"/>
      <c r="C931" s="25"/>
      <c r="D931" s="25"/>
      <c r="E931" s="25"/>
      <c r="F931" s="23"/>
      <c r="G931" s="24"/>
    </row>
    <row r="932" customFormat="false" ht="15" hidden="false" customHeight="true" outlineLevel="0" collapsed="false">
      <c r="B932" s="21"/>
      <c r="C932" s="25"/>
      <c r="D932" s="25"/>
      <c r="E932" s="25"/>
      <c r="F932" s="23"/>
      <c r="G932" s="24"/>
    </row>
    <row r="933" customFormat="false" ht="15" hidden="false" customHeight="true" outlineLevel="0" collapsed="false">
      <c r="B933" s="21"/>
      <c r="C933" s="25"/>
      <c r="D933" s="25"/>
      <c r="E933" s="25"/>
      <c r="F933" s="23"/>
      <c r="G933" s="24"/>
    </row>
    <row r="934" customFormat="false" ht="15" hidden="false" customHeight="true" outlineLevel="0" collapsed="false">
      <c r="B934" s="21"/>
      <c r="C934" s="25"/>
      <c r="D934" s="25"/>
      <c r="E934" s="25"/>
      <c r="F934" s="23"/>
      <c r="G934" s="24"/>
    </row>
    <row r="935" customFormat="false" ht="15" hidden="false" customHeight="true" outlineLevel="0" collapsed="false">
      <c r="B935" s="21"/>
      <c r="C935" s="25"/>
      <c r="D935" s="25"/>
      <c r="E935" s="25"/>
      <c r="F935" s="23"/>
      <c r="G935" s="24"/>
    </row>
    <row r="936" customFormat="false" ht="15" hidden="false" customHeight="true" outlineLevel="0" collapsed="false">
      <c r="B936" s="21"/>
      <c r="C936" s="25"/>
      <c r="D936" s="25"/>
      <c r="E936" s="25"/>
      <c r="F936" s="23"/>
      <c r="G936" s="24"/>
    </row>
    <row r="937" customFormat="false" ht="15" hidden="false" customHeight="true" outlineLevel="0" collapsed="false">
      <c r="B937" s="21"/>
      <c r="C937" s="25"/>
      <c r="D937" s="25"/>
      <c r="E937" s="25"/>
      <c r="F937" s="23"/>
      <c r="G937" s="24"/>
    </row>
    <row r="938" customFormat="false" ht="15" hidden="false" customHeight="true" outlineLevel="0" collapsed="false">
      <c r="B938" s="21"/>
      <c r="C938" s="25"/>
      <c r="D938" s="25"/>
      <c r="E938" s="25"/>
      <c r="F938" s="23"/>
      <c r="G938" s="24"/>
    </row>
    <row r="939" customFormat="false" ht="15" hidden="false" customHeight="true" outlineLevel="0" collapsed="false">
      <c r="B939" s="21"/>
      <c r="C939" s="25"/>
      <c r="D939" s="25"/>
      <c r="E939" s="25"/>
      <c r="F939" s="23"/>
      <c r="G939" s="24"/>
    </row>
    <row r="940" customFormat="false" ht="15" hidden="false" customHeight="true" outlineLevel="0" collapsed="false">
      <c r="B940" s="21"/>
      <c r="C940" s="25"/>
      <c r="D940" s="25"/>
      <c r="E940" s="25"/>
      <c r="F940" s="23"/>
      <c r="G940" s="24"/>
    </row>
    <row r="941" customFormat="false" ht="15" hidden="false" customHeight="true" outlineLevel="0" collapsed="false">
      <c r="B941" s="21"/>
      <c r="C941" s="25"/>
      <c r="D941" s="25"/>
      <c r="E941" s="25"/>
      <c r="F941" s="23"/>
      <c r="G941" s="24"/>
    </row>
    <row r="942" customFormat="false" ht="15" hidden="false" customHeight="true" outlineLevel="0" collapsed="false">
      <c r="B942" s="21"/>
      <c r="C942" s="25"/>
      <c r="D942" s="25"/>
      <c r="E942" s="25"/>
      <c r="F942" s="23"/>
      <c r="G942" s="24"/>
    </row>
    <row r="943" customFormat="false" ht="15" hidden="false" customHeight="true" outlineLevel="0" collapsed="false">
      <c r="B943" s="21"/>
      <c r="C943" s="25"/>
      <c r="D943" s="25"/>
      <c r="E943" s="25"/>
      <c r="F943" s="23"/>
      <c r="G943" s="24"/>
    </row>
    <row r="944" customFormat="false" ht="15" hidden="false" customHeight="true" outlineLevel="0" collapsed="false">
      <c r="B944" s="21"/>
      <c r="C944" s="25"/>
      <c r="D944" s="25"/>
      <c r="E944" s="25"/>
      <c r="F944" s="23"/>
      <c r="G944" s="24"/>
    </row>
    <row r="945" customFormat="false" ht="15" hidden="false" customHeight="true" outlineLevel="0" collapsed="false">
      <c r="B945" s="21"/>
      <c r="C945" s="25"/>
      <c r="D945" s="25"/>
      <c r="E945" s="25"/>
      <c r="F945" s="23"/>
      <c r="G945" s="24"/>
    </row>
    <row r="946" customFormat="false" ht="15" hidden="false" customHeight="true" outlineLevel="0" collapsed="false">
      <c r="B946" s="21"/>
      <c r="C946" s="25"/>
      <c r="D946" s="25"/>
      <c r="E946" s="25"/>
      <c r="F946" s="23"/>
      <c r="G946" s="24"/>
    </row>
    <row r="947" customFormat="false" ht="15" hidden="false" customHeight="true" outlineLevel="0" collapsed="false">
      <c r="B947" s="21"/>
      <c r="C947" s="25"/>
      <c r="D947" s="25"/>
      <c r="E947" s="25"/>
      <c r="F947" s="23"/>
      <c r="G947" s="24"/>
    </row>
    <row r="948" customFormat="false" ht="15" hidden="false" customHeight="true" outlineLevel="0" collapsed="false">
      <c r="B948" s="21"/>
      <c r="C948" s="25"/>
      <c r="D948" s="25"/>
      <c r="E948" s="25"/>
      <c r="F948" s="23"/>
      <c r="G948" s="24"/>
    </row>
    <row r="949" customFormat="false" ht="15" hidden="false" customHeight="true" outlineLevel="0" collapsed="false">
      <c r="B949" s="21"/>
      <c r="C949" s="25"/>
      <c r="D949" s="25"/>
      <c r="E949" s="25"/>
      <c r="F949" s="23"/>
      <c r="G949" s="24"/>
    </row>
    <row r="950" customFormat="false" ht="15" hidden="false" customHeight="true" outlineLevel="0" collapsed="false">
      <c r="B950" s="21"/>
      <c r="C950" s="25"/>
      <c r="D950" s="25"/>
      <c r="E950" s="25"/>
      <c r="F950" s="23"/>
      <c r="G950" s="24"/>
    </row>
    <row r="951" customFormat="false" ht="15" hidden="false" customHeight="true" outlineLevel="0" collapsed="false">
      <c r="B951" s="21"/>
      <c r="C951" s="25"/>
      <c r="D951" s="25"/>
      <c r="E951" s="25"/>
      <c r="F951" s="23"/>
      <c r="G951" s="24"/>
    </row>
    <row r="952" customFormat="false" ht="15" hidden="false" customHeight="true" outlineLevel="0" collapsed="false">
      <c r="B952" s="21"/>
      <c r="C952" s="25"/>
      <c r="D952" s="25"/>
      <c r="E952" s="25"/>
      <c r="F952" s="23"/>
      <c r="G952" s="24"/>
    </row>
    <row r="953" customFormat="false" ht="15" hidden="false" customHeight="true" outlineLevel="0" collapsed="false">
      <c r="B953" s="21"/>
      <c r="C953" s="25"/>
      <c r="D953" s="25"/>
      <c r="E953" s="25"/>
      <c r="F953" s="23"/>
      <c r="G953" s="24"/>
    </row>
    <row r="954" customFormat="false" ht="15" hidden="false" customHeight="true" outlineLevel="0" collapsed="false">
      <c r="B954" s="21"/>
      <c r="C954" s="25"/>
      <c r="D954" s="25"/>
      <c r="E954" s="25"/>
      <c r="F954" s="23"/>
      <c r="G954" s="24"/>
    </row>
    <row r="955" customFormat="false" ht="15" hidden="false" customHeight="true" outlineLevel="0" collapsed="false">
      <c r="B955" s="21"/>
      <c r="C955" s="25"/>
      <c r="D955" s="25"/>
      <c r="E955" s="25"/>
      <c r="F955" s="23"/>
      <c r="G955" s="24"/>
    </row>
    <row r="956" customFormat="false" ht="15" hidden="false" customHeight="true" outlineLevel="0" collapsed="false">
      <c r="B956" s="21"/>
      <c r="C956" s="25"/>
      <c r="D956" s="25"/>
      <c r="E956" s="25"/>
      <c r="F956" s="23"/>
      <c r="G956" s="24"/>
    </row>
    <row r="957" customFormat="false" ht="15" hidden="false" customHeight="true" outlineLevel="0" collapsed="false">
      <c r="B957" s="21"/>
      <c r="C957" s="25"/>
      <c r="D957" s="25"/>
      <c r="E957" s="25"/>
      <c r="F957" s="23"/>
      <c r="G957" s="24"/>
    </row>
    <row r="958" customFormat="false" ht="15" hidden="false" customHeight="true" outlineLevel="0" collapsed="false">
      <c r="B958" s="21"/>
      <c r="C958" s="25"/>
      <c r="D958" s="25"/>
      <c r="E958" s="25"/>
      <c r="F958" s="23"/>
      <c r="G958" s="24"/>
    </row>
    <row r="959" customFormat="false" ht="15" hidden="false" customHeight="true" outlineLevel="0" collapsed="false">
      <c r="B959" s="21"/>
      <c r="C959" s="25"/>
      <c r="D959" s="25"/>
      <c r="E959" s="25"/>
      <c r="F959" s="23"/>
      <c r="G959" s="24"/>
    </row>
    <row r="960" customFormat="false" ht="15" hidden="false" customHeight="true" outlineLevel="0" collapsed="false">
      <c r="B960" s="21"/>
      <c r="C960" s="25"/>
      <c r="D960" s="25"/>
      <c r="E960" s="25"/>
      <c r="F960" s="23"/>
      <c r="G960" s="24"/>
    </row>
    <row r="961" customFormat="false" ht="15" hidden="false" customHeight="true" outlineLevel="0" collapsed="false">
      <c r="B961" s="21"/>
      <c r="C961" s="25"/>
      <c r="D961" s="25"/>
      <c r="E961" s="25"/>
      <c r="F961" s="23"/>
      <c r="G961" s="24"/>
    </row>
    <row r="962" customFormat="false" ht="15" hidden="false" customHeight="true" outlineLevel="0" collapsed="false">
      <c r="B962" s="21"/>
      <c r="C962" s="25"/>
      <c r="D962" s="25"/>
      <c r="E962" s="25"/>
      <c r="F962" s="23"/>
      <c r="G962" s="24"/>
    </row>
    <row r="963" customFormat="false" ht="15" hidden="false" customHeight="true" outlineLevel="0" collapsed="false">
      <c r="B963" s="21"/>
      <c r="C963" s="25"/>
      <c r="D963" s="25"/>
      <c r="E963" s="25"/>
      <c r="F963" s="23"/>
      <c r="G963" s="24"/>
    </row>
    <row r="964" customFormat="false" ht="15" hidden="false" customHeight="true" outlineLevel="0" collapsed="false">
      <c r="B964" s="21"/>
      <c r="C964" s="25"/>
      <c r="D964" s="25"/>
      <c r="E964" s="25"/>
      <c r="F964" s="23"/>
      <c r="G964" s="24"/>
    </row>
    <row r="965" customFormat="false" ht="15" hidden="false" customHeight="true" outlineLevel="0" collapsed="false">
      <c r="B965" s="21"/>
      <c r="C965" s="25"/>
      <c r="D965" s="25"/>
      <c r="E965" s="25"/>
      <c r="F965" s="23"/>
      <c r="G965" s="24"/>
    </row>
    <row r="966" customFormat="false" ht="15" hidden="false" customHeight="true" outlineLevel="0" collapsed="false">
      <c r="B966" s="21"/>
      <c r="C966" s="25"/>
      <c r="D966" s="25"/>
      <c r="E966" s="25"/>
      <c r="F966" s="23"/>
      <c r="G966" s="24"/>
    </row>
    <row r="967" customFormat="false" ht="15" hidden="false" customHeight="true" outlineLevel="0" collapsed="false">
      <c r="B967" s="21"/>
      <c r="C967" s="25"/>
      <c r="D967" s="25"/>
      <c r="E967" s="25"/>
      <c r="F967" s="23"/>
      <c r="G967" s="24"/>
    </row>
    <row r="968" customFormat="false" ht="15" hidden="false" customHeight="true" outlineLevel="0" collapsed="false">
      <c r="B968" s="21"/>
      <c r="C968" s="25"/>
      <c r="D968" s="25"/>
      <c r="E968" s="25"/>
      <c r="F968" s="23"/>
      <c r="G968" s="24"/>
    </row>
    <row r="969" customFormat="false" ht="15" hidden="false" customHeight="true" outlineLevel="0" collapsed="false">
      <c r="B969" s="21"/>
      <c r="C969" s="25"/>
      <c r="D969" s="25"/>
      <c r="E969" s="25"/>
      <c r="F969" s="23"/>
      <c r="G969" s="24"/>
    </row>
    <row r="970" customFormat="false" ht="15" hidden="false" customHeight="true" outlineLevel="0" collapsed="false">
      <c r="B970" s="21"/>
      <c r="C970" s="25"/>
      <c r="D970" s="25"/>
      <c r="E970" s="25"/>
      <c r="F970" s="23"/>
      <c r="G970" s="24"/>
    </row>
    <row r="971" customFormat="false" ht="15" hidden="false" customHeight="true" outlineLevel="0" collapsed="false">
      <c r="B971" s="21"/>
      <c r="C971" s="25"/>
      <c r="D971" s="25"/>
      <c r="E971" s="25"/>
      <c r="F971" s="23"/>
      <c r="G971" s="24"/>
    </row>
    <row r="972" customFormat="false" ht="15" hidden="false" customHeight="true" outlineLevel="0" collapsed="false">
      <c r="B972" s="21"/>
      <c r="C972" s="25"/>
      <c r="D972" s="25"/>
      <c r="E972" s="25"/>
      <c r="F972" s="23"/>
      <c r="G972" s="24"/>
    </row>
    <row r="973" customFormat="false" ht="15" hidden="false" customHeight="true" outlineLevel="0" collapsed="false">
      <c r="B973" s="21"/>
      <c r="C973" s="25"/>
      <c r="D973" s="25"/>
      <c r="E973" s="25"/>
      <c r="F973" s="23"/>
      <c r="G973" s="24"/>
    </row>
    <row r="974" customFormat="false" ht="15" hidden="false" customHeight="true" outlineLevel="0" collapsed="false">
      <c r="B974" s="21"/>
      <c r="C974" s="25"/>
      <c r="D974" s="25"/>
      <c r="E974" s="25"/>
      <c r="F974" s="23"/>
      <c r="G974" s="24"/>
    </row>
    <row r="975" customFormat="false" ht="15" hidden="false" customHeight="true" outlineLevel="0" collapsed="false">
      <c r="B975" s="21"/>
      <c r="C975" s="25"/>
      <c r="D975" s="25"/>
      <c r="E975" s="25"/>
      <c r="F975" s="23"/>
      <c r="G975" s="24"/>
    </row>
    <row r="976" customFormat="false" ht="15" hidden="false" customHeight="true" outlineLevel="0" collapsed="false">
      <c r="B976" s="21"/>
      <c r="C976" s="25"/>
      <c r="D976" s="25"/>
      <c r="E976" s="25"/>
      <c r="F976" s="23"/>
      <c r="G976" s="24"/>
    </row>
    <row r="977" customFormat="false" ht="15" hidden="false" customHeight="true" outlineLevel="0" collapsed="false">
      <c r="B977" s="21"/>
      <c r="C977" s="25"/>
      <c r="D977" s="25"/>
      <c r="E977" s="25"/>
      <c r="F977" s="23"/>
      <c r="G977" s="24"/>
    </row>
    <row r="978" customFormat="false" ht="15" hidden="false" customHeight="true" outlineLevel="0" collapsed="false">
      <c r="B978" s="21"/>
      <c r="C978" s="25"/>
      <c r="D978" s="25"/>
      <c r="E978" s="25"/>
      <c r="F978" s="23"/>
      <c r="G978" s="24"/>
    </row>
    <row r="979" customFormat="false" ht="15" hidden="false" customHeight="true" outlineLevel="0" collapsed="false">
      <c r="B979" s="21"/>
      <c r="C979" s="25"/>
      <c r="D979" s="25"/>
      <c r="E979" s="25"/>
      <c r="F979" s="23"/>
      <c r="G979" s="24"/>
    </row>
    <row r="980" customFormat="false" ht="15" hidden="false" customHeight="true" outlineLevel="0" collapsed="false">
      <c r="B980" s="21"/>
      <c r="C980" s="25"/>
      <c r="D980" s="25"/>
      <c r="E980" s="25"/>
      <c r="F980" s="23"/>
      <c r="G980" s="24"/>
    </row>
    <row r="981" customFormat="false" ht="15" hidden="false" customHeight="true" outlineLevel="0" collapsed="false">
      <c r="B981" s="21"/>
      <c r="C981" s="25"/>
      <c r="D981" s="25"/>
      <c r="E981" s="25"/>
      <c r="F981" s="23"/>
      <c r="G981" s="24"/>
    </row>
    <row r="982" customFormat="false" ht="15" hidden="false" customHeight="true" outlineLevel="0" collapsed="false">
      <c r="B982" s="21"/>
      <c r="C982" s="25"/>
      <c r="D982" s="25"/>
      <c r="E982" s="25"/>
      <c r="F982" s="23"/>
      <c r="G982" s="24"/>
    </row>
    <row r="983" customFormat="false" ht="15" hidden="false" customHeight="true" outlineLevel="0" collapsed="false">
      <c r="B983" s="21"/>
      <c r="C983" s="25"/>
      <c r="D983" s="25"/>
      <c r="E983" s="25"/>
      <c r="F983" s="23"/>
      <c r="G983" s="24"/>
    </row>
    <row r="984" customFormat="false" ht="15" hidden="false" customHeight="true" outlineLevel="0" collapsed="false">
      <c r="B984" s="21"/>
      <c r="C984" s="25"/>
      <c r="D984" s="25"/>
      <c r="E984" s="25"/>
      <c r="F984" s="23"/>
      <c r="G984" s="24"/>
    </row>
    <row r="985" customFormat="false" ht="15" hidden="false" customHeight="true" outlineLevel="0" collapsed="false">
      <c r="B985" s="21"/>
      <c r="C985" s="25"/>
      <c r="D985" s="25"/>
      <c r="E985" s="25"/>
      <c r="F985" s="23"/>
      <c r="G985" s="24"/>
    </row>
    <row r="986" customFormat="false" ht="15" hidden="false" customHeight="true" outlineLevel="0" collapsed="false">
      <c r="B986" s="21"/>
      <c r="C986" s="25"/>
      <c r="D986" s="25"/>
      <c r="E986" s="25"/>
      <c r="F986" s="23"/>
      <c r="G986" s="24"/>
    </row>
    <row r="987" customFormat="false" ht="15" hidden="false" customHeight="true" outlineLevel="0" collapsed="false">
      <c r="B987" s="21"/>
      <c r="C987" s="25"/>
      <c r="D987" s="25"/>
      <c r="E987" s="25"/>
      <c r="F987" s="23"/>
      <c r="G987" s="24"/>
    </row>
    <row r="988" customFormat="false" ht="15" hidden="false" customHeight="true" outlineLevel="0" collapsed="false">
      <c r="B988" s="21"/>
      <c r="C988" s="25"/>
      <c r="D988" s="25"/>
      <c r="E988" s="25"/>
      <c r="F988" s="23"/>
      <c r="G988" s="24"/>
    </row>
    <row r="989" customFormat="false" ht="15" hidden="false" customHeight="true" outlineLevel="0" collapsed="false">
      <c r="B989" s="21"/>
      <c r="C989" s="25"/>
      <c r="D989" s="25"/>
      <c r="E989" s="25"/>
      <c r="F989" s="23"/>
      <c r="G989" s="24"/>
    </row>
    <row r="990" customFormat="false" ht="15" hidden="false" customHeight="true" outlineLevel="0" collapsed="false">
      <c r="B990" s="21"/>
      <c r="C990" s="25"/>
      <c r="D990" s="25"/>
      <c r="E990" s="25"/>
      <c r="F990" s="23"/>
      <c r="G990" s="24"/>
    </row>
    <row r="991" customFormat="false" ht="15" hidden="false" customHeight="true" outlineLevel="0" collapsed="false">
      <c r="B991" s="21"/>
      <c r="C991" s="25"/>
      <c r="D991" s="25"/>
      <c r="E991" s="25"/>
      <c r="F991" s="23"/>
      <c r="G991" s="24"/>
    </row>
    <row r="992" customFormat="false" ht="15" hidden="false" customHeight="true" outlineLevel="0" collapsed="false">
      <c r="B992" s="21"/>
      <c r="C992" s="25"/>
      <c r="D992" s="25"/>
      <c r="E992" s="25"/>
      <c r="F992" s="23"/>
      <c r="G992" s="24"/>
    </row>
    <row r="993" customFormat="false" ht="15" hidden="false" customHeight="true" outlineLevel="0" collapsed="false">
      <c r="B993" s="21"/>
      <c r="C993" s="25"/>
      <c r="D993" s="25"/>
      <c r="E993" s="25"/>
      <c r="F993" s="23"/>
      <c r="G993" s="24"/>
    </row>
    <row r="994" customFormat="false" ht="15" hidden="false" customHeight="true" outlineLevel="0" collapsed="false">
      <c r="B994" s="21"/>
      <c r="C994" s="25"/>
      <c r="D994" s="25"/>
      <c r="E994" s="25"/>
      <c r="F994" s="23"/>
      <c r="G994" s="24"/>
    </row>
    <row r="995" customFormat="false" ht="15" hidden="false" customHeight="true" outlineLevel="0" collapsed="false">
      <c r="B995" s="21"/>
      <c r="C995" s="25"/>
      <c r="D995" s="25"/>
      <c r="E995" s="25"/>
      <c r="F995" s="23"/>
      <c r="G995" s="24"/>
    </row>
    <row r="996" customFormat="false" ht="15" hidden="false" customHeight="true" outlineLevel="0" collapsed="false">
      <c r="B996" s="21"/>
      <c r="C996" s="25"/>
      <c r="D996" s="25"/>
      <c r="E996" s="25"/>
      <c r="F996" s="23"/>
      <c r="G996" s="24"/>
    </row>
    <row r="997" customFormat="false" ht="15" hidden="false" customHeight="true" outlineLevel="0" collapsed="false">
      <c r="B997" s="21"/>
      <c r="C997" s="25"/>
      <c r="D997" s="25"/>
      <c r="E997" s="25"/>
      <c r="F997" s="23"/>
      <c r="G997" s="24"/>
    </row>
    <row r="998" customFormat="false" ht="15" hidden="false" customHeight="true" outlineLevel="0" collapsed="false">
      <c r="B998" s="21"/>
      <c r="C998" s="25"/>
      <c r="D998" s="25"/>
      <c r="E998" s="25"/>
      <c r="F998" s="23"/>
      <c r="G998" s="24"/>
    </row>
    <row r="999" customFormat="false" ht="15" hidden="false" customHeight="true" outlineLevel="0" collapsed="false">
      <c r="B999" s="21"/>
      <c r="C999" s="25"/>
      <c r="D999" s="25"/>
      <c r="E999" s="25"/>
      <c r="F999" s="23"/>
      <c r="G999" s="24"/>
    </row>
    <row r="1000" customFormat="false" ht="15" hidden="false" customHeight="true" outlineLevel="0" collapsed="false">
      <c r="B1000" s="21"/>
      <c r="C1000" s="25"/>
      <c r="D1000" s="25"/>
      <c r="E1000" s="25"/>
      <c r="F1000" s="23"/>
      <c r="G1000" s="24"/>
    </row>
    <row r="1001" customFormat="false" ht="15" hidden="false" customHeight="true" outlineLevel="0" collapsed="false">
      <c r="B1001" s="21"/>
      <c r="C1001" s="25"/>
      <c r="D1001" s="25"/>
      <c r="E1001" s="25"/>
      <c r="F1001" s="23"/>
      <c r="G1001" s="24"/>
    </row>
    <row r="1002" customFormat="false" ht="15" hidden="false" customHeight="true" outlineLevel="0" collapsed="false">
      <c r="B1002" s="21"/>
      <c r="C1002" s="25"/>
      <c r="D1002" s="25"/>
      <c r="E1002" s="25"/>
      <c r="F1002" s="23"/>
      <c r="G1002" s="24"/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12"/>
  </cols>
  <sheetData>
    <row r="2" customFormat="false" ht="19.5" hidden="false" customHeight="true" outlineLevel="0" collapsed="false">
      <c r="B2" s="15" t="s">
        <v>682</v>
      </c>
      <c r="C2" s="15"/>
      <c r="D2" s="15"/>
      <c r="E2" s="15"/>
      <c r="F2" s="15"/>
      <c r="G2" s="15"/>
    </row>
    <row r="3" customFormat="false" ht="15" hidden="false" customHeight="true" outlineLevel="0" collapsed="false">
      <c r="B3" s="16" t="s">
        <v>683</v>
      </c>
      <c r="C3" s="16"/>
      <c r="D3" s="16"/>
      <c r="E3" s="16"/>
      <c r="F3" s="16"/>
      <c r="G3" s="16"/>
    </row>
    <row r="5" customFormat="false" ht="15" hidden="false" customHeight="true" outlineLevel="0" collapsed="false">
      <c r="B5" s="10" t="s">
        <v>100</v>
      </c>
      <c r="C5" s="10" t="s">
        <v>101</v>
      </c>
      <c r="D5" s="10" t="s">
        <v>19</v>
      </c>
      <c r="E5" s="10" t="s">
        <v>102</v>
      </c>
      <c r="F5" s="10" t="s">
        <v>103</v>
      </c>
      <c r="G5" s="10" t="s">
        <v>104</v>
      </c>
    </row>
    <row r="6" customFormat="false" ht="15" hidden="false" customHeight="true" outlineLevel="0" collapsed="false">
      <c r="B6" s="17" t="n">
        <v>45658</v>
      </c>
      <c r="C6" s="18" t="s">
        <v>115</v>
      </c>
      <c r="D6" s="18" t="s">
        <v>116</v>
      </c>
      <c r="E6" s="18" t="s">
        <v>22</v>
      </c>
      <c r="F6" s="26" t="n">
        <v>216780.26</v>
      </c>
      <c r="G6" s="20" t="s">
        <v>117</v>
      </c>
    </row>
    <row r="7" customFormat="false" ht="15" hidden="false" customHeight="true" outlineLevel="0" collapsed="false">
      <c r="B7" s="17" t="n">
        <v>45689</v>
      </c>
      <c r="C7" s="18" t="s">
        <v>132</v>
      </c>
      <c r="D7" s="18" t="s">
        <v>116</v>
      </c>
      <c r="E7" s="18" t="s">
        <v>22</v>
      </c>
      <c r="F7" s="26" t="n">
        <v>326133.08</v>
      </c>
      <c r="G7" s="20" t="s">
        <v>133</v>
      </c>
    </row>
    <row r="8" customFormat="false" ht="15" hidden="false" customHeight="true" outlineLevel="0" collapsed="false">
      <c r="B8" s="17" t="n">
        <v>45717</v>
      </c>
      <c r="C8" s="18" t="s">
        <v>154</v>
      </c>
      <c r="D8" s="18" t="s">
        <v>116</v>
      </c>
      <c r="E8" s="18" t="s">
        <v>22</v>
      </c>
      <c r="F8" s="26" t="n">
        <v>357019.64</v>
      </c>
      <c r="G8" s="20" t="s">
        <v>155</v>
      </c>
    </row>
    <row r="9" customFormat="false" ht="15" hidden="false" customHeight="true" outlineLevel="0" collapsed="false">
      <c r="B9" s="17" t="n">
        <v>45748</v>
      </c>
      <c r="C9" s="18" t="s">
        <v>184</v>
      </c>
      <c r="D9" s="18" t="s">
        <v>116</v>
      </c>
      <c r="E9" s="18" t="s">
        <v>22</v>
      </c>
      <c r="F9" s="26" t="n">
        <v>148595.57</v>
      </c>
      <c r="G9" s="20" t="s">
        <v>185</v>
      </c>
    </row>
    <row r="10" customFormat="false" ht="15" hidden="false" customHeight="true" outlineLevel="0" collapsed="false">
      <c r="B10" s="17" t="n">
        <v>45778</v>
      </c>
      <c r="C10" s="18" t="s">
        <v>217</v>
      </c>
      <c r="D10" s="18" t="s">
        <v>116</v>
      </c>
      <c r="E10" s="18" t="s">
        <v>22</v>
      </c>
      <c r="F10" s="26" t="n">
        <v>403279.55</v>
      </c>
      <c r="G10" s="20" t="s">
        <v>218</v>
      </c>
    </row>
    <row r="11" customFormat="false" ht="15" hidden="false" customHeight="true" outlineLevel="0" collapsed="false">
      <c r="B11" s="17" t="n">
        <v>45809</v>
      </c>
      <c r="C11" s="18" t="s">
        <v>250</v>
      </c>
      <c r="D11" s="18" t="s">
        <v>116</v>
      </c>
      <c r="E11" s="18" t="s">
        <v>22</v>
      </c>
      <c r="F11" s="26" t="n">
        <v>531416.69</v>
      </c>
      <c r="G11" s="20" t="s">
        <v>251</v>
      </c>
    </row>
    <row r="12" customFormat="false" ht="15" hidden="false" customHeight="true" outlineLevel="0" collapsed="false">
      <c r="B12" s="17" t="n">
        <v>45839</v>
      </c>
      <c r="C12" s="18" t="s">
        <v>283</v>
      </c>
      <c r="D12" s="18" t="s">
        <v>116</v>
      </c>
      <c r="E12" s="18" t="s">
        <v>22</v>
      </c>
      <c r="F12" s="26" t="n">
        <v>429681.99</v>
      </c>
      <c r="G12" s="20" t="s">
        <v>284</v>
      </c>
    </row>
    <row r="13" customFormat="false" ht="15" hidden="false" customHeight="true" outlineLevel="0" collapsed="false">
      <c r="B13" s="17" t="n">
        <v>45870</v>
      </c>
      <c r="C13" s="18" t="s">
        <v>317</v>
      </c>
      <c r="D13" s="18" t="s">
        <v>116</v>
      </c>
      <c r="E13" s="18" t="s">
        <v>22</v>
      </c>
      <c r="F13" s="26" t="n">
        <v>488467.9</v>
      </c>
      <c r="G13" s="20" t="s">
        <v>318</v>
      </c>
    </row>
    <row r="14" customFormat="false" ht="15" hidden="false" customHeight="true" outlineLevel="0" collapsed="false">
      <c r="B14" s="17" t="n">
        <v>45901</v>
      </c>
      <c r="C14" s="18" t="s">
        <v>348</v>
      </c>
      <c r="D14" s="18" t="s">
        <v>116</v>
      </c>
      <c r="E14" s="18" t="s">
        <v>22</v>
      </c>
      <c r="F14" s="26" t="n">
        <v>136741.02</v>
      </c>
      <c r="G14" s="20" t="s">
        <v>349</v>
      </c>
    </row>
    <row r="15" customFormat="false" ht="15" hidden="false" customHeight="true" outlineLevel="0" collapsed="false">
      <c r="B15" s="17" t="n">
        <v>45931</v>
      </c>
      <c r="C15" s="18" t="s">
        <v>380</v>
      </c>
      <c r="D15" s="18" t="s">
        <v>116</v>
      </c>
      <c r="E15" s="18" t="s">
        <v>22</v>
      </c>
      <c r="F15" s="26" t="n">
        <v>696917.65</v>
      </c>
      <c r="G15" s="20" t="s">
        <v>381</v>
      </c>
    </row>
    <row r="16" customFormat="false" ht="15" hidden="false" customHeight="true" outlineLevel="0" collapsed="false">
      <c r="B16" s="17" t="n">
        <v>45962</v>
      </c>
      <c r="C16" s="18" t="s">
        <v>415</v>
      </c>
      <c r="D16" s="18" t="s">
        <v>116</v>
      </c>
      <c r="E16" s="18" t="s">
        <v>22</v>
      </c>
      <c r="F16" s="26" t="n">
        <v>420192.87</v>
      </c>
      <c r="G16" s="20" t="s">
        <v>416</v>
      </c>
    </row>
    <row r="17" customFormat="false" ht="15" hidden="false" customHeight="true" outlineLevel="0" collapsed="false">
      <c r="B17" s="17" t="n">
        <v>45992</v>
      </c>
      <c r="C17" s="18" t="s">
        <v>449</v>
      </c>
      <c r="D17" s="18" t="s">
        <v>116</v>
      </c>
      <c r="E17" s="18" t="s">
        <v>22</v>
      </c>
      <c r="F17" s="26" t="n">
        <v>913033.57</v>
      </c>
      <c r="G17" s="20" t="s">
        <v>450</v>
      </c>
    </row>
    <row r="18" customFormat="false" ht="15" hidden="false" customHeight="true" outlineLevel="0" collapsed="false">
      <c r="B18" s="17" t="n">
        <v>46023</v>
      </c>
      <c r="C18" s="18" t="s">
        <v>483</v>
      </c>
      <c r="D18" s="18" t="s">
        <v>116</v>
      </c>
      <c r="E18" s="18" t="s">
        <v>22</v>
      </c>
      <c r="F18" s="26" t="n">
        <v>253321.24</v>
      </c>
      <c r="G18" s="20" t="s">
        <v>484</v>
      </c>
    </row>
    <row r="19" customFormat="false" ht="15" hidden="false" customHeight="true" outlineLevel="0" collapsed="false">
      <c r="B19" s="17" t="n">
        <v>46054</v>
      </c>
      <c r="C19" s="18" t="s">
        <v>519</v>
      </c>
      <c r="D19" s="18" t="s">
        <v>116</v>
      </c>
      <c r="E19" s="18" t="s">
        <v>22</v>
      </c>
      <c r="F19" s="26" t="n">
        <v>427629.89</v>
      </c>
      <c r="G19" s="20" t="s">
        <v>520</v>
      </c>
    </row>
    <row r="20" customFormat="false" ht="15" hidden="false" customHeight="true" outlineLevel="0" collapsed="false">
      <c r="B20" s="17" t="n">
        <v>46082</v>
      </c>
      <c r="C20" s="18" t="s">
        <v>553</v>
      </c>
      <c r="D20" s="18" t="s">
        <v>116</v>
      </c>
      <c r="E20" s="18" t="s">
        <v>22</v>
      </c>
      <c r="F20" s="26" t="n">
        <v>370421.41</v>
      </c>
      <c r="G20" s="20" t="s">
        <v>554</v>
      </c>
    </row>
    <row r="21" customFormat="false" ht="15" hidden="false" customHeight="true" outlineLevel="0" collapsed="false">
      <c r="B21" s="17" t="n">
        <v>46113</v>
      </c>
      <c r="C21" s="18" t="s">
        <v>589</v>
      </c>
      <c r="D21" s="18" t="s">
        <v>116</v>
      </c>
      <c r="E21" s="18" t="s">
        <v>22</v>
      </c>
      <c r="F21" s="26" t="n">
        <v>329308.02</v>
      </c>
      <c r="G21" s="20" t="s">
        <v>590</v>
      </c>
    </row>
    <row r="22" customFormat="false" ht="15" hidden="false" customHeight="true" outlineLevel="0" collapsed="false">
      <c r="B22" s="17" t="n">
        <v>46143</v>
      </c>
      <c r="C22" s="18" t="s">
        <v>622</v>
      </c>
      <c r="D22" s="18" t="s">
        <v>116</v>
      </c>
      <c r="E22" s="18" t="s">
        <v>22</v>
      </c>
      <c r="F22" s="26" t="n">
        <v>512600.68</v>
      </c>
      <c r="G22" s="20" t="s">
        <v>623</v>
      </c>
    </row>
    <row r="23" customFormat="false" ht="15" hidden="false" customHeight="true" outlineLevel="0" collapsed="false">
      <c r="B23" s="17" t="n">
        <v>45658</v>
      </c>
      <c r="C23" s="18" t="s">
        <v>122</v>
      </c>
      <c r="D23" s="18" t="s">
        <v>106</v>
      </c>
      <c r="E23" s="18" t="s">
        <v>71</v>
      </c>
      <c r="F23" s="26" t="n">
        <v>760.38</v>
      </c>
      <c r="G23" s="20" t="s">
        <v>117</v>
      </c>
    </row>
    <row r="24" customFormat="false" ht="15" hidden="false" customHeight="true" outlineLevel="0" collapsed="false">
      <c r="B24" s="17" t="n">
        <v>45658</v>
      </c>
      <c r="C24" s="18" t="s">
        <v>118</v>
      </c>
      <c r="D24" s="18" t="s">
        <v>106</v>
      </c>
      <c r="E24" s="18" t="s">
        <v>52</v>
      </c>
      <c r="F24" s="26" t="n">
        <v>5263</v>
      </c>
      <c r="G24" s="20" t="s">
        <v>117</v>
      </c>
    </row>
    <row r="25" customFormat="false" ht="15" hidden="false" customHeight="true" outlineLevel="0" collapsed="false">
      <c r="B25" s="17" t="n">
        <v>45658</v>
      </c>
      <c r="C25" s="18" t="s">
        <v>684</v>
      </c>
      <c r="D25" s="18" t="s">
        <v>106</v>
      </c>
      <c r="E25" s="18" t="s">
        <v>34</v>
      </c>
      <c r="F25" s="26" t="n">
        <v>624.55</v>
      </c>
      <c r="G25" s="20" t="s">
        <v>117</v>
      </c>
    </row>
    <row r="26" customFormat="false" ht="15" hidden="false" customHeight="true" outlineLevel="0" collapsed="false">
      <c r="B26" s="17" t="n">
        <v>45658</v>
      </c>
      <c r="C26" s="18" t="s">
        <v>685</v>
      </c>
      <c r="D26" s="18" t="s">
        <v>106</v>
      </c>
      <c r="E26" s="18" t="s">
        <v>66</v>
      </c>
      <c r="F26" s="26" t="n">
        <v>1742</v>
      </c>
      <c r="G26" s="20" t="s">
        <v>117</v>
      </c>
    </row>
    <row r="27" customFormat="false" ht="15" hidden="false" customHeight="true" outlineLevel="0" collapsed="false">
      <c r="B27" s="17" t="n">
        <v>45658</v>
      </c>
      <c r="C27" s="18" t="s">
        <v>686</v>
      </c>
      <c r="D27" s="18" t="s">
        <v>106</v>
      </c>
      <c r="E27" s="18" t="s">
        <v>73</v>
      </c>
      <c r="F27" s="26" t="n">
        <v>132723.57</v>
      </c>
      <c r="G27" s="20" t="s">
        <v>117</v>
      </c>
    </row>
    <row r="28" customFormat="false" ht="15" hidden="false" customHeight="true" outlineLevel="0" collapsed="false">
      <c r="B28" s="17" t="n">
        <v>45658</v>
      </c>
      <c r="C28" s="18" t="s">
        <v>128</v>
      </c>
      <c r="D28" s="18" t="s">
        <v>106</v>
      </c>
      <c r="E28" s="18" t="s">
        <v>68</v>
      </c>
      <c r="F28" s="26" t="n">
        <v>124.84</v>
      </c>
      <c r="G28" s="20" t="s">
        <v>117</v>
      </c>
    </row>
    <row r="29" customFormat="false" ht="15" hidden="false" customHeight="true" outlineLevel="0" collapsed="false">
      <c r="B29" s="17" t="n">
        <v>45658</v>
      </c>
      <c r="C29" s="18" t="s">
        <v>687</v>
      </c>
      <c r="D29" s="18" t="s">
        <v>106</v>
      </c>
      <c r="E29" s="18" t="s">
        <v>35</v>
      </c>
      <c r="F29" s="26" t="n">
        <v>14970</v>
      </c>
      <c r="G29" s="20" t="s">
        <v>117</v>
      </c>
    </row>
    <row r="30" customFormat="false" ht="15" hidden="false" customHeight="true" outlineLevel="0" collapsed="false">
      <c r="B30" s="17" t="n">
        <v>45658</v>
      </c>
      <c r="C30" s="18" t="s">
        <v>688</v>
      </c>
      <c r="D30" s="18" t="s">
        <v>106</v>
      </c>
      <c r="E30" s="18" t="s">
        <v>30</v>
      </c>
      <c r="F30" s="26" t="n">
        <v>53181</v>
      </c>
      <c r="G30" s="20" t="s">
        <v>117</v>
      </c>
    </row>
    <row r="31" customFormat="false" ht="15" hidden="false" customHeight="true" outlineLevel="0" collapsed="false">
      <c r="B31" s="17" t="n">
        <v>45658</v>
      </c>
      <c r="C31" s="18" t="s">
        <v>123</v>
      </c>
      <c r="D31" s="18" t="s">
        <v>106</v>
      </c>
      <c r="E31" s="18" t="s">
        <v>61</v>
      </c>
      <c r="F31" s="26" t="n">
        <v>3266.32</v>
      </c>
      <c r="G31" s="20" t="s">
        <v>117</v>
      </c>
    </row>
    <row r="32" customFormat="false" ht="15" hidden="false" customHeight="true" outlineLevel="0" collapsed="false">
      <c r="B32" s="17" t="n">
        <v>45658</v>
      </c>
      <c r="C32" s="18" t="s">
        <v>120</v>
      </c>
      <c r="D32" s="18" t="s">
        <v>106</v>
      </c>
      <c r="E32" s="18" t="s">
        <v>87</v>
      </c>
      <c r="F32" s="26" t="n">
        <v>7473.57</v>
      </c>
      <c r="G32" s="20" t="s">
        <v>117</v>
      </c>
    </row>
    <row r="33" customFormat="false" ht="15" hidden="false" customHeight="true" outlineLevel="0" collapsed="false">
      <c r="B33" s="17" t="n">
        <v>45658</v>
      </c>
      <c r="C33" s="18" t="s">
        <v>689</v>
      </c>
      <c r="D33" s="18" t="s">
        <v>106</v>
      </c>
      <c r="E33" s="18" t="s">
        <v>76</v>
      </c>
      <c r="F33" s="26" t="n">
        <v>920</v>
      </c>
      <c r="G33" s="20" t="s">
        <v>117</v>
      </c>
    </row>
    <row r="34" customFormat="false" ht="15" hidden="false" customHeight="true" outlineLevel="0" collapsed="false">
      <c r="B34" s="17" t="n">
        <v>45658</v>
      </c>
      <c r="C34" s="18" t="s">
        <v>690</v>
      </c>
      <c r="D34" s="18" t="s">
        <v>106</v>
      </c>
      <c r="E34" s="18" t="s">
        <v>28</v>
      </c>
      <c r="F34" s="26" t="n">
        <v>27150</v>
      </c>
      <c r="G34" s="20" t="s">
        <v>117</v>
      </c>
    </row>
    <row r="35" customFormat="false" ht="15" hidden="false" customHeight="true" outlineLevel="0" collapsed="false">
      <c r="B35" s="17" t="n">
        <v>45658</v>
      </c>
      <c r="C35" s="18" t="s">
        <v>121</v>
      </c>
      <c r="D35" s="18" t="s">
        <v>106</v>
      </c>
      <c r="E35" s="18" t="s">
        <v>67</v>
      </c>
      <c r="F35" s="26" t="n">
        <v>383</v>
      </c>
      <c r="G35" s="20" t="s">
        <v>117</v>
      </c>
    </row>
    <row r="36" customFormat="false" ht="15" hidden="false" customHeight="true" outlineLevel="0" collapsed="false">
      <c r="B36" s="17" t="n">
        <v>45658</v>
      </c>
      <c r="C36" s="18" t="s">
        <v>691</v>
      </c>
      <c r="D36" s="18" t="s">
        <v>106</v>
      </c>
      <c r="E36" s="18" t="s">
        <v>32</v>
      </c>
      <c r="F36" s="26" t="n">
        <v>55023.76</v>
      </c>
      <c r="G36" s="20" t="s">
        <v>117</v>
      </c>
    </row>
    <row r="37" customFormat="false" ht="15" hidden="false" customHeight="true" outlineLevel="0" collapsed="false">
      <c r="B37" s="17" t="n">
        <v>45658</v>
      </c>
      <c r="C37" s="18" t="s">
        <v>127</v>
      </c>
      <c r="D37" s="18" t="s">
        <v>106</v>
      </c>
      <c r="E37" s="18" t="s">
        <v>50</v>
      </c>
      <c r="F37" s="26" t="n">
        <v>3930</v>
      </c>
      <c r="G37" s="20" t="s">
        <v>117</v>
      </c>
    </row>
    <row r="38" customFormat="false" ht="15" hidden="false" customHeight="true" outlineLevel="0" collapsed="false">
      <c r="B38" s="17" t="n">
        <v>45658</v>
      </c>
      <c r="C38" s="18" t="s">
        <v>119</v>
      </c>
      <c r="D38" s="18" t="s">
        <v>106</v>
      </c>
      <c r="E38" s="18" t="s">
        <v>51</v>
      </c>
      <c r="F38" s="26" t="n">
        <v>36142.1</v>
      </c>
      <c r="G38" s="20" t="s">
        <v>117</v>
      </c>
    </row>
    <row r="39" customFormat="false" ht="15" hidden="false" customHeight="true" outlineLevel="0" collapsed="false">
      <c r="B39" s="17" t="n">
        <v>45658</v>
      </c>
      <c r="C39" s="18" t="s">
        <v>125</v>
      </c>
      <c r="D39" s="18" t="s">
        <v>106</v>
      </c>
      <c r="E39" s="18" t="s">
        <v>62</v>
      </c>
      <c r="F39" s="26" t="n">
        <v>140</v>
      </c>
      <c r="G39" s="20" t="s">
        <v>117</v>
      </c>
    </row>
    <row r="40" customFormat="false" ht="15" hidden="false" customHeight="true" outlineLevel="0" collapsed="false">
      <c r="B40" s="17" t="n">
        <v>45658</v>
      </c>
      <c r="C40" s="18" t="s">
        <v>124</v>
      </c>
      <c r="D40" s="18" t="s">
        <v>106</v>
      </c>
      <c r="E40" s="18" t="s">
        <v>64</v>
      </c>
      <c r="F40" s="26" t="n">
        <v>428.66</v>
      </c>
      <c r="G40" s="20" t="s">
        <v>117</v>
      </c>
    </row>
    <row r="41" customFormat="false" ht="15" hidden="false" customHeight="true" outlineLevel="0" collapsed="false">
      <c r="B41" s="17" t="n">
        <v>45658</v>
      </c>
      <c r="C41" s="18" t="s">
        <v>692</v>
      </c>
      <c r="D41" s="18" t="s">
        <v>106</v>
      </c>
      <c r="E41" s="18" t="s">
        <v>36</v>
      </c>
      <c r="F41" s="26" t="n">
        <v>30379</v>
      </c>
      <c r="G41" s="20" t="s">
        <v>117</v>
      </c>
    </row>
    <row r="42" customFormat="false" ht="15" hidden="false" customHeight="true" outlineLevel="0" collapsed="false">
      <c r="B42" s="17" t="n">
        <v>45658</v>
      </c>
      <c r="C42" s="18" t="s">
        <v>693</v>
      </c>
      <c r="D42" s="18" t="s">
        <v>106</v>
      </c>
      <c r="E42" s="18" t="s">
        <v>26</v>
      </c>
      <c r="F42" s="26" t="n">
        <v>106957.61</v>
      </c>
      <c r="G42" s="20" t="s">
        <v>117</v>
      </c>
    </row>
    <row r="43" customFormat="false" ht="15" hidden="false" customHeight="true" outlineLevel="0" collapsed="false">
      <c r="B43" s="17" t="n">
        <v>45658</v>
      </c>
      <c r="C43" s="18" t="s">
        <v>694</v>
      </c>
      <c r="D43" s="18" t="s">
        <v>106</v>
      </c>
      <c r="E43" s="18" t="s">
        <v>65</v>
      </c>
      <c r="F43" s="26" t="n">
        <v>240</v>
      </c>
      <c r="G43" s="20" t="s">
        <v>117</v>
      </c>
    </row>
    <row r="44" customFormat="false" ht="15" hidden="false" customHeight="true" outlineLevel="0" collapsed="false">
      <c r="B44" s="17" t="n">
        <v>45658</v>
      </c>
      <c r="C44" s="18" t="s">
        <v>695</v>
      </c>
      <c r="D44" s="18" t="s">
        <v>106</v>
      </c>
      <c r="E44" s="18" t="s">
        <v>29</v>
      </c>
      <c r="F44" s="26" t="n">
        <v>4349</v>
      </c>
      <c r="G44" s="20" t="s">
        <v>117</v>
      </c>
    </row>
    <row r="45" customFormat="false" ht="15" hidden="false" customHeight="true" outlineLevel="0" collapsed="false">
      <c r="B45" s="17" t="n">
        <v>45658</v>
      </c>
      <c r="C45" s="18" t="s">
        <v>696</v>
      </c>
      <c r="D45" s="18" t="s">
        <v>106</v>
      </c>
      <c r="E45" s="18" t="s">
        <v>63</v>
      </c>
      <c r="F45" s="26" t="n">
        <v>12013.66</v>
      </c>
      <c r="G45" s="20" t="s">
        <v>117</v>
      </c>
    </row>
    <row r="46" customFormat="false" ht="15" hidden="false" customHeight="true" outlineLevel="0" collapsed="false">
      <c r="B46" s="17" t="n">
        <v>45658</v>
      </c>
      <c r="C46" s="18" t="s">
        <v>126</v>
      </c>
      <c r="D46" s="18" t="s">
        <v>106</v>
      </c>
      <c r="E46" s="18" t="s">
        <v>49</v>
      </c>
      <c r="F46" s="26" t="n">
        <v>2380</v>
      </c>
      <c r="G46" s="20" t="s">
        <v>117</v>
      </c>
    </row>
    <row r="47" customFormat="false" ht="15" hidden="false" customHeight="true" outlineLevel="0" collapsed="false">
      <c r="B47" s="17" t="n">
        <v>45658</v>
      </c>
      <c r="C47" s="18" t="s">
        <v>697</v>
      </c>
      <c r="D47" s="18" t="s">
        <v>106</v>
      </c>
      <c r="E47" s="18" t="s">
        <v>59</v>
      </c>
      <c r="F47" s="26" t="n">
        <v>2750</v>
      </c>
      <c r="G47" s="20" t="s">
        <v>117</v>
      </c>
    </row>
    <row r="48" customFormat="false" ht="15" hidden="false" customHeight="true" outlineLevel="0" collapsed="false">
      <c r="B48" s="17" t="n">
        <v>45658</v>
      </c>
      <c r="C48" s="18" t="s">
        <v>698</v>
      </c>
      <c r="D48" s="18" t="s">
        <v>106</v>
      </c>
      <c r="E48" s="18" t="s">
        <v>54</v>
      </c>
      <c r="F48" s="26" t="n">
        <v>890</v>
      </c>
      <c r="G48" s="20" t="s">
        <v>117</v>
      </c>
    </row>
    <row r="49" customFormat="false" ht="15" hidden="false" customHeight="true" outlineLevel="0" collapsed="false">
      <c r="B49" s="17" t="n">
        <v>45658</v>
      </c>
      <c r="C49" s="18" t="s">
        <v>129</v>
      </c>
      <c r="D49" s="18" t="s">
        <v>106</v>
      </c>
      <c r="E49" s="18" t="s">
        <v>69</v>
      </c>
      <c r="F49" s="26" t="n">
        <v>224.36</v>
      </c>
      <c r="G49" s="20" t="s">
        <v>117</v>
      </c>
    </row>
    <row r="50" customFormat="false" ht="15" hidden="false" customHeight="true" outlineLevel="0" collapsed="false">
      <c r="B50" s="17" t="n">
        <v>45689</v>
      </c>
      <c r="C50" s="18" t="s">
        <v>699</v>
      </c>
      <c r="D50" s="18" t="s">
        <v>106</v>
      </c>
      <c r="E50" s="18" t="s">
        <v>31</v>
      </c>
      <c r="F50" s="26" t="n">
        <v>14169.2</v>
      </c>
      <c r="G50" s="20" t="s">
        <v>133</v>
      </c>
    </row>
    <row r="51" customFormat="false" ht="15" hidden="false" customHeight="true" outlineLevel="0" collapsed="false">
      <c r="B51" s="17" t="n">
        <v>45689</v>
      </c>
      <c r="C51" s="18" t="s">
        <v>149</v>
      </c>
      <c r="D51" s="18" t="s">
        <v>106</v>
      </c>
      <c r="E51" s="18" t="s">
        <v>45</v>
      </c>
      <c r="F51" s="26" t="n">
        <v>70.61</v>
      </c>
      <c r="G51" s="20" t="s">
        <v>133</v>
      </c>
    </row>
    <row r="52" customFormat="false" ht="15" hidden="false" customHeight="true" outlineLevel="0" collapsed="false">
      <c r="B52" s="17" t="n">
        <v>45689</v>
      </c>
      <c r="C52" s="18" t="s">
        <v>134</v>
      </c>
      <c r="D52" s="18" t="s">
        <v>106</v>
      </c>
      <c r="E52" s="18" t="s">
        <v>52</v>
      </c>
      <c r="F52" s="26" t="n">
        <v>5275.93</v>
      </c>
      <c r="G52" s="20" t="s">
        <v>133</v>
      </c>
    </row>
    <row r="53" customFormat="false" ht="15" hidden="false" customHeight="true" outlineLevel="0" collapsed="false">
      <c r="B53" s="17" t="n">
        <v>45689</v>
      </c>
      <c r="C53" s="18" t="s">
        <v>700</v>
      </c>
      <c r="D53" s="18" t="s">
        <v>106</v>
      </c>
      <c r="E53" s="18" t="s">
        <v>34</v>
      </c>
      <c r="F53" s="26" t="n">
        <v>928</v>
      </c>
      <c r="G53" s="20" t="s">
        <v>133</v>
      </c>
    </row>
    <row r="54" customFormat="false" ht="15" hidden="false" customHeight="true" outlineLevel="0" collapsed="false">
      <c r="B54" s="17" t="n">
        <v>45689</v>
      </c>
      <c r="C54" s="18" t="s">
        <v>150</v>
      </c>
      <c r="D54" s="18" t="s">
        <v>106</v>
      </c>
      <c r="E54" s="18" t="s">
        <v>43</v>
      </c>
      <c r="F54" s="26" t="n">
        <v>670.3</v>
      </c>
      <c r="G54" s="20" t="s">
        <v>133</v>
      </c>
    </row>
    <row r="55" customFormat="false" ht="15" hidden="false" customHeight="true" outlineLevel="0" collapsed="false">
      <c r="B55" s="17" t="n">
        <v>45689</v>
      </c>
      <c r="C55" s="18" t="s">
        <v>701</v>
      </c>
      <c r="D55" s="18" t="s">
        <v>106</v>
      </c>
      <c r="E55" s="18" t="s">
        <v>66</v>
      </c>
      <c r="F55" s="26" t="n">
        <v>1742</v>
      </c>
      <c r="G55" s="20" t="s">
        <v>133</v>
      </c>
    </row>
    <row r="56" customFormat="false" ht="15" hidden="false" customHeight="true" outlineLevel="0" collapsed="false">
      <c r="B56" s="17" t="n">
        <v>45689</v>
      </c>
      <c r="C56" s="18" t="s">
        <v>146</v>
      </c>
      <c r="D56" s="18" t="s">
        <v>106</v>
      </c>
      <c r="E56" s="18" t="s">
        <v>93</v>
      </c>
      <c r="F56" s="26" t="n">
        <v>1131.91</v>
      </c>
      <c r="G56" s="20" t="s">
        <v>133</v>
      </c>
    </row>
    <row r="57" customFormat="false" ht="15" hidden="false" customHeight="true" outlineLevel="0" collapsed="false">
      <c r="B57" s="17" t="n">
        <v>45689</v>
      </c>
      <c r="C57" s="18" t="s">
        <v>702</v>
      </c>
      <c r="D57" s="18" t="s">
        <v>106</v>
      </c>
      <c r="E57" s="18" t="s">
        <v>33</v>
      </c>
      <c r="F57" s="26" t="n">
        <v>6094.68</v>
      </c>
      <c r="G57" s="20" t="s">
        <v>133</v>
      </c>
    </row>
    <row r="58" customFormat="false" ht="15" hidden="false" customHeight="true" outlineLevel="0" collapsed="false">
      <c r="B58" s="17" t="n">
        <v>45689</v>
      </c>
      <c r="C58" s="18" t="s">
        <v>144</v>
      </c>
      <c r="D58" s="18" t="s">
        <v>106</v>
      </c>
      <c r="E58" s="18" t="s">
        <v>42</v>
      </c>
      <c r="F58" s="26" t="n">
        <v>10917.99</v>
      </c>
      <c r="G58" s="20" t="s">
        <v>133</v>
      </c>
    </row>
    <row r="59" customFormat="false" ht="15" hidden="false" customHeight="true" outlineLevel="0" collapsed="false">
      <c r="B59" s="17" t="n">
        <v>45689</v>
      </c>
      <c r="C59" s="18" t="s">
        <v>703</v>
      </c>
      <c r="D59" s="18" t="s">
        <v>106</v>
      </c>
      <c r="E59" s="18" t="s">
        <v>73</v>
      </c>
      <c r="F59" s="26" t="n">
        <v>172869.57</v>
      </c>
      <c r="G59" s="20" t="s">
        <v>133</v>
      </c>
    </row>
    <row r="60" customFormat="false" ht="15" hidden="false" customHeight="true" outlineLevel="0" collapsed="false">
      <c r="B60" s="17" t="n">
        <v>45689</v>
      </c>
      <c r="C60" s="18" t="s">
        <v>704</v>
      </c>
      <c r="D60" s="18" t="s">
        <v>106</v>
      </c>
      <c r="E60" s="18" t="s">
        <v>37</v>
      </c>
      <c r="F60" s="26" t="n">
        <v>818</v>
      </c>
      <c r="G60" s="20" t="s">
        <v>133</v>
      </c>
    </row>
    <row r="61" customFormat="false" ht="15" hidden="false" customHeight="true" outlineLevel="0" collapsed="false">
      <c r="B61" s="17" t="n">
        <v>45689</v>
      </c>
      <c r="C61" s="18" t="s">
        <v>705</v>
      </c>
      <c r="D61" s="18" t="s">
        <v>106</v>
      </c>
      <c r="E61" s="18" t="s">
        <v>35</v>
      </c>
      <c r="F61" s="26" t="n">
        <v>6620</v>
      </c>
      <c r="G61" s="20" t="s">
        <v>133</v>
      </c>
    </row>
    <row r="62" customFormat="false" ht="15" hidden="false" customHeight="true" outlineLevel="0" collapsed="false">
      <c r="B62" s="17" t="n">
        <v>45689</v>
      </c>
      <c r="C62" s="18" t="s">
        <v>152</v>
      </c>
      <c r="D62" s="18" t="s">
        <v>106</v>
      </c>
      <c r="E62" s="18" t="s">
        <v>48</v>
      </c>
      <c r="F62" s="26" t="n">
        <v>50</v>
      </c>
      <c r="G62" s="20" t="s">
        <v>133</v>
      </c>
    </row>
    <row r="63" customFormat="false" ht="15" hidden="false" customHeight="true" outlineLevel="0" collapsed="false">
      <c r="B63" s="17" t="n">
        <v>45689</v>
      </c>
      <c r="C63" s="18" t="s">
        <v>706</v>
      </c>
      <c r="D63" s="18" t="s">
        <v>106</v>
      </c>
      <c r="E63" s="18" t="s">
        <v>30</v>
      </c>
      <c r="F63" s="26" t="n">
        <v>43502</v>
      </c>
      <c r="G63" s="20" t="s">
        <v>133</v>
      </c>
    </row>
    <row r="64" customFormat="false" ht="15" hidden="false" customHeight="true" outlineLevel="0" collapsed="false">
      <c r="B64" s="17" t="n">
        <v>45689</v>
      </c>
      <c r="C64" s="18" t="s">
        <v>139</v>
      </c>
      <c r="D64" s="18" t="s">
        <v>106</v>
      </c>
      <c r="E64" s="18" t="s">
        <v>61</v>
      </c>
      <c r="F64" s="26" t="n">
        <v>4119.21</v>
      </c>
      <c r="G64" s="20" t="s">
        <v>133</v>
      </c>
    </row>
    <row r="65" customFormat="false" ht="15" hidden="false" customHeight="true" outlineLevel="0" collapsed="false">
      <c r="B65" s="17" t="n">
        <v>45689</v>
      </c>
      <c r="C65" s="18" t="s">
        <v>137</v>
      </c>
      <c r="D65" s="18" t="s">
        <v>106</v>
      </c>
      <c r="E65" s="18" t="s">
        <v>87</v>
      </c>
      <c r="F65" s="26" t="n">
        <v>4205.34</v>
      </c>
      <c r="G65" s="20" t="s">
        <v>133</v>
      </c>
    </row>
    <row r="66" customFormat="false" ht="15" hidden="false" customHeight="true" outlineLevel="0" collapsed="false">
      <c r="B66" s="17" t="n">
        <v>45689</v>
      </c>
      <c r="C66" s="18" t="s">
        <v>147</v>
      </c>
      <c r="D66" s="18" t="s">
        <v>106</v>
      </c>
      <c r="E66" s="18" t="s">
        <v>76</v>
      </c>
      <c r="F66" s="26" t="n">
        <v>1100</v>
      </c>
      <c r="G66" s="20" t="s">
        <v>133</v>
      </c>
    </row>
    <row r="67" customFormat="false" ht="15" hidden="false" customHeight="true" outlineLevel="0" collapsed="false">
      <c r="B67" s="17" t="n">
        <v>45689</v>
      </c>
      <c r="C67" s="18" t="s">
        <v>707</v>
      </c>
      <c r="D67" s="18" t="s">
        <v>106</v>
      </c>
      <c r="E67" s="18" t="s">
        <v>28</v>
      </c>
      <c r="F67" s="26" t="n">
        <v>16668</v>
      </c>
      <c r="G67" s="20" t="s">
        <v>133</v>
      </c>
    </row>
    <row r="68" customFormat="false" ht="15" hidden="false" customHeight="true" outlineLevel="0" collapsed="false">
      <c r="B68" s="17" t="n">
        <v>45689</v>
      </c>
      <c r="C68" s="18" t="s">
        <v>151</v>
      </c>
      <c r="D68" s="18" t="s">
        <v>106</v>
      </c>
      <c r="E68" s="18" t="s">
        <v>44</v>
      </c>
      <c r="F68" s="26" t="n">
        <v>39</v>
      </c>
      <c r="G68" s="20" t="s">
        <v>133</v>
      </c>
    </row>
    <row r="69" customFormat="false" ht="15" hidden="false" customHeight="true" outlineLevel="0" collapsed="false">
      <c r="B69" s="17" t="n">
        <v>45689</v>
      </c>
      <c r="C69" s="18" t="s">
        <v>138</v>
      </c>
      <c r="D69" s="18" t="s">
        <v>106</v>
      </c>
      <c r="E69" s="18" t="s">
        <v>67</v>
      </c>
      <c r="F69" s="26" t="n">
        <v>316.58</v>
      </c>
      <c r="G69" s="20" t="s">
        <v>133</v>
      </c>
    </row>
    <row r="70" customFormat="false" ht="15" hidden="false" customHeight="true" outlineLevel="0" collapsed="false">
      <c r="B70" s="17" t="n">
        <v>45689</v>
      </c>
      <c r="C70" s="18" t="s">
        <v>145</v>
      </c>
      <c r="D70" s="18" t="s">
        <v>106</v>
      </c>
      <c r="E70" s="18" t="s">
        <v>83</v>
      </c>
      <c r="F70" s="26" t="n">
        <v>156.18</v>
      </c>
      <c r="G70" s="20" t="s">
        <v>133</v>
      </c>
    </row>
    <row r="71" customFormat="false" ht="15" hidden="false" customHeight="true" outlineLevel="0" collapsed="false">
      <c r="B71" s="17" t="n">
        <v>45689</v>
      </c>
      <c r="C71" s="18" t="s">
        <v>708</v>
      </c>
      <c r="D71" s="18" t="s">
        <v>106</v>
      </c>
      <c r="E71" s="18" t="s">
        <v>32</v>
      </c>
      <c r="F71" s="26" t="n">
        <v>3409.56</v>
      </c>
      <c r="G71" s="20" t="s">
        <v>133</v>
      </c>
    </row>
    <row r="72" customFormat="false" ht="15" hidden="false" customHeight="true" outlineLevel="0" collapsed="false">
      <c r="B72" s="17" t="n">
        <v>45689</v>
      </c>
      <c r="C72" s="18" t="s">
        <v>142</v>
      </c>
      <c r="D72" s="18" t="s">
        <v>106</v>
      </c>
      <c r="E72" s="18" t="s">
        <v>50</v>
      </c>
      <c r="F72" s="26" t="n">
        <v>2195.42</v>
      </c>
      <c r="G72" s="20" t="s">
        <v>133</v>
      </c>
    </row>
    <row r="73" customFormat="false" ht="15" hidden="false" customHeight="true" outlineLevel="0" collapsed="false">
      <c r="B73" s="17" t="n">
        <v>45689</v>
      </c>
      <c r="C73" s="18" t="s">
        <v>135</v>
      </c>
      <c r="D73" s="18" t="s">
        <v>106</v>
      </c>
      <c r="E73" s="18" t="s">
        <v>51</v>
      </c>
      <c r="F73" s="26" t="n">
        <v>27162.64</v>
      </c>
      <c r="G73" s="20" t="s">
        <v>133</v>
      </c>
    </row>
    <row r="74" customFormat="false" ht="15" hidden="false" customHeight="true" outlineLevel="0" collapsed="false">
      <c r="B74" s="17" t="n">
        <v>45689</v>
      </c>
      <c r="C74" s="18" t="s">
        <v>141</v>
      </c>
      <c r="D74" s="18" t="s">
        <v>106</v>
      </c>
      <c r="E74" s="18" t="s">
        <v>62</v>
      </c>
      <c r="F74" s="26" t="n">
        <v>1240</v>
      </c>
      <c r="G74" s="20" t="s">
        <v>133</v>
      </c>
    </row>
    <row r="75" customFormat="false" ht="15" hidden="false" customHeight="true" outlineLevel="0" collapsed="false">
      <c r="B75" s="17" t="n">
        <v>45689</v>
      </c>
      <c r="C75" s="18" t="s">
        <v>140</v>
      </c>
      <c r="D75" s="18" t="s">
        <v>106</v>
      </c>
      <c r="E75" s="18" t="s">
        <v>64</v>
      </c>
      <c r="F75" s="26" t="n">
        <v>463</v>
      </c>
      <c r="G75" s="20" t="s">
        <v>133</v>
      </c>
    </row>
    <row r="76" customFormat="false" ht="15" hidden="false" customHeight="true" outlineLevel="0" collapsed="false">
      <c r="B76" s="17" t="n">
        <v>45689</v>
      </c>
      <c r="C76" s="18" t="s">
        <v>709</v>
      </c>
      <c r="D76" s="18" t="s">
        <v>106</v>
      </c>
      <c r="E76" s="18" t="s">
        <v>26</v>
      </c>
      <c r="F76" s="26" t="n">
        <v>77095.09</v>
      </c>
      <c r="G76" s="20" t="s">
        <v>133</v>
      </c>
    </row>
    <row r="77" customFormat="false" ht="15" hidden="false" customHeight="true" outlineLevel="0" collapsed="false">
      <c r="B77" s="17" t="n">
        <v>45689</v>
      </c>
      <c r="C77" s="18" t="s">
        <v>710</v>
      </c>
      <c r="D77" s="18" t="s">
        <v>106</v>
      </c>
      <c r="E77" s="18" t="s">
        <v>65</v>
      </c>
      <c r="F77" s="26" t="n">
        <v>240</v>
      </c>
      <c r="G77" s="20" t="s">
        <v>133</v>
      </c>
    </row>
    <row r="78" customFormat="false" ht="15" hidden="false" customHeight="true" outlineLevel="0" collapsed="false">
      <c r="B78" s="17" t="n">
        <v>45689</v>
      </c>
      <c r="C78" s="18" t="s">
        <v>711</v>
      </c>
      <c r="D78" s="18" t="s">
        <v>106</v>
      </c>
      <c r="E78" s="18" t="s">
        <v>29</v>
      </c>
      <c r="F78" s="26" t="n">
        <v>6648</v>
      </c>
      <c r="G78" s="20" t="s">
        <v>133</v>
      </c>
    </row>
    <row r="79" customFormat="false" ht="15" hidden="false" customHeight="true" outlineLevel="0" collapsed="false">
      <c r="B79" s="17" t="n">
        <v>45689</v>
      </c>
      <c r="C79" s="18" t="s">
        <v>712</v>
      </c>
      <c r="D79" s="18" t="s">
        <v>106</v>
      </c>
      <c r="E79" s="18" t="s">
        <v>63</v>
      </c>
      <c r="F79" s="26" t="n">
        <v>12013.66</v>
      </c>
      <c r="G79" s="20" t="s">
        <v>133</v>
      </c>
    </row>
    <row r="80" customFormat="false" ht="15" hidden="false" customHeight="true" outlineLevel="0" collapsed="false">
      <c r="B80" s="17" t="n">
        <v>45689</v>
      </c>
      <c r="C80" s="18" t="s">
        <v>136</v>
      </c>
      <c r="D80" s="18" t="s">
        <v>106</v>
      </c>
      <c r="E80" s="18" t="s">
        <v>59</v>
      </c>
      <c r="F80" s="26" t="n">
        <v>3650</v>
      </c>
      <c r="G80" s="20" t="s">
        <v>133</v>
      </c>
    </row>
    <row r="81" customFormat="false" ht="15" hidden="false" customHeight="true" outlineLevel="0" collapsed="false">
      <c r="B81" s="17" t="n">
        <v>45689</v>
      </c>
      <c r="C81" s="18" t="s">
        <v>713</v>
      </c>
      <c r="D81" s="18" t="s">
        <v>106</v>
      </c>
      <c r="E81" s="18" t="s">
        <v>54</v>
      </c>
      <c r="F81" s="26" t="n">
        <v>890</v>
      </c>
      <c r="G81" s="20" t="s">
        <v>133</v>
      </c>
    </row>
    <row r="82" customFormat="false" ht="15" hidden="false" customHeight="true" outlineLevel="0" collapsed="false">
      <c r="B82" s="17" t="n">
        <v>45689</v>
      </c>
      <c r="C82" s="18" t="s">
        <v>143</v>
      </c>
      <c r="D82" s="18" t="s">
        <v>106</v>
      </c>
      <c r="E82" s="18" t="s">
        <v>69</v>
      </c>
      <c r="F82" s="26" t="n">
        <v>293.24</v>
      </c>
      <c r="G82" s="20" t="s">
        <v>133</v>
      </c>
    </row>
    <row r="83" customFormat="false" ht="15" hidden="false" customHeight="true" outlineLevel="0" collapsed="false">
      <c r="B83" s="17" t="n">
        <v>45717</v>
      </c>
      <c r="C83" s="18" t="s">
        <v>714</v>
      </c>
      <c r="D83" s="18" t="s">
        <v>106</v>
      </c>
      <c r="E83" s="18" t="s">
        <v>31</v>
      </c>
      <c r="F83" s="26" t="n">
        <v>12707.2</v>
      </c>
      <c r="G83" s="20" t="s">
        <v>155</v>
      </c>
    </row>
    <row r="84" customFormat="false" ht="15" hidden="false" customHeight="true" outlineLevel="0" collapsed="false">
      <c r="B84" s="17" t="n">
        <v>45717</v>
      </c>
      <c r="C84" s="18" t="s">
        <v>162</v>
      </c>
      <c r="D84" s="18" t="s">
        <v>106</v>
      </c>
      <c r="E84" s="18" t="s">
        <v>71</v>
      </c>
      <c r="F84" s="26" t="n">
        <v>2849.74</v>
      </c>
      <c r="G84" s="20" t="s">
        <v>155</v>
      </c>
    </row>
    <row r="85" customFormat="false" ht="15" hidden="false" customHeight="true" outlineLevel="0" collapsed="false">
      <c r="B85" s="17" t="n">
        <v>45717</v>
      </c>
      <c r="C85" s="18" t="s">
        <v>174</v>
      </c>
      <c r="D85" s="18" t="s">
        <v>106</v>
      </c>
      <c r="E85" s="18" t="s">
        <v>45</v>
      </c>
      <c r="F85" s="26" t="n">
        <v>132.6</v>
      </c>
      <c r="G85" s="20" t="s">
        <v>155</v>
      </c>
    </row>
    <row r="86" customFormat="false" ht="15" hidden="false" customHeight="true" outlineLevel="0" collapsed="false">
      <c r="B86" s="17" t="n">
        <v>45717</v>
      </c>
      <c r="C86" s="18" t="s">
        <v>157</v>
      </c>
      <c r="D86" s="18" t="s">
        <v>106</v>
      </c>
      <c r="E86" s="18" t="s">
        <v>52</v>
      </c>
      <c r="F86" s="26" t="n">
        <v>5501.74</v>
      </c>
      <c r="G86" s="20" t="s">
        <v>155</v>
      </c>
    </row>
    <row r="87" customFormat="false" ht="15" hidden="false" customHeight="true" outlineLevel="0" collapsed="false">
      <c r="B87" s="17" t="n">
        <v>45717</v>
      </c>
      <c r="C87" s="18" t="s">
        <v>715</v>
      </c>
      <c r="D87" s="18" t="s">
        <v>106</v>
      </c>
      <c r="E87" s="18" t="s">
        <v>34</v>
      </c>
      <c r="F87" s="26" t="n">
        <v>3100.25</v>
      </c>
      <c r="G87" s="20" t="s">
        <v>155</v>
      </c>
    </row>
    <row r="88" customFormat="false" ht="15" hidden="false" customHeight="true" outlineLevel="0" collapsed="false">
      <c r="B88" s="17" t="n">
        <v>45717</v>
      </c>
      <c r="C88" s="18" t="s">
        <v>716</v>
      </c>
      <c r="D88" s="18" t="s">
        <v>106</v>
      </c>
      <c r="E88" s="18" t="s">
        <v>38</v>
      </c>
      <c r="F88" s="26" t="n">
        <v>1980</v>
      </c>
      <c r="G88" s="20" t="s">
        <v>155</v>
      </c>
    </row>
    <row r="89" customFormat="false" ht="15" hidden="false" customHeight="true" outlineLevel="0" collapsed="false">
      <c r="B89" s="17" t="n">
        <v>45717</v>
      </c>
      <c r="C89" s="18" t="s">
        <v>175</v>
      </c>
      <c r="D89" s="18" t="s">
        <v>106</v>
      </c>
      <c r="E89" s="18" t="s">
        <v>43</v>
      </c>
      <c r="F89" s="26" t="n">
        <v>887.51</v>
      </c>
      <c r="G89" s="20" t="s">
        <v>155</v>
      </c>
    </row>
    <row r="90" customFormat="false" ht="15" hidden="false" customHeight="true" outlineLevel="0" collapsed="false">
      <c r="B90" s="17" t="n">
        <v>45717</v>
      </c>
      <c r="C90" s="18" t="s">
        <v>717</v>
      </c>
      <c r="D90" s="18" t="s">
        <v>106</v>
      </c>
      <c r="E90" s="18" t="s">
        <v>41</v>
      </c>
      <c r="F90" s="26" t="n">
        <v>2236.11</v>
      </c>
      <c r="G90" s="20" t="s">
        <v>155</v>
      </c>
    </row>
    <row r="91" customFormat="false" ht="15" hidden="false" customHeight="true" outlineLevel="0" collapsed="false">
      <c r="B91" s="17" t="n">
        <v>45717</v>
      </c>
      <c r="C91" s="18" t="s">
        <v>718</v>
      </c>
      <c r="D91" s="18" t="s">
        <v>106</v>
      </c>
      <c r="E91" s="18" t="s">
        <v>66</v>
      </c>
      <c r="F91" s="26" t="n">
        <v>1742</v>
      </c>
      <c r="G91" s="20" t="s">
        <v>155</v>
      </c>
    </row>
    <row r="92" customFormat="false" ht="15" hidden="false" customHeight="true" outlineLevel="0" collapsed="false">
      <c r="B92" s="17" t="n">
        <v>45717</v>
      </c>
      <c r="C92" s="18" t="s">
        <v>179</v>
      </c>
      <c r="D92" s="18" t="s">
        <v>106</v>
      </c>
      <c r="E92" s="18" t="s">
        <v>60</v>
      </c>
      <c r="F92" s="26" t="n">
        <v>487.21</v>
      </c>
      <c r="G92" s="20" t="s">
        <v>155</v>
      </c>
    </row>
    <row r="93" customFormat="false" ht="15" hidden="false" customHeight="true" outlineLevel="0" collapsed="false">
      <c r="B93" s="17" t="n">
        <v>45717</v>
      </c>
      <c r="C93" s="18" t="s">
        <v>719</v>
      </c>
      <c r="D93" s="18" t="s">
        <v>106</v>
      </c>
      <c r="E93" s="18" t="s">
        <v>33</v>
      </c>
      <c r="F93" s="26" t="n">
        <v>3356.39</v>
      </c>
      <c r="G93" s="20" t="s">
        <v>155</v>
      </c>
    </row>
    <row r="94" customFormat="false" ht="15" hidden="false" customHeight="true" outlineLevel="0" collapsed="false">
      <c r="B94" s="17" t="n">
        <v>45717</v>
      </c>
      <c r="C94" s="18" t="s">
        <v>181</v>
      </c>
      <c r="D94" s="18" t="s">
        <v>106</v>
      </c>
      <c r="E94" s="18" t="s">
        <v>53</v>
      </c>
      <c r="F94" s="26" t="n">
        <v>800</v>
      </c>
      <c r="G94" s="20" t="s">
        <v>155</v>
      </c>
    </row>
    <row r="95" customFormat="false" ht="15" hidden="false" customHeight="true" outlineLevel="0" collapsed="false">
      <c r="B95" s="17" t="n">
        <v>45717</v>
      </c>
      <c r="C95" s="18" t="s">
        <v>720</v>
      </c>
      <c r="D95" s="18" t="s">
        <v>106</v>
      </c>
      <c r="E95" s="18" t="s">
        <v>73</v>
      </c>
      <c r="F95" s="26" t="n">
        <v>172869.57</v>
      </c>
      <c r="G95" s="20" t="s">
        <v>155</v>
      </c>
    </row>
    <row r="96" customFormat="false" ht="15" hidden="false" customHeight="true" outlineLevel="0" collapsed="false">
      <c r="B96" s="17" t="n">
        <v>45717</v>
      </c>
      <c r="C96" s="18" t="s">
        <v>721</v>
      </c>
      <c r="D96" s="18" t="s">
        <v>106</v>
      </c>
      <c r="E96" s="18" t="s">
        <v>37</v>
      </c>
      <c r="F96" s="26" t="n">
        <v>1281.03</v>
      </c>
      <c r="G96" s="20" t="s">
        <v>155</v>
      </c>
    </row>
    <row r="97" customFormat="false" ht="15" hidden="false" customHeight="true" outlineLevel="0" collapsed="false">
      <c r="B97" s="17" t="n">
        <v>45717</v>
      </c>
      <c r="C97" s="18" t="s">
        <v>168</v>
      </c>
      <c r="D97" s="18" t="s">
        <v>106</v>
      </c>
      <c r="E97" s="18" t="s">
        <v>68</v>
      </c>
      <c r="F97" s="26" t="n">
        <v>109.53</v>
      </c>
      <c r="G97" s="20" t="s">
        <v>155</v>
      </c>
    </row>
    <row r="98" customFormat="false" ht="15" hidden="false" customHeight="true" outlineLevel="0" collapsed="false">
      <c r="B98" s="17" t="n">
        <v>45717</v>
      </c>
      <c r="C98" s="18" t="s">
        <v>722</v>
      </c>
      <c r="D98" s="18" t="s">
        <v>106</v>
      </c>
      <c r="E98" s="18" t="s">
        <v>35</v>
      </c>
      <c r="F98" s="26" t="n">
        <v>3423.75</v>
      </c>
      <c r="G98" s="20" t="s">
        <v>155</v>
      </c>
    </row>
    <row r="99" customFormat="false" ht="15" hidden="false" customHeight="true" outlineLevel="0" collapsed="false">
      <c r="B99" s="17" t="n">
        <v>45717</v>
      </c>
      <c r="C99" s="18" t="s">
        <v>176</v>
      </c>
      <c r="D99" s="18" t="s">
        <v>106</v>
      </c>
      <c r="E99" s="18" t="s">
        <v>48</v>
      </c>
      <c r="F99" s="26" t="n">
        <v>40</v>
      </c>
      <c r="G99" s="20" t="s">
        <v>155</v>
      </c>
    </row>
    <row r="100" customFormat="false" ht="15" hidden="false" customHeight="true" outlineLevel="0" collapsed="false">
      <c r="B100" s="17" t="n">
        <v>45717</v>
      </c>
      <c r="C100" s="18" t="s">
        <v>723</v>
      </c>
      <c r="D100" s="18" t="s">
        <v>106</v>
      </c>
      <c r="E100" s="18" t="s">
        <v>30</v>
      </c>
      <c r="F100" s="26" t="n">
        <v>39024.5</v>
      </c>
      <c r="G100" s="20" t="s">
        <v>155</v>
      </c>
    </row>
    <row r="101" customFormat="false" ht="15" hidden="false" customHeight="true" outlineLevel="0" collapsed="false">
      <c r="B101" s="17" t="n">
        <v>45717</v>
      </c>
      <c r="C101" s="18" t="s">
        <v>163</v>
      </c>
      <c r="D101" s="18" t="s">
        <v>106</v>
      </c>
      <c r="E101" s="18" t="s">
        <v>61</v>
      </c>
      <c r="F101" s="26" t="n">
        <v>3285.31</v>
      </c>
      <c r="G101" s="20" t="s">
        <v>155</v>
      </c>
    </row>
    <row r="102" customFormat="false" ht="15" hidden="false" customHeight="true" outlineLevel="0" collapsed="false">
      <c r="B102" s="17" t="n">
        <v>45717</v>
      </c>
      <c r="C102" s="18" t="s">
        <v>160</v>
      </c>
      <c r="D102" s="18" t="s">
        <v>106</v>
      </c>
      <c r="E102" s="18" t="s">
        <v>87</v>
      </c>
      <c r="F102" s="26" t="n">
        <v>6201.8</v>
      </c>
      <c r="G102" s="20" t="s">
        <v>155</v>
      </c>
    </row>
    <row r="103" customFormat="false" ht="15" hidden="false" customHeight="true" outlineLevel="0" collapsed="false">
      <c r="B103" s="17" t="n">
        <v>45717</v>
      </c>
      <c r="C103" s="18" t="s">
        <v>172</v>
      </c>
      <c r="D103" s="18" t="s">
        <v>106</v>
      </c>
      <c r="E103" s="18" t="s">
        <v>76</v>
      </c>
      <c r="F103" s="26" t="n">
        <v>1100</v>
      </c>
      <c r="G103" s="20" t="s">
        <v>155</v>
      </c>
    </row>
    <row r="104" customFormat="false" ht="15" hidden="false" customHeight="true" outlineLevel="0" collapsed="false">
      <c r="B104" s="17" t="n">
        <v>45717</v>
      </c>
      <c r="C104" s="18" t="s">
        <v>724</v>
      </c>
      <c r="D104" s="18" t="s">
        <v>106</v>
      </c>
      <c r="E104" s="18" t="s">
        <v>28</v>
      </c>
      <c r="F104" s="26" t="n">
        <v>21112.92</v>
      </c>
      <c r="G104" s="20" t="s">
        <v>155</v>
      </c>
    </row>
    <row r="105" customFormat="false" ht="15" hidden="false" customHeight="true" outlineLevel="0" collapsed="false">
      <c r="B105" s="17" t="n">
        <v>45717</v>
      </c>
      <c r="C105" s="18" t="s">
        <v>177</v>
      </c>
      <c r="D105" s="18" t="s">
        <v>106</v>
      </c>
      <c r="E105" s="18" t="s">
        <v>92</v>
      </c>
      <c r="F105" s="26" t="n">
        <v>50</v>
      </c>
      <c r="G105" s="20" t="s">
        <v>155</v>
      </c>
    </row>
    <row r="106" customFormat="false" ht="15" hidden="false" customHeight="true" outlineLevel="0" collapsed="false">
      <c r="B106" s="17" t="n">
        <v>45717</v>
      </c>
      <c r="C106" s="18" t="s">
        <v>178</v>
      </c>
      <c r="D106" s="18" t="s">
        <v>106</v>
      </c>
      <c r="E106" s="18" t="s">
        <v>46</v>
      </c>
      <c r="F106" s="26" t="n">
        <v>86</v>
      </c>
      <c r="G106" s="20" t="s">
        <v>155</v>
      </c>
    </row>
    <row r="107" customFormat="false" ht="15" hidden="false" customHeight="true" outlineLevel="0" collapsed="false">
      <c r="B107" s="17" t="n">
        <v>45717</v>
      </c>
      <c r="C107" s="18" t="s">
        <v>161</v>
      </c>
      <c r="D107" s="18" t="s">
        <v>106</v>
      </c>
      <c r="E107" s="18" t="s">
        <v>67</v>
      </c>
      <c r="F107" s="26" t="n">
        <v>250</v>
      </c>
      <c r="G107" s="20" t="s">
        <v>155</v>
      </c>
    </row>
    <row r="108" customFormat="false" ht="15" hidden="false" customHeight="true" outlineLevel="0" collapsed="false">
      <c r="B108" s="17" t="n">
        <v>45717</v>
      </c>
      <c r="C108" s="18" t="s">
        <v>171</v>
      </c>
      <c r="D108" s="18" t="s">
        <v>106</v>
      </c>
      <c r="E108" s="18" t="s">
        <v>83</v>
      </c>
      <c r="F108" s="26" t="n">
        <v>156.18</v>
      </c>
      <c r="G108" s="20" t="s">
        <v>155</v>
      </c>
    </row>
    <row r="109" customFormat="false" ht="15" hidden="false" customHeight="true" outlineLevel="0" collapsed="false">
      <c r="B109" s="17" t="n">
        <v>45717</v>
      </c>
      <c r="C109" s="18" t="s">
        <v>180</v>
      </c>
      <c r="D109" s="18" t="s">
        <v>106</v>
      </c>
      <c r="E109" s="18" t="s">
        <v>80</v>
      </c>
      <c r="F109" s="26" t="n">
        <v>3.7</v>
      </c>
      <c r="G109" s="20" t="s">
        <v>155</v>
      </c>
    </row>
    <row r="110" customFormat="false" ht="15" hidden="false" customHeight="true" outlineLevel="0" collapsed="false">
      <c r="B110" s="17" t="n">
        <v>45717</v>
      </c>
      <c r="C110" s="18" t="s">
        <v>725</v>
      </c>
      <c r="D110" s="18" t="s">
        <v>106</v>
      </c>
      <c r="E110" s="18" t="s">
        <v>32</v>
      </c>
      <c r="F110" s="26" t="n">
        <v>12.5</v>
      </c>
      <c r="G110" s="20" t="s">
        <v>155</v>
      </c>
    </row>
    <row r="111" customFormat="false" ht="15" hidden="false" customHeight="true" outlineLevel="0" collapsed="false">
      <c r="B111" s="17" t="n">
        <v>45717</v>
      </c>
      <c r="C111" s="18" t="s">
        <v>182</v>
      </c>
      <c r="D111" s="18" t="s">
        <v>106</v>
      </c>
      <c r="E111" s="18" t="s">
        <v>72</v>
      </c>
      <c r="F111" s="26" t="n">
        <v>300</v>
      </c>
      <c r="G111" s="20" t="s">
        <v>155</v>
      </c>
    </row>
    <row r="112" customFormat="false" ht="15" hidden="false" customHeight="true" outlineLevel="0" collapsed="false">
      <c r="B112" s="17" t="n">
        <v>45717</v>
      </c>
      <c r="C112" s="18" t="s">
        <v>167</v>
      </c>
      <c r="D112" s="18" t="s">
        <v>106</v>
      </c>
      <c r="E112" s="18" t="s">
        <v>50</v>
      </c>
      <c r="F112" s="26" t="n">
        <v>572.47</v>
      </c>
      <c r="G112" s="20" t="s">
        <v>155</v>
      </c>
    </row>
    <row r="113" customFormat="false" ht="15" hidden="false" customHeight="true" outlineLevel="0" collapsed="false">
      <c r="B113" s="17" t="n">
        <v>45717</v>
      </c>
      <c r="C113" s="18" t="s">
        <v>158</v>
      </c>
      <c r="D113" s="18" t="s">
        <v>106</v>
      </c>
      <c r="E113" s="18" t="s">
        <v>51</v>
      </c>
      <c r="F113" s="26" t="n">
        <v>33116.48</v>
      </c>
      <c r="G113" s="20" t="s">
        <v>155</v>
      </c>
    </row>
    <row r="114" customFormat="false" ht="15" hidden="false" customHeight="true" outlineLevel="0" collapsed="false">
      <c r="B114" s="17" t="n">
        <v>45717</v>
      </c>
      <c r="C114" s="18" t="s">
        <v>165</v>
      </c>
      <c r="D114" s="18" t="s">
        <v>106</v>
      </c>
      <c r="E114" s="18" t="s">
        <v>62</v>
      </c>
      <c r="F114" s="26" t="n">
        <v>140</v>
      </c>
      <c r="G114" s="20" t="s">
        <v>155</v>
      </c>
    </row>
    <row r="115" customFormat="false" ht="15" hidden="false" customHeight="true" outlineLevel="0" collapsed="false">
      <c r="B115" s="17" t="n">
        <v>45717</v>
      </c>
      <c r="C115" s="18" t="s">
        <v>164</v>
      </c>
      <c r="D115" s="18" t="s">
        <v>106</v>
      </c>
      <c r="E115" s="18" t="s">
        <v>64</v>
      </c>
      <c r="F115" s="26" t="n">
        <v>269.82</v>
      </c>
      <c r="G115" s="20" t="s">
        <v>155</v>
      </c>
    </row>
    <row r="116" customFormat="false" ht="15" hidden="false" customHeight="true" outlineLevel="0" collapsed="false">
      <c r="B116" s="17" t="n">
        <v>45717</v>
      </c>
      <c r="C116" s="18" t="s">
        <v>726</v>
      </c>
      <c r="D116" s="18" t="s">
        <v>106</v>
      </c>
      <c r="E116" s="18" t="s">
        <v>36</v>
      </c>
      <c r="F116" s="26" t="n">
        <v>14162.14</v>
      </c>
      <c r="G116" s="20" t="s">
        <v>155</v>
      </c>
    </row>
    <row r="117" customFormat="false" ht="15" hidden="false" customHeight="true" outlineLevel="0" collapsed="false">
      <c r="B117" s="17" t="n">
        <v>45717</v>
      </c>
      <c r="C117" s="18" t="s">
        <v>156</v>
      </c>
      <c r="D117" s="18" t="s">
        <v>106</v>
      </c>
      <c r="E117" s="18" t="s">
        <v>77</v>
      </c>
      <c r="F117" s="26" t="n">
        <v>3.3</v>
      </c>
      <c r="G117" s="20" t="s">
        <v>155</v>
      </c>
    </row>
    <row r="118" customFormat="false" ht="15" hidden="false" customHeight="true" outlineLevel="0" collapsed="false">
      <c r="B118" s="17" t="n">
        <v>45717</v>
      </c>
      <c r="C118" s="18" t="s">
        <v>727</v>
      </c>
      <c r="D118" s="18" t="s">
        <v>106</v>
      </c>
      <c r="E118" s="18" t="s">
        <v>26</v>
      </c>
      <c r="F118" s="26" t="n">
        <v>56133.72</v>
      </c>
      <c r="G118" s="20" t="s">
        <v>155</v>
      </c>
    </row>
    <row r="119" customFormat="false" ht="15" hidden="false" customHeight="true" outlineLevel="0" collapsed="false">
      <c r="B119" s="17" t="n">
        <v>45717</v>
      </c>
      <c r="C119" s="18" t="s">
        <v>728</v>
      </c>
      <c r="D119" s="18" t="s">
        <v>106</v>
      </c>
      <c r="E119" s="18" t="s">
        <v>65</v>
      </c>
      <c r="F119" s="26" t="n">
        <v>240</v>
      </c>
      <c r="G119" s="20" t="s">
        <v>155</v>
      </c>
    </row>
    <row r="120" customFormat="false" ht="15" hidden="false" customHeight="true" outlineLevel="0" collapsed="false">
      <c r="B120" s="17" t="n">
        <v>45717</v>
      </c>
      <c r="C120" s="18" t="s">
        <v>170</v>
      </c>
      <c r="D120" s="18" t="s">
        <v>106</v>
      </c>
      <c r="E120" s="18" t="s">
        <v>78</v>
      </c>
      <c r="F120" s="26" t="n">
        <v>520</v>
      </c>
      <c r="G120" s="20" t="s">
        <v>155</v>
      </c>
    </row>
    <row r="121" customFormat="false" ht="15" hidden="false" customHeight="true" outlineLevel="0" collapsed="false">
      <c r="B121" s="17" t="n">
        <v>45717</v>
      </c>
      <c r="C121" s="18" t="s">
        <v>729</v>
      </c>
      <c r="D121" s="18" t="s">
        <v>106</v>
      </c>
      <c r="E121" s="18" t="s">
        <v>29</v>
      </c>
      <c r="F121" s="26" t="n">
        <v>4619</v>
      </c>
      <c r="G121" s="20" t="s">
        <v>155</v>
      </c>
    </row>
    <row r="122" customFormat="false" ht="15" hidden="false" customHeight="true" outlineLevel="0" collapsed="false">
      <c r="B122" s="17" t="n">
        <v>45717</v>
      </c>
      <c r="C122" s="18" t="s">
        <v>730</v>
      </c>
      <c r="D122" s="18" t="s">
        <v>106</v>
      </c>
      <c r="E122" s="18" t="s">
        <v>63</v>
      </c>
      <c r="F122" s="26" t="n">
        <v>12013.66</v>
      </c>
      <c r="G122" s="20" t="s">
        <v>155</v>
      </c>
    </row>
    <row r="123" customFormat="false" ht="15" hidden="false" customHeight="true" outlineLevel="0" collapsed="false">
      <c r="B123" s="17" t="n">
        <v>45717</v>
      </c>
      <c r="C123" s="18" t="s">
        <v>166</v>
      </c>
      <c r="D123" s="18" t="s">
        <v>106</v>
      </c>
      <c r="E123" s="18" t="s">
        <v>49</v>
      </c>
      <c r="F123" s="26" t="n">
        <v>2780</v>
      </c>
      <c r="G123" s="20" t="s">
        <v>155</v>
      </c>
    </row>
    <row r="124" customFormat="false" ht="15" hidden="false" customHeight="true" outlineLevel="0" collapsed="false">
      <c r="B124" s="17" t="n">
        <v>45717</v>
      </c>
      <c r="C124" s="18" t="s">
        <v>159</v>
      </c>
      <c r="D124" s="18" t="s">
        <v>106</v>
      </c>
      <c r="E124" s="18" t="s">
        <v>59</v>
      </c>
      <c r="F124" s="26" t="n">
        <v>3650.02</v>
      </c>
      <c r="G124" s="20" t="s">
        <v>155</v>
      </c>
    </row>
    <row r="125" customFormat="false" ht="15" hidden="false" customHeight="true" outlineLevel="0" collapsed="false">
      <c r="B125" s="17" t="n">
        <v>45717</v>
      </c>
      <c r="C125" s="18" t="s">
        <v>731</v>
      </c>
      <c r="D125" s="18" t="s">
        <v>106</v>
      </c>
      <c r="E125" s="18" t="s">
        <v>54</v>
      </c>
      <c r="F125" s="26" t="n">
        <v>890</v>
      </c>
      <c r="G125" s="20" t="s">
        <v>155</v>
      </c>
    </row>
    <row r="126" customFormat="false" ht="15" hidden="false" customHeight="true" outlineLevel="0" collapsed="false">
      <c r="B126" s="17" t="n">
        <v>45717</v>
      </c>
      <c r="C126" s="18" t="s">
        <v>169</v>
      </c>
      <c r="D126" s="18" t="s">
        <v>106</v>
      </c>
      <c r="E126" s="18" t="s">
        <v>69</v>
      </c>
      <c r="F126" s="26" t="n">
        <v>196.62</v>
      </c>
      <c r="G126" s="20" t="s">
        <v>155</v>
      </c>
    </row>
    <row r="127" customFormat="false" ht="15" hidden="false" customHeight="true" outlineLevel="0" collapsed="false">
      <c r="B127" s="17" t="n">
        <v>45748</v>
      </c>
      <c r="C127" s="18" t="s">
        <v>732</v>
      </c>
      <c r="D127" s="18" t="s">
        <v>106</v>
      </c>
      <c r="E127" s="18" t="s">
        <v>31</v>
      </c>
      <c r="F127" s="26" t="n">
        <v>6113.8</v>
      </c>
      <c r="G127" s="20" t="s">
        <v>185</v>
      </c>
    </row>
    <row r="128" customFormat="false" ht="15" hidden="false" customHeight="true" outlineLevel="0" collapsed="false">
      <c r="B128" s="17" t="n">
        <v>45748</v>
      </c>
      <c r="C128" s="18" t="s">
        <v>191</v>
      </c>
      <c r="D128" s="18" t="s">
        <v>106</v>
      </c>
      <c r="E128" s="18" t="s">
        <v>71</v>
      </c>
      <c r="F128" s="26" t="n">
        <v>5353.37</v>
      </c>
      <c r="G128" s="20" t="s">
        <v>185</v>
      </c>
    </row>
    <row r="129" customFormat="false" ht="15" hidden="false" customHeight="true" outlineLevel="0" collapsed="false">
      <c r="B129" s="17" t="n">
        <v>45748</v>
      </c>
      <c r="C129" s="18" t="s">
        <v>203</v>
      </c>
      <c r="D129" s="18" t="s">
        <v>106</v>
      </c>
      <c r="E129" s="18" t="s">
        <v>45</v>
      </c>
      <c r="F129" s="26" t="n">
        <v>130.94</v>
      </c>
      <c r="G129" s="20" t="s">
        <v>185</v>
      </c>
    </row>
    <row r="130" customFormat="false" ht="15" hidden="false" customHeight="true" outlineLevel="0" collapsed="false">
      <c r="B130" s="17" t="n">
        <v>45748</v>
      </c>
      <c r="C130" s="18" t="s">
        <v>187</v>
      </c>
      <c r="D130" s="18" t="s">
        <v>106</v>
      </c>
      <c r="E130" s="18" t="s">
        <v>52</v>
      </c>
      <c r="F130" s="26" t="n">
        <v>5514.62</v>
      </c>
      <c r="G130" s="20" t="s">
        <v>185</v>
      </c>
    </row>
    <row r="131" customFormat="false" ht="15" hidden="false" customHeight="true" outlineLevel="0" collapsed="false">
      <c r="B131" s="17" t="n">
        <v>45748</v>
      </c>
      <c r="C131" s="18" t="s">
        <v>733</v>
      </c>
      <c r="D131" s="18" t="s">
        <v>106</v>
      </c>
      <c r="E131" s="18" t="s">
        <v>34</v>
      </c>
      <c r="F131" s="26" t="n">
        <v>4113.66</v>
      </c>
      <c r="G131" s="20" t="s">
        <v>185</v>
      </c>
    </row>
    <row r="132" customFormat="false" ht="15" hidden="false" customHeight="true" outlineLevel="0" collapsed="false">
      <c r="B132" s="17" t="n">
        <v>45748</v>
      </c>
      <c r="C132" s="18" t="s">
        <v>734</v>
      </c>
      <c r="D132" s="18" t="s">
        <v>106</v>
      </c>
      <c r="E132" s="18" t="s">
        <v>38</v>
      </c>
      <c r="F132" s="26" t="n">
        <v>2990</v>
      </c>
      <c r="G132" s="20" t="s">
        <v>185</v>
      </c>
    </row>
    <row r="133" customFormat="false" ht="15" hidden="false" customHeight="true" outlineLevel="0" collapsed="false">
      <c r="B133" s="17" t="n">
        <v>45748</v>
      </c>
      <c r="C133" s="18" t="s">
        <v>204</v>
      </c>
      <c r="D133" s="18" t="s">
        <v>106</v>
      </c>
      <c r="E133" s="18" t="s">
        <v>43</v>
      </c>
      <c r="F133" s="26" t="n">
        <v>1040.05</v>
      </c>
      <c r="G133" s="20" t="s">
        <v>185</v>
      </c>
    </row>
    <row r="134" customFormat="false" ht="15" hidden="false" customHeight="true" outlineLevel="0" collapsed="false">
      <c r="B134" s="17" t="n">
        <v>45748</v>
      </c>
      <c r="C134" s="18" t="s">
        <v>735</v>
      </c>
      <c r="D134" s="18" t="s">
        <v>106</v>
      </c>
      <c r="E134" s="18" t="s">
        <v>41</v>
      </c>
      <c r="F134" s="26" t="n">
        <v>2895.85</v>
      </c>
      <c r="G134" s="20" t="s">
        <v>185</v>
      </c>
    </row>
    <row r="135" customFormat="false" ht="15" hidden="false" customHeight="true" outlineLevel="0" collapsed="false">
      <c r="B135" s="17" t="n">
        <v>45748</v>
      </c>
      <c r="C135" s="18" t="s">
        <v>736</v>
      </c>
      <c r="D135" s="18" t="s">
        <v>106</v>
      </c>
      <c r="E135" s="18" t="s">
        <v>66</v>
      </c>
      <c r="F135" s="26" t="n">
        <v>1742</v>
      </c>
      <c r="G135" s="20" t="s">
        <v>185</v>
      </c>
    </row>
    <row r="136" customFormat="false" ht="15" hidden="false" customHeight="true" outlineLevel="0" collapsed="false">
      <c r="B136" s="17" t="n">
        <v>45748</v>
      </c>
      <c r="C136" s="18" t="s">
        <v>211</v>
      </c>
      <c r="D136" s="18" t="s">
        <v>106</v>
      </c>
      <c r="E136" s="18" t="s">
        <v>60</v>
      </c>
      <c r="F136" s="26" t="n">
        <v>298.48</v>
      </c>
      <c r="G136" s="20" t="s">
        <v>185</v>
      </c>
    </row>
    <row r="137" customFormat="false" ht="15" hidden="false" customHeight="true" outlineLevel="0" collapsed="false">
      <c r="B137" s="17" t="n">
        <v>45748</v>
      </c>
      <c r="C137" s="18" t="s">
        <v>737</v>
      </c>
      <c r="D137" s="18" t="s">
        <v>106</v>
      </c>
      <c r="E137" s="18" t="s">
        <v>33</v>
      </c>
      <c r="F137" s="26" t="n">
        <v>5355</v>
      </c>
      <c r="G137" s="20" t="s">
        <v>185</v>
      </c>
    </row>
    <row r="138" customFormat="false" ht="15" hidden="false" customHeight="true" outlineLevel="0" collapsed="false">
      <c r="B138" s="17" t="n">
        <v>45748</v>
      </c>
      <c r="C138" s="18" t="s">
        <v>200</v>
      </c>
      <c r="D138" s="18" t="s">
        <v>106</v>
      </c>
      <c r="E138" s="18" t="s">
        <v>42</v>
      </c>
      <c r="F138" s="26" t="n">
        <v>2170.05</v>
      </c>
      <c r="G138" s="20" t="s">
        <v>185</v>
      </c>
    </row>
    <row r="139" customFormat="false" ht="15" hidden="false" customHeight="true" outlineLevel="0" collapsed="false">
      <c r="B139" s="17" t="n">
        <v>45748</v>
      </c>
      <c r="C139" s="18" t="s">
        <v>738</v>
      </c>
      <c r="D139" s="18" t="s">
        <v>106</v>
      </c>
      <c r="E139" s="18" t="s">
        <v>73</v>
      </c>
      <c r="F139" s="26" t="n">
        <v>172383.59</v>
      </c>
      <c r="G139" s="20" t="s">
        <v>185</v>
      </c>
    </row>
    <row r="140" customFormat="false" ht="15" hidden="false" customHeight="true" outlineLevel="0" collapsed="false">
      <c r="B140" s="17" t="n">
        <v>45748</v>
      </c>
      <c r="C140" s="18" t="s">
        <v>197</v>
      </c>
      <c r="D140" s="18" t="s">
        <v>106</v>
      </c>
      <c r="E140" s="18" t="s">
        <v>68</v>
      </c>
      <c r="F140" s="26" t="n">
        <v>290.1</v>
      </c>
      <c r="G140" s="20" t="s">
        <v>185</v>
      </c>
    </row>
    <row r="141" customFormat="false" ht="15" hidden="false" customHeight="true" outlineLevel="0" collapsed="false">
      <c r="B141" s="17" t="n">
        <v>45748</v>
      </c>
      <c r="C141" s="18" t="s">
        <v>739</v>
      </c>
      <c r="D141" s="18" t="s">
        <v>106</v>
      </c>
      <c r="E141" s="18" t="s">
        <v>35</v>
      </c>
      <c r="F141" s="26" t="n">
        <v>3121.57</v>
      </c>
      <c r="G141" s="20" t="s">
        <v>185</v>
      </c>
    </row>
    <row r="142" customFormat="false" ht="15" hidden="false" customHeight="true" outlineLevel="0" collapsed="false">
      <c r="B142" s="17" t="n">
        <v>45748</v>
      </c>
      <c r="C142" s="18" t="s">
        <v>206</v>
      </c>
      <c r="D142" s="18" t="s">
        <v>106</v>
      </c>
      <c r="E142" s="18" t="s">
        <v>48</v>
      </c>
      <c r="F142" s="26" t="n">
        <v>35</v>
      </c>
      <c r="G142" s="20" t="s">
        <v>185</v>
      </c>
    </row>
    <row r="143" customFormat="false" ht="15" hidden="false" customHeight="true" outlineLevel="0" collapsed="false">
      <c r="B143" s="17" t="n">
        <v>45748</v>
      </c>
      <c r="C143" s="18" t="s">
        <v>740</v>
      </c>
      <c r="D143" s="18" t="s">
        <v>106</v>
      </c>
      <c r="E143" s="18" t="s">
        <v>30</v>
      </c>
      <c r="F143" s="26" t="n">
        <v>54454.5</v>
      </c>
      <c r="G143" s="20" t="s">
        <v>185</v>
      </c>
    </row>
    <row r="144" customFormat="false" ht="15" hidden="false" customHeight="true" outlineLevel="0" collapsed="false">
      <c r="B144" s="17" t="n">
        <v>45748</v>
      </c>
      <c r="C144" s="18" t="s">
        <v>192</v>
      </c>
      <c r="D144" s="18" t="s">
        <v>106</v>
      </c>
      <c r="E144" s="18" t="s">
        <v>61</v>
      </c>
      <c r="F144" s="26" t="n">
        <v>4631.51</v>
      </c>
      <c r="G144" s="20" t="s">
        <v>185</v>
      </c>
    </row>
    <row r="145" customFormat="false" ht="15" hidden="false" customHeight="true" outlineLevel="0" collapsed="false">
      <c r="B145" s="17" t="n">
        <v>45748</v>
      </c>
      <c r="C145" s="18" t="s">
        <v>201</v>
      </c>
      <c r="D145" s="18" t="s">
        <v>106</v>
      </c>
      <c r="E145" s="18" t="s">
        <v>76</v>
      </c>
      <c r="F145" s="26" t="n">
        <v>1100</v>
      </c>
      <c r="G145" s="20" t="s">
        <v>185</v>
      </c>
    </row>
    <row r="146" customFormat="false" ht="15" hidden="false" customHeight="true" outlineLevel="0" collapsed="false">
      <c r="B146" s="17" t="n">
        <v>45748</v>
      </c>
      <c r="C146" s="18" t="s">
        <v>741</v>
      </c>
      <c r="D146" s="18" t="s">
        <v>106</v>
      </c>
      <c r="E146" s="18" t="s">
        <v>28</v>
      </c>
      <c r="F146" s="26" t="n">
        <v>25235</v>
      </c>
      <c r="G146" s="20" t="s">
        <v>185</v>
      </c>
    </row>
    <row r="147" customFormat="false" ht="15" hidden="false" customHeight="true" outlineLevel="0" collapsed="false">
      <c r="B147" s="17" t="n">
        <v>45748</v>
      </c>
      <c r="C147" s="18" t="s">
        <v>207</v>
      </c>
      <c r="D147" s="18" t="s">
        <v>106</v>
      </c>
      <c r="E147" s="18" t="s">
        <v>92</v>
      </c>
      <c r="F147" s="26" t="n">
        <v>150</v>
      </c>
      <c r="G147" s="20" t="s">
        <v>185</v>
      </c>
    </row>
    <row r="148" customFormat="false" ht="15" hidden="false" customHeight="true" outlineLevel="0" collapsed="false">
      <c r="B148" s="17" t="n">
        <v>45748</v>
      </c>
      <c r="C148" s="18" t="s">
        <v>205</v>
      </c>
      <c r="D148" s="18" t="s">
        <v>106</v>
      </c>
      <c r="E148" s="18" t="s">
        <v>44</v>
      </c>
      <c r="F148" s="26" t="n">
        <v>110</v>
      </c>
      <c r="G148" s="20" t="s">
        <v>185</v>
      </c>
    </row>
    <row r="149" customFormat="false" ht="15" hidden="false" customHeight="true" outlineLevel="0" collapsed="false">
      <c r="B149" s="17" t="n">
        <v>45748</v>
      </c>
      <c r="C149" s="18" t="s">
        <v>208</v>
      </c>
      <c r="D149" s="18" t="s">
        <v>106</v>
      </c>
      <c r="E149" s="18" t="s">
        <v>46</v>
      </c>
      <c r="F149" s="26" t="n">
        <v>305</v>
      </c>
      <c r="G149" s="20" t="s">
        <v>185</v>
      </c>
    </row>
    <row r="150" customFormat="false" ht="15" hidden="false" customHeight="true" outlineLevel="0" collapsed="false">
      <c r="B150" s="17" t="n">
        <v>45748</v>
      </c>
      <c r="C150" s="18" t="s">
        <v>215</v>
      </c>
      <c r="D150" s="18" t="s">
        <v>106</v>
      </c>
      <c r="E150" s="18" t="s">
        <v>74</v>
      </c>
      <c r="F150" s="26" t="n">
        <v>786.86</v>
      </c>
      <c r="G150" s="20" t="s">
        <v>185</v>
      </c>
    </row>
    <row r="151" customFormat="false" ht="15" hidden="false" customHeight="true" outlineLevel="0" collapsed="false">
      <c r="B151" s="17" t="n">
        <v>45748</v>
      </c>
      <c r="C151" s="18" t="s">
        <v>190</v>
      </c>
      <c r="D151" s="18" t="s">
        <v>106</v>
      </c>
      <c r="E151" s="18" t="s">
        <v>67</v>
      </c>
      <c r="F151" s="26" t="n">
        <v>48.93</v>
      </c>
      <c r="G151" s="20" t="s">
        <v>185</v>
      </c>
    </row>
    <row r="152" customFormat="false" ht="15" hidden="false" customHeight="true" outlineLevel="0" collapsed="false">
      <c r="B152" s="17" t="n">
        <v>45748</v>
      </c>
      <c r="C152" s="18" t="s">
        <v>196</v>
      </c>
      <c r="D152" s="18" t="s">
        <v>106</v>
      </c>
      <c r="E152" s="18" t="s">
        <v>50</v>
      </c>
      <c r="F152" s="26" t="n">
        <v>3907.98</v>
      </c>
      <c r="G152" s="20" t="s">
        <v>185</v>
      </c>
    </row>
    <row r="153" customFormat="false" ht="15" hidden="false" customHeight="true" outlineLevel="0" collapsed="false">
      <c r="B153" s="17" t="n">
        <v>45748</v>
      </c>
      <c r="C153" s="18" t="s">
        <v>188</v>
      </c>
      <c r="D153" s="18" t="s">
        <v>106</v>
      </c>
      <c r="E153" s="18" t="s">
        <v>51</v>
      </c>
      <c r="F153" s="26" t="n">
        <v>27082.92</v>
      </c>
      <c r="G153" s="20" t="s">
        <v>185</v>
      </c>
    </row>
    <row r="154" customFormat="false" ht="15" hidden="false" customHeight="true" outlineLevel="0" collapsed="false">
      <c r="B154" s="17" t="n">
        <v>45748</v>
      </c>
      <c r="C154" s="18" t="s">
        <v>194</v>
      </c>
      <c r="D154" s="18" t="s">
        <v>106</v>
      </c>
      <c r="E154" s="18" t="s">
        <v>62</v>
      </c>
      <c r="F154" s="26" t="n">
        <v>140</v>
      </c>
      <c r="G154" s="20" t="s">
        <v>185</v>
      </c>
    </row>
    <row r="155" customFormat="false" ht="15" hidden="false" customHeight="true" outlineLevel="0" collapsed="false">
      <c r="B155" s="17" t="n">
        <v>45748</v>
      </c>
      <c r="C155" s="18" t="s">
        <v>193</v>
      </c>
      <c r="D155" s="18" t="s">
        <v>106</v>
      </c>
      <c r="E155" s="18" t="s">
        <v>64</v>
      </c>
      <c r="F155" s="26" t="n">
        <v>269.82</v>
      </c>
      <c r="G155" s="20" t="s">
        <v>185</v>
      </c>
    </row>
    <row r="156" customFormat="false" ht="15" hidden="false" customHeight="true" outlineLevel="0" collapsed="false">
      <c r="B156" s="17" t="n">
        <v>45748</v>
      </c>
      <c r="C156" s="18" t="s">
        <v>742</v>
      </c>
      <c r="D156" s="18" t="s">
        <v>106</v>
      </c>
      <c r="E156" s="18" t="s">
        <v>36</v>
      </c>
      <c r="F156" s="26" t="n">
        <v>10586.11</v>
      </c>
      <c r="G156" s="20" t="s">
        <v>185</v>
      </c>
    </row>
    <row r="157" customFormat="false" ht="15" hidden="false" customHeight="true" outlineLevel="0" collapsed="false">
      <c r="B157" s="17" t="n">
        <v>45748</v>
      </c>
      <c r="C157" s="18" t="s">
        <v>186</v>
      </c>
      <c r="D157" s="18" t="s">
        <v>106</v>
      </c>
      <c r="E157" s="18" t="s">
        <v>77</v>
      </c>
      <c r="F157" s="26" t="n">
        <v>646.87</v>
      </c>
      <c r="G157" s="20" t="s">
        <v>185</v>
      </c>
    </row>
    <row r="158" customFormat="false" ht="15" hidden="false" customHeight="true" outlineLevel="0" collapsed="false">
      <c r="B158" s="17" t="n">
        <v>45748</v>
      </c>
      <c r="C158" s="18" t="s">
        <v>743</v>
      </c>
      <c r="D158" s="18" t="s">
        <v>106</v>
      </c>
      <c r="E158" s="18" t="s">
        <v>26</v>
      </c>
      <c r="F158" s="26" t="n">
        <v>145124.9</v>
      </c>
      <c r="G158" s="20" t="s">
        <v>185</v>
      </c>
    </row>
    <row r="159" customFormat="false" ht="15" hidden="false" customHeight="true" outlineLevel="0" collapsed="false">
      <c r="B159" s="17" t="n">
        <v>45748</v>
      </c>
      <c r="C159" s="18" t="s">
        <v>209</v>
      </c>
      <c r="D159" s="18" t="s">
        <v>106</v>
      </c>
      <c r="E159" s="18" t="s">
        <v>65</v>
      </c>
      <c r="F159" s="26" t="n">
        <v>263.22</v>
      </c>
      <c r="G159" s="20" t="s">
        <v>185</v>
      </c>
    </row>
    <row r="160" customFormat="false" ht="15" hidden="false" customHeight="true" outlineLevel="0" collapsed="false">
      <c r="B160" s="17" t="n">
        <v>45748</v>
      </c>
      <c r="C160" s="18" t="s">
        <v>199</v>
      </c>
      <c r="D160" s="18" t="s">
        <v>106</v>
      </c>
      <c r="E160" s="18" t="s">
        <v>78</v>
      </c>
      <c r="F160" s="26" t="n">
        <v>630</v>
      </c>
      <c r="G160" s="20" t="s">
        <v>185</v>
      </c>
    </row>
    <row r="161" customFormat="false" ht="15" hidden="false" customHeight="true" outlineLevel="0" collapsed="false">
      <c r="B161" s="17" t="n">
        <v>45748</v>
      </c>
      <c r="C161" s="18" t="s">
        <v>744</v>
      </c>
      <c r="D161" s="18" t="s">
        <v>106</v>
      </c>
      <c r="E161" s="18" t="s">
        <v>29</v>
      </c>
      <c r="F161" s="26" t="n">
        <v>2571</v>
      </c>
      <c r="G161" s="20" t="s">
        <v>185</v>
      </c>
    </row>
    <row r="162" customFormat="false" ht="15" hidden="false" customHeight="true" outlineLevel="0" collapsed="false">
      <c r="B162" s="17" t="n">
        <v>45748</v>
      </c>
      <c r="C162" s="18" t="s">
        <v>213</v>
      </c>
      <c r="D162" s="18" t="s">
        <v>106</v>
      </c>
      <c r="E162" s="18" t="s">
        <v>63</v>
      </c>
      <c r="F162" s="26" t="n">
        <v>12013.66</v>
      </c>
      <c r="G162" s="20" t="s">
        <v>185</v>
      </c>
    </row>
    <row r="163" customFormat="false" ht="15" hidden="false" customHeight="true" outlineLevel="0" collapsed="false">
      <c r="B163" s="17" t="n">
        <v>45748</v>
      </c>
      <c r="C163" s="18" t="s">
        <v>210</v>
      </c>
      <c r="D163" s="18" t="s">
        <v>106</v>
      </c>
      <c r="E163" s="18" t="s">
        <v>91</v>
      </c>
      <c r="F163" s="26" t="n">
        <v>2448</v>
      </c>
      <c r="G163" s="20" t="s">
        <v>185</v>
      </c>
    </row>
    <row r="164" customFormat="false" ht="15" hidden="false" customHeight="true" outlineLevel="0" collapsed="false">
      <c r="B164" s="17" t="n">
        <v>45748</v>
      </c>
      <c r="C164" s="18" t="s">
        <v>195</v>
      </c>
      <c r="D164" s="18" t="s">
        <v>106</v>
      </c>
      <c r="E164" s="18" t="s">
        <v>49</v>
      </c>
      <c r="F164" s="26" t="n">
        <v>2460</v>
      </c>
      <c r="G164" s="20" t="s">
        <v>185</v>
      </c>
    </row>
    <row r="165" customFormat="false" ht="15" hidden="false" customHeight="true" outlineLevel="0" collapsed="false">
      <c r="B165" s="17" t="n">
        <v>45748</v>
      </c>
      <c r="C165" s="18" t="s">
        <v>189</v>
      </c>
      <c r="D165" s="18" t="s">
        <v>106</v>
      </c>
      <c r="E165" s="18" t="s">
        <v>59</v>
      </c>
      <c r="F165" s="26" t="n">
        <v>3150</v>
      </c>
      <c r="G165" s="20" t="s">
        <v>185</v>
      </c>
    </row>
    <row r="166" customFormat="false" ht="15" hidden="false" customHeight="true" outlineLevel="0" collapsed="false">
      <c r="B166" s="17" t="n">
        <v>45748</v>
      </c>
      <c r="C166" s="18" t="s">
        <v>214</v>
      </c>
      <c r="D166" s="18" t="s">
        <v>106</v>
      </c>
      <c r="E166" s="18" t="s">
        <v>79</v>
      </c>
      <c r="F166" s="26" t="n">
        <v>1360</v>
      </c>
      <c r="G166" s="20" t="s">
        <v>185</v>
      </c>
    </row>
    <row r="167" customFormat="false" ht="15" hidden="false" customHeight="true" outlineLevel="0" collapsed="false">
      <c r="B167" s="17" t="n">
        <v>45748</v>
      </c>
      <c r="C167" s="18" t="s">
        <v>745</v>
      </c>
      <c r="D167" s="18" t="s">
        <v>106</v>
      </c>
      <c r="E167" s="18" t="s">
        <v>54</v>
      </c>
      <c r="F167" s="26" t="n">
        <v>890</v>
      </c>
      <c r="G167" s="20" t="s">
        <v>185</v>
      </c>
    </row>
    <row r="168" customFormat="false" ht="15" hidden="false" customHeight="true" outlineLevel="0" collapsed="false">
      <c r="B168" s="17" t="n">
        <v>45748</v>
      </c>
      <c r="C168" s="18" t="s">
        <v>198</v>
      </c>
      <c r="D168" s="18" t="s">
        <v>106</v>
      </c>
      <c r="E168" s="18" t="s">
        <v>69</v>
      </c>
      <c r="F168" s="26" t="n">
        <v>332.28</v>
      </c>
      <c r="G168" s="20" t="s">
        <v>185</v>
      </c>
    </row>
    <row r="169" customFormat="false" ht="15" hidden="false" customHeight="true" outlineLevel="0" collapsed="false">
      <c r="B169" s="17" t="n">
        <v>45778</v>
      </c>
      <c r="C169" s="18" t="s">
        <v>746</v>
      </c>
      <c r="D169" s="18" t="s">
        <v>106</v>
      </c>
      <c r="E169" s="18" t="s">
        <v>31</v>
      </c>
      <c r="F169" s="26" t="n">
        <v>13440.9</v>
      </c>
      <c r="G169" s="20" t="s">
        <v>218</v>
      </c>
    </row>
    <row r="170" customFormat="false" ht="15" hidden="false" customHeight="true" outlineLevel="0" collapsed="false">
      <c r="B170" s="17" t="n">
        <v>45778</v>
      </c>
      <c r="C170" s="18" t="s">
        <v>224</v>
      </c>
      <c r="D170" s="18" t="s">
        <v>106</v>
      </c>
      <c r="E170" s="18" t="s">
        <v>71</v>
      </c>
      <c r="F170" s="26" t="n">
        <v>1360</v>
      </c>
      <c r="G170" s="20" t="s">
        <v>218</v>
      </c>
    </row>
    <row r="171" customFormat="false" ht="15" hidden="false" customHeight="true" outlineLevel="0" collapsed="false">
      <c r="B171" s="17" t="n">
        <v>45778</v>
      </c>
      <c r="C171" s="18" t="s">
        <v>235</v>
      </c>
      <c r="D171" s="18" t="s">
        <v>106</v>
      </c>
      <c r="E171" s="18" t="s">
        <v>45</v>
      </c>
      <c r="F171" s="26" t="n">
        <v>163.13</v>
      </c>
      <c r="G171" s="20" t="s">
        <v>218</v>
      </c>
    </row>
    <row r="172" customFormat="false" ht="15" hidden="false" customHeight="true" outlineLevel="0" collapsed="false">
      <c r="B172" s="17" t="n">
        <v>45778</v>
      </c>
      <c r="C172" s="18" t="s">
        <v>220</v>
      </c>
      <c r="D172" s="18" t="s">
        <v>106</v>
      </c>
      <c r="E172" s="18" t="s">
        <v>52</v>
      </c>
      <c r="F172" s="26" t="n">
        <v>5667.46</v>
      </c>
      <c r="G172" s="20" t="s">
        <v>218</v>
      </c>
    </row>
    <row r="173" customFormat="false" ht="15" hidden="false" customHeight="true" outlineLevel="0" collapsed="false">
      <c r="B173" s="17" t="n">
        <v>45778</v>
      </c>
      <c r="C173" s="18" t="s">
        <v>747</v>
      </c>
      <c r="D173" s="18" t="s">
        <v>106</v>
      </c>
      <c r="E173" s="18" t="s">
        <v>34</v>
      </c>
      <c r="F173" s="26" t="n">
        <v>2896.39</v>
      </c>
      <c r="G173" s="20" t="s">
        <v>218</v>
      </c>
    </row>
    <row r="174" customFormat="false" ht="15" hidden="false" customHeight="true" outlineLevel="0" collapsed="false">
      <c r="B174" s="17" t="n">
        <v>45778</v>
      </c>
      <c r="C174" s="18" t="s">
        <v>748</v>
      </c>
      <c r="D174" s="18" t="s">
        <v>106</v>
      </c>
      <c r="E174" s="18" t="s">
        <v>38</v>
      </c>
      <c r="F174" s="26" t="n">
        <v>5469.4</v>
      </c>
      <c r="G174" s="20" t="s">
        <v>218</v>
      </c>
    </row>
    <row r="175" customFormat="false" ht="15" hidden="false" customHeight="true" outlineLevel="0" collapsed="false">
      <c r="B175" s="17" t="n">
        <v>45778</v>
      </c>
      <c r="C175" s="18" t="s">
        <v>236</v>
      </c>
      <c r="D175" s="18" t="s">
        <v>106</v>
      </c>
      <c r="E175" s="18" t="s">
        <v>43</v>
      </c>
      <c r="F175" s="26" t="n">
        <v>1396.51</v>
      </c>
      <c r="G175" s="20" t="s">
        <v>218</v>
      </c>
    </row>
    <row r="176" customFormat="false" ht="15" hidden="false" customHeight="true" outlineLevel="0" collapsed="false">
      <c r="B176" s="17" t="n">
        <v>45778</v>
      </c>
      <c r="C176" s="18" t="s">
        <v>749</v>
      </c>
      <c r="D176" s="18" t="s">
        <v>106</v>
      </c>
      <c r="E176" s="18" t="s">
        <v>39</v>
      </c>
      <c r="F176" s="26" t="n">
        <v>352.5</v>
      </c>
      <c r="G176" s="20" t="s">
        <v>218</v>
      </c>
    </row>
    <row r="177" customFormat="false" ht="15" hidden="false" customHeight="true" outlineLevel="0" collapsed="false">
      <c r="B177" s="17" t="n">
        <v>45778</v>
      </c>
      <c r="C177" s="18" t="s">
        <v>750</v>
      </c>
      <c r="D177" s="18" t="s">
        <v>106</v>
      </c>
      <c r="E177" s="18" t="s">
        <v>41</v>
      </c>
      <c r="F177" s="26" t="n">
        <v>5779.19</v>
      </c>
      <c r="G177" s="20" t="s">
        <v>218</v>
      </c>
    </row>
    <row r="178" customFormat="false" ht="15" hidden="false" customHeight="true" outlineLevel="0" collapsed="false">
      <c r="B178" s="17" t="n">
        <v>45778</v>
      </c>
      <c r="C178" s="18" t="s">
        <v>751</v>
      </c>
      <c r="D178" s="18" t="s">
        <v>106</v>
      </c>
      <c r="E178" s="18" t="s">
        <v>66</v>
      </c>
      <c r="F178" s="26" t="n">
        <v>1742</v>
      </c>
      <c r="G178" s="20" t="s">
        <v>218</v>
      </c>
    </row>
    <row r="179" customFormat="false" ht="15" hidden="false" customHeight="true" outlineLevel="0" collapsed="false">
      <c r="B179" s="17" t="n">
        <v>45778</v>
      </c>
      <c r="C179" s="18" t="s">
        <v>241</v>
      </c>
      <c r="D179" s="18" t="s">
        <v>106</v>
      </c>
      <c r="E179" s="18" t="s">
        <v>60</v>
      </c>
      <c r="F179" s="26" t="n">
        <v>518.67</v>
      </c>
      <c r="G179" s="20" t="s">
        <v>218</v>
      </c>
    </row>
    <row r="180" customFormat="false" ht="15" hidden="false" customHeight="true" outlineLevel="0" collapsed="false">
      <c r="B180" s="17" t="n">
        <v>45778</v>
      </c>
      <c r="C180" s="18" t="s">
        <v>752</v>
      </c>
      <c r="D180" s="18" t="s">
        <v>106</v>
      </c>
      <c r="E180" s="18" t="s">
        <v>33</v>
      </c>
      <c r="F180" s="26" t="n">
        <v>8855</v>
      </c>
      <c r="G180" s="20" t="s">
        <v>218</v>
      </c>
    </row>
    <row r="181" customFormat="false" ht="15" hidden="false" customHeight="true" outlineLevel="0" collapsed="false">
      <c r="B181" s="17" t="n">
        <v>45778</v>
      </c>
      <c r="C181" s="18" t="s">
        <v>242</v>
      </c>
      <c r="D181" s="18" t="s">
        <v>106</v>
      </c>
      <c r="E181" s="18" t="s">
        <v>53</v>
      </c>
      <c r="F181" s="26" t="n">
        <v>49.9</v>
      </c>
      <c r="G181" s="20" t="s">
        <v>218</v>
      </c>
    </row>
    <row r="182" customFormat="false" ht="15" hidden="false" customHeight="true" outlineLevel="0" collapsed="false">
      <c r="B182" s="17" t="n">
        <v>45778</v>
      </c>
      <c r="C182" s="18" t="s">
        <v>753</v>
      </c>
      <c r="D182" s="18" t="s">
        <v>106</v>
      </c>
      <c r="E182" s="18" t="s">
        <v>73</v>
      </c>
      <c r="F182" s="26" t="n">
        <v>122409.44</v>
      </c>
      <c r="G182" s="20" t="s">
        <v>218</v>
      </c>
    </row>
    <row r="183" customFormat="false" ht="15" hidden="false" customHeight="true" outlineLevel="0" collapsed="false">
      <c r="B183" s="17" t="n">
        <v>45778</v>
      </c>
      <c r="C183" s="18" t="s">
        <v>754</v>
      </c>
      <c r="D183" s="18" t="s">
        <v>106</v>
      </c>
      <c r="E183" s="18" t="s">
        <v>37</v>
      </c>
      <c r="F183" s="26" t="n">
        <v>803.59</v>
      </c>
      <c r="G183" s="20" t="s">
        <v>218</v>
      </c>
    </row>
    <row r="184" customFormat="false" ht="15" hidden="false" customHeight="true" outlineLevel="0" collapsed="false">
      <c r="B184" s="17" t="n">
        <v>45778</v>
      </c>
      <c r="C184" s="18" t="s">
        <v>230</v>
      </c>
      <c r="D184" s="18" t="s">
        <v>106</v>
      </c>
      <c r="E184" s="18" t="s">
        <v>68</v>
      </c>
      <c r="F184" s="26" t="n">
        <v>111.8</v>
      </c>
      <c r="G184" s="20" t="s">
        <v>218</v>
      </c>
    </row>
    <row r="185" customFormat="false" ht="15" hidden="false" customHeight="true" outlineLevel="0" collapsed="false">
      <c r="B185" s="17" t="n">
        <v>45778</v>
      </c>
      <c r="C185" s="18" t="s">
        <v>755</v>
      </c>
      <c r="D185" s="18" t="s">
        <v>106</v>
      </c>
      <c r="E185" s="18" t="s">
        <v>35</v>
      </c>
      <c r="F185" s="26" t="n">
        <v>7743.78</v>
      </c>
      <c r="G185" s="20" t="s">
        <v>218</v>
      </c>
    </row>
    <row r="186" customFormat="false" ht="15" hidden="false" customHeight="true" outlineLevel="0" collapsed="false">
      <c r="B186" s="17" t="n">
        <v>45778</v>
      </c>
      <c r="C186" s="18" t="s">
        <v>756</v>
      </c>
      <c r="D186" s="18" t="s">
        <v>106</v>
      </c>
      <c r="E186" s="18" t="s">
        <v>30</v>
      </c>
      <c r="F186" s="26" t="n">
        <v>77111.5</v>
      </c>
      <c r="G186" s="20" t="s">
        <v>218</v>
      </c>
    </row>
    <row r="187" customFormat="false" ht="15" hidden="false" customHeight="true" outlineLevel="0" collapsed="false">
      <c r="B187" s="17" t="n">
        <v>45778</v>
      </c>
      <c r="C187" s="18" t="s">
        <v>248</v>
      </c>
      <c r="D187" s="18" t="s">
        <v>106</v>
      </c>
      <c r="E187" s="18" t="s">
        <v>85</v>
      </c>
      <c r="F187" s="26" t="n">
        <v>1777.34</v>
      </c>
      <c r="G187" s="20" t="s">
        <v>218</v>
      </c>
    </row>
    <row r="188" customFormat="false" ht="15" hidden="false" customHeight="true" outlineLevel="0" collapsed="false">
      <c r="B188" s="17" t="n">
        <v>45778</v>
      </c>
      <c r="C188" s="18" t="s">
        <v>225</v>
      </c>
      <c r="D188" s="18" t="s">
        <v>106</v>
      </c>
      <c r="E188" s="18" t="s">
        <v>61</v>
      </c>
      <c r="F188" s="26" t="n">
        <v>8005.04</v>
      </c>
      <c r="G188" s="20" t="s">
        <v>218</v>
      </c>
    </row>
    <row r="189" customFormat="false" ht="15" hidden="false" customHeight="true" outlineLevel="0" collapsed="false">
      <c r="B189" s="17" t="n">
        <v>45778</v>
      </c>
      <c r="C189" s="18" t="s">
        <v>233</v>
      </c>
      <c r="D189" s="18" t="s">
        <v>106</v>
      </c>
      <c r="E189" s="18" t="s">
        <v>76</v>
      </c>
      <c r="F189" s="26" t="n">
        <v>1100</v>
      </c>
      <c r="G189" s="20" t="s">
        <v>218</v>
      </c>
    </row>
    <row r="190" customFormat="false" ht="15" hidden="false" customHeight="true" outlineLevel="0" collapsed="false">
      <c r="B190" s="17" t="n">
        <v>45778</v>
      </c>
      <c r="C190" s="18" t="s">
        <v>757</v>
      </c>
      <c r="D190" s="18" t="s">
        <v>106</v>
      </c>
      <c r="E190" s="18" t="s">
        <v>28</v>
      </c>
      <c r="F190" s="26" t="n">
        <v>29408</v>
      </c>
      <c r="G190" s="20" t="s">
        <v>218</v>
      </c>
    </row>
    <row r="191" customFormat="false" ht="15" hidden="false" customHeight="true" outlineLevel="0" collapsed="false">
      <c r="B191" s="17" t="n">
        <v>45778</v>
      </c>
      <c r="C191" s="18" t="s">
        <v>247</v>
      </c>
      <c r="D191" s="18" t="s">
        <v>106</v>
      </c>
      <c r="E191" s="18" t="s">
        <v>90</v>
      </c>
      <c r="F191" s="26" t="n">
        <v>30</v>
      </c>
      <c r="G191" s="20" t="s">
        <v>218</v>
      </c>
    </row>
    <row r="192" customFormat="false" ht="15" hidden="false" customHeight="true" outlineLevel="0" collapsed="false">
      <c r="B192" s="17" t="n">
        <v>45778</v>
      </c>
      <c r="C192" s="18" t="s">
        <v>238</v>
      </c>
      <c r="D192" s="18" t="s">
        <v>106</v>
      </c>
      <c r="E192" s="18" t="s">
        <v>92</v>
      </c>
      <c r="F192" s="26" t="n">
        <v>70</v>
      </c>
      <c r="G192" s="20" t="s">
        <v>218</v>
      </c>
    </row>
    <row r="193" customFormat="false" ht="15" hidden="false" customHeight="true" outlineLevel="0" collapsed="false">
      <c r="B193" s="17" t="n">
        <v>45778</v>
      </c>
      <c r="C193" s="18" t="s">
        <v>237</v>
      </c>
      <c r="D193" s="18" t="s">
        <v>106</v>
      </c>
      <c r="E193" s="18" t="s">
        <v>44</v>
      </c>
      <c r="F193" s="26" t="n">
        <v>300</v>
      </c>
      <c r="G193" s="20" t="s">
        <v>218</v>
      </c>
    </row>
    <row r="194" customFormat="false" ht="15" hidden="false" customHeight="true" outlineLevel="0" collapsed="false">
      <c r="B194" s="17" t="n">
        <v>45778</v>
      </c>
      <c r="C194" s="18" t="s">
        <v>239</v>
      </c>
      <c r="D194" s="18" t="s">
        <v>106</v>
      </c>
      <c r="E194" s="18" t="s">
        <v>46</v>
      </c>
      <c r="F194" s="26" t="n">
        <v>914</v>
      </c>
      <c r="G194" s="20" t="s">
        <v>218</v>
      </c>
    </row>
    <row r="195" customFormat="false" ht="15" hidden="false" customHeight="true" outlineLevel="0" collapsed="false">
      <c r="B195" s="17" t="n">
        <v>45778</v>
      </c>
      <c r="C195" s="18" t="s">
        <v>246</v>
      </c>
      <c r="D195" s="18" t="s">
        <v>106</v>
      </c>
      <c r="E195" s="18" t="s">
        <v>74</v>
      </c>
      <c r="F195" s="26" t="n">
        <v>38.99</v>
      </c>
      <c r="G195" s="20" t="s">
        <v>218</v>
      </c>
    </row>
    <row r="196" customFormat="false" ht="15" hidden="false" customHeight="true" outlineLevel="0" collapsed="false">
      <c r="B196" s="17" t="n">
        <v>45778</v>
      </c>
      <c r="C196" s="18" t="s">
        <v>223</v>
      </c>
      <c r="D196" s="18" t="s">
        <v>106</v>
      </c>
      <c r="E196" s="18" t="s">
        <v>67</v>
      </c>
      <c r="F196" s="26" t="n">
        <v>130.86</v>
      </c>
      <c r="G196" s="20" t="s">
        <v>218</v>
      </c>
    </row>
    <row r="197" customFormat="false" ht="15" hidden="false" customHeight="true" outlineLevel="0" collapsed="false">
      <c r="B197" s="17" t="n">
        <v>45778</v>
      </c>
      <c r="C197" s="18" t="s">
        <v>234</v>
      </c>
      <c r="D197" s="18" t="s">
        <v>106</v>
      </c>
      <c r="E197" s="18" t="s">
        <v>97</v>
      </c>
      <c r="F197" s="26" t="n">
        <v>87.5</v>
      </c>
      <c r="G197" s="20" t="s">
        <v>218</v>
      </c>
    </row>
    <row r="198" customFormat="false" ht="15" hidden="false" customHeight="true" outlineLevel="0" collapsed="false">
      <c r="B198" s="17" t="n">
        <v>45778</v>
      </c>
      <c r="C198" s="18" t="s">
        <v>758</v>
      </c>
      <c r="D198" s="18" t="s">
        <v>106</v>
      </c>
      <c r="E198" s="18" t="s">
        <v>32</v>
      </c>
      <c r="F198" s="26" t="n">
        <v>615</v>
      </c>
      <c r="G198" s="20" t="s">
        <v>218</v>
      </c>
    </row>
    <row r="199" customFormat="false" ht="15" hidden="false" customHeight="true" outlineLevel="0" collapsed="false">
      <c r="B199" s="17" t="n">
        <v>45778</v>
      </c>
      <c r="C199" s="18" t="s">
        <v>229</v>
      </c>
      <c r="D199" s="18" t="s">
        <v>106</v>
      </c>
      <c r="E199" s="18" t="s">
        <v>50</v>
      </c>
      <c r="F199" s="26" t="n">
        <v>4520.65</v>
      </c>
      <c r="G199" s="20" t="s">
        <v>218</v>
      </c>
    </row>
    <row r="200" customFormat="false" ht="15" hidden="false" customHeight="true" outlineLevel="0" collapsed="false">
      <c r="B200" s="17" t="n">
        <v>45778</v>
      </c>
      <c r="C200" s="18" t="s">
        <v>221</v>
      </c>
      <c r="D200" s="18" t="s">
        <v>106</v>
      </c>
      <c r="E200" s="18" t="s">
        <v>51</v>
      </c>
      <c r="F200" s="26" t="n">
        <v>27532.27</v>
      </c>
      <c r="G200" s="20" t="s">
        <v>218</v>
      </c>
    </row>
    <row r="201" customFormat="false" ht="15" hidden="false" customHeight="true" outlineLevel="0" collapsed="false">
      <c r="B201" s="17" t="n">
        <v>45778</v>
      </c>
      <c r="C201" s="18" t="s">
        <v>227</v>
      </c>
      <c r="D201" s="18" t="s">
        <v>106</v>
      </c>
      <c r="E201" s="18" t="s">
        <v>62</v>
      </c>
      <c r="F201" s="26" t="n">
        <v>140</v>
      </c>
      <c r="G201" s="20" t="s">
        <v>218</v>
      </c>
    </row>
    <row r="202" customFormat="false" ht="15" hidden="false" customHeight="true" outlineLevel="0" collapsed="false">
      <c r="B202" s="17" t="n">
        <v>45778</v>
      </c>
      <c r="C202" s="18" t="s">
        <v>226</v>
      </c>
      <c r="D202" s="18" t="s">
        <v>106</v>
      </c>
      <c r="E202" s="18" t="s">
        <v>64</v>
      </c>
      <c r="F202" s="26" t="n">
        <v>269.84</v>
      </c>
      <c r="G202" s="20" t="s">
        <v>218</v>
      </c>
    </row>
    <row r="203" customFormat="false" ht="15" hidden="false" customHeight="true" outlineLevel="0" collapsed="false">
      <c r="B203" s="17" t="n">
        <v>45778</v>
      </c>
      <c r="C203" s="18" t="s">
        <v>759</v>
      </c>
      <c r="D203" s="18" t="s">
        <v>106</v>
      </c>
      <c r="E203" s="18" t="s">
        <v>36</v>
      </c>
      <c r="F203" s="26" t="n">
        <v>14223.15</v>
      </c>
      <c r="G203" s="20" t="s">
        <v>218</v>
      </c>
    </row>
    <row r="204" customFormat="false" ht="15" hidden="false" customHeight="true" outlineLevel="0" collapsed="false">
      <c r="B204" s="17" t="n">
        <v>45778</v>
      </c>
      <c r="C204" s="18" t="s">
        <v>219</v>
      </c>
      <c r="D204" s="18" t="s">
        <v>106</v>
      </c>
      <c r="E204" s="18" t="s">
        <v>77</v>
      </c>
      <c r="F204" s="26" t="n">
        <v>154.1</v>
      </c>
      <c r="G204" s="20" t="s">
        <v>218</v>
      </c>
    </row>
    <row r="205" customFormat="false" ht="15" hidden="false" customHeight="true" outlineLevel="0" collapsed="false">
      <c r="B205" s="17" t="n">
        <v>45778</v>
      </c>
      <c r="C205" s="18" t="s">
        <v>760</v>
      </c>
      <c r="D205" s="18" t="s">
        <v>106</v>
      </c>
      <c r="E205" s="18" t="s">
        <v>26</v>
      </c>
      <c r="F205" s="26" t="n">
        <v>167492.42</v>
      </c>
      <c r="G205" s="20" t="s">
        <v>218</v>
      </c>
    </row>
    <row r="206" customFormat="false" ht="15" hidden="false" customHeight="true" outlineLevel="0" collapsed="false">
      <c r="B206" s="17" t="n">
        <v>45778</v>
      </c>
      <c r="C206" s="18" t="s">
        <v>240</v>
      </c>
      <c r="D206" s="18" t="s">
        <v>106</v>
      </c>
      <c r="E206" s="18" t="s">
        <v>65</v>
      </c>
      <c r="F206" s="26" t="n">
        <v>243.22</v>
      </c>
      <c r="G206" s="20" t="s">
        <v>218</v>
      </c>
    </row>
    <row r="207" customFormat="false" ht="15" hidden="false" customHeight="true" outlineLevel="0" collapsed="false">
      <c r="B207" s="17" t="n">
        <v>45778</v>
      </c>
      <c r="C207" s="18" t="s">
        <v>232</v>
      </c>
      <c r="D207" s="18" t="s">
        <v>106</v>
      </c>
      <c r="E207" s="18" t="s">
        <v>78</v>
      </c>
      <c r="F207" s="26" t="n">
        <v>520</v>
      </c>
      <c r="G207" s="20" t="s">
        <v>218</v>
      </c>
    </row>
    <row r="208" customFormat="false" ht="15" hidden="false" customHeight="true" outlineLevel="0" collapsed="false">
      <c r="B208" s="17" t="n">
        <v>45778</v>
      </c>
      <c r="C208" s="18" t="s">
        <v>761</v>
      </c>
      <c r="D208" s="18" t="s">
        <v>106</v>
      </c>
      <c r="E208" s="18" t="s">
        <v>29</v>
      </c>
      <c r="F208" s="26" t="n">
        <v>5420</v>
      </c>
      <c r="G208" s="20" t="s">
        <v>218</v>
      </c>
    </row>
    <row r="209" customFormat="false" ht="15" hidden="false" customHeight="true" outlineLevel="0" collapsed="false">
      <c r="B209" s="17" t="n">
        <v>45778</v>
      </c>
      <c r="C209" s="18" t="s">
        <v>244</v>
      </c>
      <c r="D209" s="18" t="s">
        <v>106</v>
      </c>
      <c r="E209" s="18" t="s">
        <v>63</v>
      </c>
      <c r="F209" s="26" t="n">
        <v>12013.66</v>
      </c>
      <c r="G209" s="20" t="s">
        <v>218</v>
      </c>
    </row>
    <row r="210" customFormat="false" ht="15" hidden="false" customHeight="true" outlineLevel="0" collapsed="false">
      <c r="B210" s="17" t="n">
        <v>45778</v>
      </c>
      <c r="C210" s="18" t="s">
        <v>228</v>
      </c>
      <c r="D210" s="18" t="s">
        <v>106</v>
      </c>
      <c r="E210" s="18" t="s">
        <v>49</v>
      </c>
      <c r="F210" s="26" t="n">
        <v>2740</v>
      </c>
      <c r="G210" s="20" t="s">
        <v>218</v>
      </c>
    </row>
    <row r="211" customFormat="false" ht="15" hidden="false" customHeight="true" outlineLevel="0" collapsed="false">
      <c r="B211" s="17" t="n">
        <v>45778</v>
      </c>
      <c r="C211" s="18" t="s">
        <v>222</v>
      </c>
      <c r="D211" s="18" t="s">
        <v>106</v>
      </c>
      <c r="E211" s="18" t="s">
        <v>59</v>
      </c>
      <c r="F211" s="26" t="n">
        <v>3650</v>
      </c>
      <c r="G211" s="20" t="s">
        <v>218</v>
      </c>
    </row>
    <row r="212" customFormat="false" ht="15" hidden="false" customHeight="true" outlineLevel="0" collapsed="false">
      <c r="B212" s="17" t="n">
        <v>45778</v>
      </c>
      <c r="C212" s="18" t="s">
        <v>245</v>
      </c>
      <c r="D212" s="18" t="s">
        <v>106</v>
      </c>
      <c r="E212" s="18" t="s">
        <v>79</v>
      </c>
      <c r="F212" s="26" t="n">
        <v>30.6</v>
      </c>
      <c r="G212" s="20" t="s">
        <v>218</v>
      </c>
    </row>
    <row r="213" customFormat="false" ht="15" hidden="false" customHeight="true" outlineLevel="0" collapsed="false">
      <c r="B213" s="17" t="n">
        <v>45778</v>
      </c>
      <c r="C213" s="18" t="s">
        <v>762</v>
      </c>
      <c r="D213" s="18" t="s">
        <v>106</v>
      </c>
      <c r="E213" s="18" t="s">
        <v>54</v>
      </c>
      <c r="F213" s="26" t="n">
        <v>890</v>
      </c>
      <c r="G213" s="20" t="s">
        <v>218</v>
      </c>
    </row>
    <row r="214" customFormat="false" ht="15" hidden="false" customHeight="true" outlineLevel="0" collapsed="false">
      <c r="B214" s="17" t="n">
        <v>45778</v>
      </c>
      <c r="C214" s="18" t="s">
        <v>231</v>
      </c>
      <c r="D214" s="18" t="s">
        <v>106</v>
      </c>
      <c r="E214" s="18" t="s">
        <v>69</v>
      </c>
      <c r="F214" s="26" t="n">
        <v>332.28</v>
      </c>
      <c r="G214" s="20" t="s">
        <v>218</v>
      </c>
    </row>
    <row r="215" customFormat="false" ht="15" hidden="false" customHeight="true" outlineLevel="0" collapsed="false">
      <c r="B215" s="17" t="n">
        <v>45809</v>
      </c>
      <c r="C215" s="18" t="s">
        <v>763</v>
      </c>
      <c r="D215" s="18" t="s">
        <v>106</v>
      </c>
      <c r="E215" s="18" t="s">
        <v>31</v>
      </c>
      <c r="F215" s="26" t="n">
        <v>14011.2</v>
      </c>
      <c r="G215" s="20" t="s">
        <v>251</v>
      </c>
    </row>
    <row r="216" customFormat="false" ht="15" hidden="false" customHeight="true" outlineLevel="0" collapsed="false">
      <c r="B216" s="17" t="n">
        <v>45809</v>
      </c>
      <c r="C216" s="18" t="s">
        <v>268</v>
      </c>
      <c r="D216" s="18" t="s">
        <v>106</v>
      </c>
      <c r="E216" s="18" t="s">
        <v>45</v>
      </c>
      <c r="F216" s="26" t="n">
        <v>94.06</v>
      </c>
      <c r="G216" s="20" t="s">
        <v>251</v>
      </c>
    </row>
    <row r="217" customFormat="false" ht="15" hidden="false" customHeight="true" outlineLevel="0" collapsed="false">
      <c r="B217" s="17" t="n">
        <v>45809</v>
      </c>
      <c r="C217" s="18" t="s">
        <v>252</v>
      </c>
      <c r="D217" s="18" t="s">
        <v>106</v>
      </c>
      <c r="E217" s="18" t="s">
        <v>52</v>
      </c>
      <c r="F217" s="26" t="n">
        <v>5501</v>
      </c>
      <c r="G217" s="20" t="s">
        <v>251</v>
      </c>
    </row>
    <row r="218" customFormat="false" ht="15" hidden="false" customHeight="true" outlineLevel="0" collapsed="false">
      <c r="B218" s="17" t="n">
        <v>45809</v>
      </c>
      <c r="C218" s="18" t="s">
        <v>764</v>
      </c>
      <c r="D218" s="18" t="s">
        <v>106</v>
      </c>
      <c r="E218" s="18" t="s">
        <v>34</v>
      </c>
      <c r="F218" s="26" t="n">
        <v>6907.8</v>
      </c>
      <c r="G218" s="20" t="s">
        <v>251</v>
      </c>
    </row>
    <row r="219" customFormat="false" ht="15" hidden="false" customHeight="true" outlineLevel="0" collapsed="false">
      <c r="B219" s="17" t="n">
        <v>45809</v>
      </c>
      <c r="C219" s="18" t="s">
        <v>765</v>
      </c>
      <c r="D219" s="18" t="s">
        <v>106</v>
      </c>
      <c r="E219" s="18" t="s">
        <v>38</v>
      </c>
      <c r="F219" s="26" t="n">
        <v>400</v>
      </c>
      <c r="G219" s="20" t="s">
        <v>251</v>
      </c>
    </row>
    <row r="220" customFormat="false" ht="15" hidden="false" customHeight="true" outlineLevel="0" collapsed="false">
      <c r="B220" s="17" t="n">
        <v>45809</v>
      </c>
      <c r="C220" s="18" t="s">
        <v>269</v>
      </c>
      <c r="D220" s="18" t="s">
        <v>106</v>
      </c>
      <c r="E220" s="18" t="s">
        <v>43</v>
      </c>
      <c r="F220" s="26" t="n">
        <v>1719.58</v>
      </c>
      <c r="G220" s="20" t="s">
        <v>251</v>
      </c>
    </row>
    <row r="221" customFormat="false" ht="15" hidden="false" customHeight="true" outlineLevel="0" collapsed="false">
      <c r="B221" s="17" t="n">
        <v>45809</v>
      </c>
      <c r="C221" s="18" t="s">
        <v>766</v>
      </c>
      <c r="D221" s="18" t="s">
        <v>106</v>
      </c>
      <c r="E221" s="18" t="s">
        <v>39</v>
      </c>
      <c r="F221" s="26" t="n">
        <v>432</v>
      </c>
      <c r="G221" s="20" t="s">
        <v>251</v>
      </c>
    </row>
    <row r="222" customFormat="false" ht="15" hidden="false" customHeight="true" outlineLevel="0" collapsed="false">
      <c r="B222" s="17" t="n">
        <v>45809</v>
      </c>
      <c r="C222" s="18" t="s">
        <v>767</v>
      </c>
      <c r="D222" s="18" t="s">
        <v>106</v>
      </c>
      <c r="E222" s="18" t="s">
        <v>41</v>
      </c>
      <c r="F222" s="26" t="n">
        <v>7156.33</v>
      </c>
      <c r="G222" s="20" t="s">
        <v>251</v>
      </c>
    </row>
    <row r="223" customFormat="false" ht="15" hidden="false" customHeight="true" outlineLevel="0" collapsed="false">
      <c r="B223" s="17" t="n">
        <v>45809</v>
      </c>
      <c r="C223" s="18" t="s">
        <v>281</v>
      </c>
      <c r="D223" s="18" t="s">
        <v>106</v>
      </c>
      <c r="E223" s="18" t="s">
        <v>47</v>
      </c>
      <c r="F223" s="26" t="n">
        <v>675.95</v>
      </c>
      <c r="G223" s="20" t="s">
        <v>251</v>
      </c>
    </row>
    <row r="224" customFormat="false" ht="15" hidden="false" customHeight="true" outlineLevel="0" collapsed="false">
      <c r="B224" s="17" t="n">
        <v>45809</v>
      </c>
      <c r="C224" s="18" t="s">
        <v>768</v>
      </c>
      <c r="D224" s="18" t="s">
        <v>106</v>
      </c>
      <c r="E224" s="18" t="s">
        <v>66</v>
      </c>
      <c r="F224" s="26" t="n">
        <v>1742</v>
      </c>
      <c r="G224" s="20" t="s">
        <v>251</v>
      </c>
    </row>
    <row r="225" customFormat="false" ht="15" hidden="false" customHeight="true" outlineLevel="0" collapsed="false">
      <c r="B225" s="17" t="n">
        <v>45809</v>
      </c>
      <c r="C225" s="18" t="s">
        <v>272</v>
      </c>
      <c r="D225" s="18" t="s">
        <v>106</v>
      </c>
      <c r="E225" s="18" t="s">
        <v>60</v>
      </c>
      <c r="F225" s="26" t="n">
        <v>387.32</v>
      </c>
      <c r="G225" s="20" t="s">
        <v>251</v>
      </c>
    </row>
    <row r="226" customFormat="false" ht="15" hidden="false" customHeight="true" outlineLevel="0" collapsed="false">
      <c r="B226" s="17" t="n">
        <v>45809</v>
      </c>
      <c r="C226" s="18" t="s">
        <v>265</v>
      </c>
      <c r="D226" s="18" t="s">
        <v>106</v>
      </c>
      <c r="E226" s="18" t="s">
        <v>93</v>
      </c>
      <c r="F226" s="26" t="n">
        <v>658.07</v>
      </c>
      <c r="G226" s="20" t="s">
        <v>251</v>
      </c>
    </row>
    <row r="227" customFormat="false" ht="15" hidden="false" customHeight="true" outlineLevel="0" collapsed="false">
      <c r="B227" s="17" t="n">
        <v>45809</v>
      </c>
      <c r="C227" s="18" t="s">
        <v>769</v>
      </c>
      <c r="D227" s="18" t="s">
        <v>106</v>
      </c>
      <c r="E227" s="18" t="s">
        <v>33</v>
      </c>
      <c r="F227" s="26" t="n">
        <v>6835</v>
      </c>
      <c r="G227" s="20" t="s">
        <v>251</v>
      </c>
    </row>
    <row r="228" customFormat="false" ht="15" hidden="false" customHeight="true" outlineLevel="0" collapsed="false">
      <c r="B228" s="17" t="n">
        <v>45809</v>
      </c>
      <c r="C228" s="18" t="s">
        <v>273</v>
      </c>
      <c r="D228" s="18" t="s">
        <v>106</v>
      </c>
      <c r="E228" s="18" t="s">
        <v>53</v>
      </c>
      <c r="F228" s="26" t="n">
        <v>697.87</v>
      </c>
      <c r="G228" s="20" t="s">
        <v>251</v>
      </c>
    </row>
    <row r="229" customFormat="false" ht="15" hidden="false" customHeight="true" outlineLevel="0" collapsed="false">
      <c r="B229" s="17" t="n">
        <v>45809</v>
      </c>
      <c r="C229" s="18" t="s">
        <v>770</v>
      </c>
      <c r="D229" s="18" t="s">
        <v>106</v>
      </c>
      <c r="E229" s="18" t="s">
        <v>73</v>
      </c>
      <c r="F229" s="26" t="n">
        <v>137846.35</v>
      </c>
      <c r="G229" s="20" t="s">
        <v>251</v>
      </c>
    </row>
    <row r="230" customFormat="false" ht="15" hidden="false" customHeight="true" outlineLevel="0" collapsed="false">
      <c r="B230" s="17" t="n">
        <v>45809</v>
      </c>
      <c r="C230" s="18" t="s">
        <v>771</v>
      </c>
      <c r="D230" s="18" t="s">
        <v>106</v>
      </c>
      <c r="E230" s="18" t="s">
        <v>37</v>
      </c>
      <c r="F230" s="26" t="n">
        <v>2022.7</v>
      </c>
      <c r="G230" s="20" t="s">
        <v>251</v>
      </c>
    </row>
    <row r="231" customFormat="false" ht="15" hidden="false" customHeight="true" outlineLevel="0" collapsed="false">
      <c r="B231" s="17" t="n">
        <v>45809</v>
      </c>
      <c r="C231" s="18" t="s">
        <v>262</v>
      </c>
      <c r="D231" s="18" t="s">
        <v>106</v>
      </c>
      <c r="E231" s="18" t="s">
        <v>68</v>
      </c>
      <c r="F231" s="26" t="n">
        <v>110.19</v>
      </c>
      <c r="G231" s="20" t="s">
        <v>251</v>
      </c>
    </row>
    <row r="232" customFormat="false" ht="15" hidden="false" customHeight="true" outlineLevel="0" collapsed="false">
      <c r="B232" s="17" t="n">
        <v>45809</v>
      </c>
      <c r="C232" s="18" t="s">
        <v>772</v>
      </c>
      <c r="D232" s="18" t="s">
        <v>106</v>
      </c>
      <c r="E232" s="18" t="s">
        <v>35</v>
      </c>
      <c r="F232" s="26" t="n">
        <v>9883.14</v>
      </c>
      <c r="G232" s="20" t="s">
        <v>251</v>
      </c>
    </row>
    <row r="233" customFormat="false" ht="15" hidden="false" customHeight="true" outlineLevel="0" collapsed="false">
      <c r="B233" s="17" t="n">
        <v>45809</v>
      </c>
      <c r="C233" s="18" t="s">
        <v>773</v>
      </c>
      <c r="D233" s="18" t="s">
        <v>106</v>
      </c>
      <c r="E233" s="18" t="s">
        <v>30</v>
      </c>
      <c r="F233" s="26" t="n">
        <v>90866.5</v>
      </c>
      <c r="G233" s="20" t="s">
        <v>251</v>
      </c>
    </row>
    <row r="234" customFormat="false" ht="15" hidden="false" customHeight="true" outlineLevel="0" collapsed="false">
      <c r="B234" s="17" t="n">
        <v>45809</v>
      </c>
      <c r="C234" s="18" t="s">
        <v>279</v>
      </c>
      <c r="D234" s="18" t="s">
        <v>106</v>
      </c>
      <c r="E234" s="18" t="s">
        <v>85</v>
      </c>
      <c r="F234" s="26" t="n">
        <v>1885.32</v>
      </c>
      <c r="G234" s="20" t="s">
        <v>251</v>
      </c>
    </row>
    <row r="235" customFormat="false" ht="15" hidden="false" customHeight="true" outlineLevel="0" collapsed="false">
      <c r="B235" s="17" t="n">
        <v>45809</v>
      </c>
      <c r="C235" s="18" t="s">
        <v>257</v>
      </c>
      <c r="D235" s="18" t="s">
        <v>106</v>
      </c>
      <c r="E235" s="18" t="s">
        <v>61</v>
      </c>
      <c r="F235" s="26" t="n">
        <v>7505.06</v>
      </c>
      <c r="G235" s="20" t="s">
        <v>251</v>
      </c>
    </row>
    <row r="236" customFormat="false" ht="15" hidden="false" customHeight="true" outlineLevel="0" collapsed="false">
      <c r="B236" s="17" t="n">
        <v>45809</v>
      </c>
      <c r="C236" s="18" t="s">
        <v>255</v>
      </c>
      <c r="D236" s="18" t="s">
        <v>106</v>
      </c>
      <c r="E236" s="18" t="s">
        <v>87</v>
      </c>
      <c r="F236" s="26" t="n">
        <v>2621</v>
      </c>
      <c r="G236" s="20" t="s">
        <v>251</v>
      </c>
    </row>
    <row r="237" customFormat="false" ht="15" hidden="false" customHeight="true" outlineLevel="0" collapsed="false">
      <c r="B237" s="17" t="n">
        <v>45809</v>
      </c>
      <c r="C237" s="18" t="s">
        <v>280</v>
      </c>
      <c r="D237" s="18" t="s">
        <v>106</v>
      </c>
      <c r="E237" s="18" t="s">
        <v>94</v>
      </c>
      <c r="F237" s="26" t="n">
        <v>800</v>
      </c>
      <c r="G237" s="20" t="s">
        <v>251</v>
      </c>
    </row>
    <row r="238" customFormat="false" ht="15" hidden="false" customHeight="true" outlineLevel="0" collapsed="false">
      <c r="B238" s="17" t="n">
        <v>45809</v>
      </c>
      <c r="C238" s="18" t="s">
        <v>266</v>
      </c>
      <c r="D238" s="18" t="s">
        <v>106</v>
      </c>
      <c r="E238" s="18" t="s">
        <v>76</v>
      </c>
      <c r="F238" s="26" t="n">
        <v>1100</v>
      </c>
      <c r="G238" s="20" t="s">
        <v>251</v>
      </c>
    </row>
    <row r="239" customFormat="false" ht="15" hidden="false" customHeight="true" outlineLevel="0" collapsed="false">
      <c r="B239" s="17" t="n">
        <v>45809</v>
      </c>
      <c r="C239" s="18" t="s">
        <v>774</v>
      </c>
      <c r="D239" s="18" t="s">
        <v>106</v>
      </c>
      <c r="E239" s="18" t="s">
        <v>28</v>
      </c>
      <c r="F239" s="26" t="n">
        <v>22225</v>
      </c>
      <c r="G239" s="20" t="s">
        <v>251</v>
      </c>
    </row>
    <row r="240" customFormat="false" ht="15" hidden="false" customHeight="true" outlineLevel="0" collapsed="false">
      <c r="B240" s="17" t="n">
        <v>45809</v>
      </c>
      <c r="C240" s="18" t="s">
        <v>278</v>
      </c>
      <c r="D240" s="18" t="s">
        <v>106</v>
      </c>
      <c r="E240" s="18" t="s">
        <v>90</v>
      </c>
      <c r="F240" s="26" t="n">
        <v>1000</v>
      </c>
      <c r="G240" s="20" t="s">
        <v>251</v>
      </c>
    </row>
    <row r="241" customFormat="false" ht="15" hidden="false" customHeight="true" outlineLevel="0" collapsed="false">
      <c r="B241" s="17" t="n">
        <v>45809</v>
      </c>
      <c r="C241" s="18" t="s">
        <v>270</v>
      </c>
      <c r="D241" s="18" t="s">
        <v>106</v>
      </c>
      <c r="E241" s="18" t="s">
        <v>46</v>
      </c>
      <c r="F241" s="26" t="n">
        <v>50</v>
      </c>
      <c r="G241" s="20" t="s">
        <v>251</v>
      </c>
    </row>
    <row r="242" customFormat="false" ht="15" hidden="false" customHeight="true" outlineLevel="0" collapsed="false">
      <c r="B242" s="17" t="n">
        <v>45809</v>
      </c>
      <c r="C242" s="18" t="s">
        <v>277</v>
      </c>
      <c r="D242" s="18" t="s">
        <v>106</v>
      </c>
      <c r="E242" s="18" t="s">
        <v>74</v>
      </c>
      <c r="F242" s="26" t="n">
        <v>369.17</v>
      </c>
      <c r="G242" s="20" t="s">
        <v>251</v>
      </c>
    </row>
    <row r="243" customFormat="false" ht="15" hidden="false" customHeight="true" outlineLevel="0" collapsed="false">
      <c r="B243" s="17" t="n">
        <v>45809</v>
      </c>
      <c r="C243" s="18" t="s">
        <v>256</v>
      </c>
      <c r="D243" s="18" t="s">
        <v>106</v>
      </c>
      <c r="E243" s="18" t="s">
        <v>67</v>
      </c>
      <c r="F243" s="26" t="n">
        <v>318.21</v>
      </c>
      <c r="G243" s="20" t="s">
        <v>251</v>
      </c>
    </row>
    <row r="244" customFormat="false" ht="15" hidden="false" customHeight="true" outlineLevel="0" collapsed="false">
      <c r="B244" s="17" t="n">
        <v>45809</v>
      </c>
      <c r="C244" s="18" t="s">
        <v>264</v>
      </c>
      <c r="D244" s="18" t="s">
        <v>106</v>
      </c>
      <c r="E244" s="18" t="s">
        <v>83</v>
      </c>
      <c r="F244" s="26" t="n">
        <v>234.78</v>
      </c>
      <c r="G244" s="20" t="s">
        <v>251</v>
      </c>
    </row>
    <row r="245" customFormat="false" ht="15" hidden="false" customHeight="true" outlineLevel="0" collapsed="false">
      <c r="B245" s="17" t="n">
        <v>45809</v>
      </c>
      <c r="C245" s="18" t="s">
        <v>775</v>
      </c>
      <c r="D245" s="18" t="s">
        <v>106</v>
      </c>
      <c r="E245" s="18" t="s">
        <v>32</v>
      </c>
      <c r="F245" s="26" t="n">
        <v>15.3</v>
      </c>
      <c r="G245" s="20" t="s">
        <v>251</v>
      </c>
    </row>
    <row r="246" customFormat="false" ht="15" hidden="false" customHeight="true" outlineLevel="0" collapsed="false">
      <c r="B246" s="17" t="n">
        <v>45809</v>
      </c>
      <c r="C246" s="18" t="s">
        <v>776</v>
      </c>
      <c r="D246" s="18" t="s">
        <v>106</v>
      </c>
      <c r="E246" s="18" t="s">
        <v>88</v>
      </c>
      <c r="F246" s="26" t="n">
        <v>1948</v>
      </c>
      <c r="G246" s="20" t="s">
        <v>251</v>
      </c>
    </row>
    <row r="247" customFormat="false" ht="15" hidden="false" customHeight="true" outlineLevel="0" collapsed="false">
      <c r="B247" s="17" t="n">
        <v>45809</v>
      </c>
      <c r="C247" s="18" t="s">
        <v>261</v>
      </c>
      <c r="D247" s="18" t="s">
        <v>106</v>
      </c>
      <c r="E247" s="18" t="s">
        <v>50</v>
      </c>
      <c r="F247" s="26" t="n">
        <v>5617.27</v>
      </c>
      <c r="G247" s="20" t="s">
        <v>251</v>
      </c>
    </row>
    <row r="248" customFormat="false" ht="15" hidden="false" customHeight="true" outlineLevel="0" collapsed="false">
      <c r="B248" s="17" t="n">
        <v>45809</v>
      </c>
      <c r="C248" s="18" t="s">
        <v>253</v>
      </c>
      <c r="D248" s="18" t="s">
        <v>106</v>
      </c>
      <c r="E248" s="18" t="s">
        <v>51</v>
      </c>
      <c r="F248" s="26" t="n">
        <v>21577.57</v>
      </c>
      <c r="G248" s="20" t="s">
        <v>251</v>
      </c>
    </row>
    <row r="249" customFormat="false" ht="15" hidden="false" customHeight="true" outlineLevel="0" collapsed="false">
      <c r="B249" s="17" t="n">
        <v>45809</v>
      </c>
      <c r="C249" s="18" t="s">
        <v>259</v>
      </c>
      <c r="D249" s="18" t="s">
        <v>106</v>
      </c>
      <c r="E249" s="18" t="s">
        <v>62</v>
      </c>
      <c r="F249" s="26" t="n">
        <v>140</v>
      </c>
      <c r="G249" s="20" t="s">
        <v>251</v>
      </c>
    </row>
    <row r="250" customFormat="false" ht="15" hidden="false" customHeight="true" outlineLevel="0" collapsed="false">
      <c r="B250" s="17" t="n">
        <v>45809</v>
      </c>
      <c r="C250" s="18" t="s">
        <v>258</v>
      </c>
      <c r="D250" s="18" t="s">
        <v>106</v>
      </c>
      <c r="E250" s="18" t="s">
        <v>64</v>
      </c>
      <c r="F250" s="26" t="n">
        <v>269.95</v>
      </c>
      <c r="G250" s="20" t="s">
        <v>251</v>
      </c>
    </row>
    <row r="251" customFormat="false" ht="15" hidden="false" customHeight="true" outlineLevel="0" collapsed="false">
      <c r="B251" s="17" t="n">
        <v>45809</v>
      </c>
      <c r="C251" s="18" t="s">
        <v>777</v>
      </c>
      <c r="D251" s="18" t="s">
        <v>106</v>
      </c>
      <c r="E251" s="18" t="s">
        <v>36</v>
      </c>
      <c r="F251" s="26" t="n">
        <v>17799.48</v>
      </c>
      <c r="G251" s="20" t="s">
        <v>251</v>
      </c>
    </row>
    <row r="252" customFormat="false" ht="15" hidden="false" customHeight="true" outlineLevel="0" collapsed="false">
      <c r="B252" s="17" t="n">
        <v>45809</v>
      </c>
      <c r="C252" s="18" t="s">
        <v>778</v>
      </c>
      <c r="D252" s="18" t="s">
        <v>106</v>
      </c>
      <c r="E252" s="18" t="s">
        <v>26</v>
      </c>
      <c r="F252" s="26" t="n">
        <v>250690.09</v>
      </c>
      <c r="G252" s="20" t="s">
        <v>251</v>
      </c>
    </row>
    <row r="253" customFormat="false" ht="15" hidden="false" customHeight="true" outlineLevel="0" collapsed="false">
      <c r="B253" s="17" t="n">
        <v>45809</v>
      </c>
      <c r="C253" s="18" t="s">
        <v>271</v>
      </c>
      <c r="D253" s="18" t="s">
        <v>106</v>
      </c>
      <c r="E253" s="18" t="s">
        <v>65</v>
      </c>
      <c r="F253" s="26" t="n">
        <v>240.64</v>
      </c>
      <c r="G253" s="20" t="s">
        <v>251</v>
      </c>
    </row>
    <row r="254" customFormat="false" ht="15" hidden="false" customHeight="true" outlineLevel="0" collapsed="false">
      <c r="B254" s="17" t="n">
        <v>45809</v>
      </c>
      <c r="C254" s="18" t="s">
        <v>779</v>
      </c>
      <c r="D254" s="18" t="s">
        <v>106</v>
      </c>
      <c r="E254" s="18" t="s">
        <v>29</v>
      </c>
      <c r="F254" s="26" t="n">
        <v>8593</v>
      </c>
      <c r="G254" s="20" t="s">
        <v>251</v>
      </c>
    </row>
    <row r="255" customFormat="false" ht="15" hidden="false" customHeight="true" outlineLevel="0" collapsed="false">
      <c r="B255" s="17" t="n">
        <v>45809</v>
      </c>
      <c r="C255" s="18" t="s">
        <v>275</v>
      </c>
      <c r="D255" s="18" t="s">
        <v>106</v>
      </c>
      <c r="E255" s="18" t="s">
        <v>63</v>
      </c>
      <c r="F255" s="26" t="n">
        <v>12013.66</v>
      </c>
      <c r="G255" s="20" t="s">
        <v>251</v>
      </c>
    </row>
    <row r="256" customFormat="false" ht="15" hidden="false" customHeight="true" outlineLevel="0" collapsed="false">
      <c r="B256" s="17" t="n">
        <v>45809</v>
      </c>
      <c r="C256" s="18" t="s">
        <v>260</v>
      </c>
      <c r="D256" s="18" t="s">
        <v>106</v>
      </c>
      <c r="E256" s="18" t="s">
        <v>49</v>
      </c>
      <c r="F256" s="26" t="n">
        <v>3820</v>
      </c>
      <c r="G256" s="20" t="s">
        <v>251</v>
      </c>
    </row>
    <row r="257" customFormat="false" ht="15" hidden="false" customHeight="true" outlineLevel="0" collapsed="false">
      <c r="B257" s="17" t="n">
        <v>45809</v>
      </c>
      <c r="C257" s="18" t="s">
        <v>254</v>
      </c>
      <c r="D257" s="18" t="s">
        <v>106</v>
      </c>
      <c r="E257" s="18" t="s">
        <v>59</v>
      </c>
      <c r="F257" s="26" t="n">
        <v>3750</v>
      </c>
      <c r="G257" s="20" t="s">
        <v>251</v>
      </c>
    </row>
    <row r="258" customFormat="false" ht="15" hidden="false" customHeight="true" outlineLevel="0" collapsed="false">
      <c r="B258" s="17" t="n">
        <v>45809</v>
      </c>
      <c r="C258" s="18" t="s">
        <v>276</v>
      </c>
      <c r="D258" s="18" t="s">
        <v>106</v>
      </c>
      <c r="E258" s="18" t="s">
        <v>79</v>
      </c>
      <c r="F258" s="26" t="n">
        <v>30.6</v>
      </c>
      <c r="G258" s="20" t="s">
        <v>251</v>
      </c>
    </row>
    <row r="259" customFormat="false" ht="15" hidden="false" customHeight="true" outlineLevel="0" collapsed="false">
      <c r="B259" s="17" t="n">
        <v>45809</v>
      </c>
      <c r="C259" s="18" t="s">
        <v>780</v>
      </c>
      <c r="D259" s="18" t="s">
        <v>106</v>
      </c>
      <c r="E259" s="18" t="s">
        <v>54</v>
      </c>
      <c r="F259" s="26" t="n">
        <v>890</v>
      </c>
      <c r="G259" s="20" t="s">
        <v>251</v>
      </c>
    </row>
    <row r="260" customFormat="false" ht="15" hidden="false" customHeight="true" outlineLevel="0" collapsed="false">
      <c r="B260" s="17" t="n">
        <v>45809</v>
      </c>
      <c r="C260" s="18" t="s">
        <v>263</v>
      </c>
      <c r="D260" s="18" t="s">
        <v>106</v>
      </c>
      <c r="E260" s="18" t="s">
        <v>69</v>
      </c>
      <c r="F260" s="26" t="n">
        <v>332.28</v>
      </c>
      <c r="G260" s="20" t="s">
        <v>251</v>
      </c>
    </row>
    <row r="261" customFormat="false" ht="15" hidden="false" customHeight="true" outlineLevel="0" collapsed="false">
      <c r="B261" s="17" t="n">
        <v>45839</v>
      </c>
      <c r="C261" s="18" t="s">
        <v>781</v>
      </c>
      <c r="D261" s="18" t="s">
        <v>106</v>
      </c>
      <c r="E261" s="18" t="s">
        <v>31</v>
      </c>
      <c r="F261" s="26" t="n">
        <v>20856.6</v>
      </c>
      <c r="G261" s="20" t="s">
        <v>284</v>
      </c>
    </row>
    <row r="262" customFormat="false" ht="15" hidden="false" customHeight="true" outlineLevel="0" collapsed="false">
      <c r="B262" s="17" t="n">
        <v>45839</v>
      </c>
      <c r="C262" s="18" t="s">
        <v>299</v>
      </c>
      <c r="D262" s="18" t="s">
        <v>106</v>
      </c>
      <c r="E262" s="18" t="s">
        <v>45</v>
      </c>
      <c r="F262" s="26" t="n">
        <v>242.3</v>
      </c>
      <c r="G262" s="20" t="s">
        <v>284</v>
      </c>
    </row>
    <row r="263" customFormat="false" ht="15" hidden="false" customHeight="true" outlineLevel="0" collapsed="false">
      <c r="B263" s="17" t="n">
        <v>45839</v>
      </c>
      <c r="C263" s="18" t="s">
        <v>286</v>
      </c>
      <c r="D263" s="18" t="s">
        <v>106</v>
      </c>
      <c r="E263" s="18" t="s">
        <v>52</v>
      </c>
      <c r="F263" s="26" t="n">
        <v>5618.94</v>
      </c>
      <c r="G263" s="20" t="s">
        <v>284</v>
      </c>
    </row>
    <row r="264" customFormat="false" ht="15" hidden="false" customHeight="true" outlineLevel="0" collapsed="false">
      <c r="B264" s="17" t="n">
        <v>45839</v>
      </c>
      <c r="C264" s="18" t="s">
        <v>782</v>
      </c>
      <c r="D264" s="18" t="s">
        <v>106</v>
      </c>
      <c r="E264" s="18" t="s">
        <v>34</v>
      </c>
      <c r="F264" s="26" t="n">
        <v>7577.8</v>
      </c>
      <c r="G264" s="20" t="s">
        <v>284</v>
      </c>
    </row>
    <row r="265" customFormat="false" ht="15" hidden="false" customHeight="true" outlineLevel="0" collapsed="false">
      <c r="B265" s="17" t="n">
        <v>45839</v>
      </c>
      <c r="C265" s="18" t="s">
        <v>783</v>
      </c>
      <c r="D265" s="18" t="s">
        <v>106</v>
      </c>
      <c r="E265" s="18" t="s">
        <v>38</v>
      </c>
      <c r="F265" s="26" t="n">
        <v>1528</v>
      </c>
      <c r="G265" s="20" t="s">
        <v>284</v>
      </c>
    </row>
    <row r="266" customFormat="false" ht="15" hidden="false" customHeight="true" outlineLevel="0" collapsed="false">
      <c r="B266" s="17" t="n">
        <v>45839</v>
      </c>
      <c r="C266" s="18" t="s">
        <v>784</v>
      </c>
      <c r="D266" s="18" t="s">
        <v>106</v>
      </c>
      <c r="E266" s="18" t="s">
        <v>40</v>
      </c>
      <c r="F266" s="26" t="n">
        <v>360</v>
      </c>
      <c r="G266" s="20" t="s">
        <v>284</v>
      </c>
    </row>
    <row r="267" customFormat="false" ht="15" hidden="false" customHeight="true" outlineLevel="0" collapsed="false">
      <c r="B267" s="17" t="n">
        <v>45839</v>
      </c>
      <c r="C267" s="18" t="s">
        <v>300</v>
      </c>
      <c r="D267" s="18" t="s">
        <v>106</v>
      </c>
      <c r="E267" s="18" t="s">
        <v>43</v>
      </c>
      <c r="F267" s="26" t="n">
        <v>1557.11</v>
      </c>
      <c r="G267" s="20" t="s">
        <v>284</v>
      </c>
    </row>
    <row r="268" customFormat="false" ht="15" hidden="false" customHeight="true" outlineLevel="0" collapsed="false">
      <c r="B268" s="17" t="n">
        <v>45839</v>
      </c>
      <c r="C268" s="18" t="s">
        <v>785</v>
      </c>
      <c r="D268" s="18" t="s">
        <v>106</v>
      </c>
      <c r="E268" s="18" t="s">
        <v>39</v>
      </c>
      <c r="F268" s="26" t="n">
        <v>406.66</v>
      </c>
      <c r="G268" s="20" t="s">
        <v>284</v>
      </c>
    </row>
    <row r="269" customFormat="false" ht="15" hidden="false" customHeight="true" outlineLevel="0" collapsed="false">
      <c r="B269" s="17" t="n">
        <v>45839</v>
      </c>
      <c r="C269" s="18" t="s">
        <v>786</v>
      </c>
      <c r="D269" s="18" t="s">
        <v>106</v>
      </c>
      <c r="E269" s="18" t="s">
        <v>41</v>
      </c>
      <c r="F269" s="26" t="n">
        <v>7525.8</v>
      </c>
      <c r="G269" s="20" t="s">
        <v>284</v>
      </c>
    </row>
    <row r="270" customFormat="false" ht="15" hidden="false" customHeight="true" outlineLevel="0" collapsed="false">
      <c r="B270" s="17" t="n">
        <v>45839</v>
      </c>
      <c r="C270" s="18" t="s">
        <v>309</v>
      </c>
      <c r="D270" s="18" t="s">
        <v>106</v>
      </c>
      <c r="E270" s="18" t="s">
        <v>47</v>
      </c>
      <c r="F270" s="26" t="n">
        <v>675.95</v>
      </c>
      <c r="G270" s="20" t="s">
        <v>284</v>
      </c>
    </row>
    <row r="271" customFormat="false" ht="15" hidden="false" customHeight="true" outlineLevel="0" collapsed="false">
      <c r="B271" s="17" t="n">
        <v>45839</v>
      </c>
      <c r="C271" s="18" t="s">
        <v>315</v>
      </c>
      <c r="D271" s="18" t="s">
        <v>106</v>
      </c>
      <c r="E271" s="18" t="s">
        <v>66</v>
      </c>
      <c r="F271" s="26" t="n">
        <v>15678</v>
      </c>
      <c r="G271" s="20" t="s">
        <v>284</v>
      </c>
    </row>
    <row r="272" customFormat="false" ht="15" hidden="false" customHeight="true" outlineLevel="0" collapsed="false">
      <c r="B272" s="17" t="n">
        <v>45839</v>
      </c>
      <c r="C272" s="18" t="s">
        <v>305</v>
      </c>
      <c r="D272" s="18" t="s">
        <v>106</v>
      </c>
      <c r="E272" s="18" t="s">
        <v>60</v>
      </c>
      <c r="F272" s="26" t="n">
        <v>327.05</v>
      </c>
      <c r="G272" s="20" t="s">
        <v>284</v>
      </c>
    </row>
    <row r="273" customFormat="false" ht="15" hidden="false" customHeight="true" outlineLevel="0" collapsed="false">
      <c r="B273" s="17" t="n">
        <v>45839</v>
      </c>
      <c r="C273" s="18" t="s">
        <v>787</v>
      </c>
      <c r="D273" s="18" t="s">
        <v>106</v>
      </c>
      <c r="E273" s="18" t="s">
        <v>33</v>
      </c>
      <c r="F273" s="26" t="n">
        <v>9470</v>
      </c>
      <c r="G273" s="20" t="s">
        <v>284</v>
      </c>
    </row>
    <row r="274" customFormat="false" ht="15" hidden="false" customHeight="true" outlineLevel="0" collapsed="false">
      <c r="B274" s="17" t="n">
        <v>45839</v>
      </c>
      <c r="C274" s="18" t="s">
        <v>306</v>
      </c>
      <c r="D274" s="18" t="s">
        <v>106</v>
      </c>
      <c r="E274" s="18" t="s">
        <v>53</v>
      </c>
      <c r="F274" s="26" t="n">
        <v>49.9</v>
      </c>
      <c r="G274" s="20" t="s">
        <v>284</v>
      </c>
    </row>
    <row r="275" customFormat="false" ht="15" hidden="false" customHeight="true" outlineLevel="0" collapsed="false">
      <c r="B275" s="17" t="n">
        <v>45839</v>
      </c>
      <c r="C275" s="18" t="s">
        <v>788</v>
      </c>
      <c r="D275" s="18" t="s">
        <v>106</v>
      </c>
      <c r="E275" s="18" t="s">
        <v>73</v>
      </c>
      <c r="F275" s="26" t="n">
        <v>165958.35</v>
      </c>
      <c r="G275" s="20" t="s">
        <v>284</v>
      </c>
    </row>
    <row r="276" customFormat="false" ht="15" hidden="false" customHeight="true" outlineLevel="0" collapsed="false">
      <c r="B276" s="17" t="n">
        <v>45839</v>
      </c>
      <c r="C276" s="18" t="s">
        <v>789</v>
      </c>
      <c r="D276" s="18" t="s">
        <v>106</v>
      </c>
      <c r="E276" s="18" t="s">
        <v>37</v>
      </c>
      <c r="F276" s="26" t="n">
        <v>1638</v>
      </c>
      <c r="G276" s="20" t="s">
        <v>284</v>
      </c>
    </row>
    <row r="277" customFormat="false" ht="15" hidden="false" customHeight="true" outlineLevel="0" collapsed="false">
      <c r="B277" s="17" t="n">
        <v>45839</v>
      </c>
      <c r="C277" s="18" t="s">
        <v>295</v>
      </c>
      <c r="D277" s="18" t="s">
        <v>106</v>
      </c>
      <c r="E277" s="18" t="s">
        <v>68</v>
      </c>
      <c r="F277" s="26" t="n">
        <v>113</v>
      </c>
      <c r="G277" s="20" t="s">
        <v>284</v>
      </c>
    </row>
    <row r="278" customFormat="false" ht="15" hidden="false" customHeight="true" outlineLevel="0" collapsed="false">
      <c r="B278" s="17" t="n">
        <v>45839</v>
      </c>
      <c r="C278" s="18" t="s">
        <v>790</v>
      </c>
      <c r="D278" s="18" t="s">
        <v>106</v>
      </c>
      <c r="E278" s="18" t="s">
        <v>35</v>
      </c>
      <c r="F278" s="26" t="n">
        <v>12230.53</v>
      </c>
      <c r="G278" s="20" t="s">
        <v>284</v>
      </c>
    </row>
    <row r="279" customFormat="false" ht="15" hidden="false" customHeight="true" outlineLevel="0" collapsed="false">
      <c r="B279" s="17" t="n">
        <v>45839</v>
      </c>
      <c r="C279" s="18" t="s">
        <v>302</v>
      </c>
      <c r="D279" s="18" t="s">
        <v>106</v>
      </c>
      <c r="E279" s="18" t="s">
        <v>48</v>
      </c>
      <c r="F279" s="26" t="n">
        <v>30</v>
      </c>
      <c r="G279" s="20" t="s">
        <v>284</v>
      </c>
    </row>
    <row r="280" customFormat="false" ht="15" hidden="false" customHeight="true" outlineLevel="0" collapsed="false">
      <c r="B280" s="17" t="n">
        <v>45839</v>
      </c>
      <c r="C280" s="18" t="s">
        <v>791</v>
      </c>
      <c r="D280" s="18" t="s">
        <v>106</v>
      </c>
      <c r="E280" s="18" t="s">
        <v>30</v>
      </c>
      <c r="F280" s="26" t="n">
        <v>112074.5</v>
      </c>
      <c r="G280" s="20" t="s">
        <v>284</v>
      </c>
    </row>
    <row r="281" customFormat="false" ht="15" hidden="false" customHeight="true" outlineLevel="0" collapsed="false">
      <c r="B281" s="17" t="n">
        <v>45839</v>
      </c>
      <c r="C281" s="18" t="s">
        <v>290</v>
      </c>
      <c r="D281" s="18" t="s">
        <v>106</v>
      </c>
      <c r="E281" s="18" t="s">
        <v>61</v>
      </c>
      <c r="F281" s="26" t="n">
        <v>2633.53</v>
      </c>
      <c r="G281" s="20" t="s">
        <v>284</v>
      </c>
    </row>
    <row r="282" customFormat="false" ht="15" hidden="false" customHeight="true" outlineLevel="0" collapsed="false">
      <c r="B282" s="17" t="n">
        <v>45839</v>
      </c>
      <c r="C282" s="18" t="s">
        <v>311</v>
      </c>
      <c r="D282" s="18" t="s">
        <v>106</v>
      </c>
      <c r="E282" s="18" t="s">
        <v>55</v>
      </c>
      <c r="F282" s="26" t="n">
        <v>3385.22</v>
      </c>
      <c r="G282" s="20" t="s">
        <v>284</v>
      </c>
    </row>
    <row r="283" customFormat="false" ht="15" hidden="false" customHeight="true" outlineLevel="0" collapsed="false">
      <c r="B283" s="17" t="n">
        <v>45839</v>
      </c>
      <c r="C283" s="18" t="s">
        <v>314</v>
      </c>
      <c r="D283" s="18" t="s">
        <v>106</v>
      </c>
      <c r="E283" s="18" t="s">
        <v>70</v>
      </c>
      <c r="F283" s="26" t="n">
        <v>6250</v>
      </c>
      <c r="G283" s="20" t="s">
        <v>284</v>
      </c>
    </row>
    <row r="284" customFormat="false" ht="15" hidden="false" customHeight="true" outlineLevel="0" collapsed="false">
      <c r="B284" s="17" t="n">
        <v>45839</v>
      </c>
      <c r="C284" s="18" t="s">
        <v>792</v>
      </c>
      <c r="D284" s="18" t="s">
        <v>106</v>
      </c>
      <c r="E284" s="18" t="s">
        <v>28</v>
      </c>
      <c r="F284" s="26" t="n">
        <v>16054</v>
      </c>
      <c r="G284" s="20" t="s">
        <v>284</v>
      </c>
    </row>
    <row r="285" customFormat="false" ht="15" hidden="false" customHeight="true" outlineLevel="0" collapsed="false">
      <c r="B285" s="17" t="n">
        <v>45839</v>
      </c>
      <c r="C285" s="18" t="s">
        <v>301</v>
      </c>
      <c r="D285" s="18" t="s">
        <v>106</v>
      </c>
      <c r="E285" s="18" t="s">
        <v>44</v>
      </c>
      <c r="F285" s="26" t="n">
        <v>915</v>
      </c>
      <c r="G285" s="20" t="s">
        <v>284</v>
      </c>
    </row>
    <row r="286" customFormat="false" ht="15" hidden="false" customHeight="true" outlineLevel="0" collapsed="false">
      <c r="B286" s="17" t="n">
        <v>45839</v>
      </c>
      <c r="C286" s="18" t="s">
        <v>303</v>
      </c>
      <c r="D286" s="18" t="s">
        <v>106</v>
      </c>
      <c r="E286" s="18" t="s">
        <v>46</v>
      </c>
      <c r="F286" s="26" t="n">
        <v>728</v>
      </c>
      <c r="G286" s="20" t="s">
        <v>284</v>
      </c>
    </row>
    <row r="287" customFormat="false" ht="15" hidden="false" customHeight="true" outlineLevel="0" collapsed="false">
      <c r="B287" s="17" t="n">
        <v>45839</v>
      </c>
      <c r="C287" s="18" t="s">
        <v>313</v>
      </c>
      <c r="D287" s="18" t="s">
        <v>106</v>
      </c>
      <c r="E287" s="18" t="s">
        <v>57</v>
      </c>
      <c r="F287" s="26" t="n">
        <v>157.75</v>
      </c>
      <c r="G287" s="20" t="s">
        <v>284</v>
      </c>
    </row>
    <row r="288" customFormat="false" ht="15" hidden="false" customHeight="true" outlineLevel="0" collapsed="false">
      <c r="B288" s="17" t="n">
        <v>45839</v>
      </c>
      <c r="C288" s="18" t="s">
        <v>289</v>
      </c>
      <c r="D288" s="18" t="s">
        <v>106</v>
      </c>
      <c r="E288" s="18" t="s">
        <v>67</v>
      </c>
      <c r="F288" s="26" t="n">
        <v>30</v>
      </c>
      <c r="G288" s="20" t="s">
        <v>284</v>
      </c>
    </row>
    <row r="289" customFormat="false" ht="15" hidden="false" customHeight="true" outlineLevel="0" collapsed="false">
      <c r="B289" s="17" t="n">
        <v>45839</v>
      </c>
      <c r="C289" s="18" t="s">
        <v>793</v>
      </c>
      <c r="D289" s="18" t="s">
        <v>106</v>
      </c>
      <c r="E289" s="18" t="s">
        <v>32</v>
      </c>
      <c r="F289" s="26" t="n">
        <v>134.69</v>
      </c>
      <c r="G289" s="20" t="s">
        <v>284</v>
      </c>
    </row>
    <row r="290" customFormat="false" ht="15" hidden="false" customHeight="true" outlineLevel="0" collapsed="false">
      <c r="B290" s="17" t="n">
        <v>45839</v>
      </c>
      <c r="C290" s="18" t="s">
        <v>312</v>
      </c>
      <c r="D290" s="18" t="s">
        <v>106</v>
      </c>
      <c r="E290" s="18" t="s">
        <v>56</v>
      </c>
      <c r="F290" s="26" t="n">
        <v>500</v>
      </c>
      <c r="G290" s="20" t="s">
        <v>284</v>
      </c>
    </row>
    <row r="291" customFormat="false" ht="15" hidden="false" customHeight="true" outlineLevel="0" collapsed="false">
      <c r="B291" s="17" t="n">
        <v>45839</v>
      </c>
      <c r="C291" s="18" t="s">
        <v>294</v>
      </c>
      <c r="D291" s="18" t="s">
        <v>106</v>
      </c>
      <c r="E291" s="18" t="s">
        <v>50</v>
      </c>
      <c r="F291" s="26" t="n">
        <v>3941.68</v>
      </c>
      <c r="G291" s="20" t="s">
        <v>284</v>
      </c>
    </row>
    <row r="292" customFormat="false" ht="15" hidden="false" customHeight="true" outlineLevel="0" collapsed="false">
      <c r="B292" s="17" t="n">
        <v>45839</v>
      </c>
      <c r="C292" s="18" t="s">
        <v>287</v>
      </c>
      <c r="D292" s="18" t="s">
        <v>106</v>
      </c>
      <c r="E292" s="18" t="s">
        <v>51</v>
      </c>
      <c r="F292" s="26" t="n">
        <v>37022.03</v>
      </c>
      <c r="G292" s="20" t="s">
        <v>284</v>
      </c>
    </row>
    <row r="293" customFormat="false" ht="15" hidden="false" customHeight="true" outlineLevel="0" collapsed="false">
      <c r="B293" s="17" t="n">
        <v>45839</v>
      </c>
      <c r="C293" s="18" t="s">
        <v>292</v>
      </c>
      <c r="D293" s="18" t="s">
        <v>106</v>
      </c>
      <c r="E293" s="18" t="s">
        <v>62</v>
      </c>
      <c r="F293" s="26" t="n">
        <v>140</v>
      </c>
      <c r="G293" s="20" t="s">
        <v>284</v>
      </c>
    </row>
    <row r="294" customFormat="false" ht="15" hidden="false" customHeight="true" outlineLevel="0" collapsed="false">
      <c r="B294" s="17" t="n">
        <v>45839</v>
      </c>
      <c r="C294" s="18" t="s">
        <v>291</v>
      </c>
      <c r="D294" s="18" t="s">
        <v>106</v>
      </c>
      <c r="E294" s="18" t="s">
        <v>64</v>
      </c>
      <c r="F294" s="26" t="n">
        <v>270.22</v>
      </c>
      <c r="G294" s="20" t="s">
        <v>284</v>
      </c>
    </row>
    <row r="295" customFormat="false" ht="15" hidden="false" customHeight="true" outlineLevel="0" collapsed="false">
      <c r="B295" s="17" t="n">
        <v>45839</v>
      </c>
      <c r="C295" s="18" t="s">
        <v>794</v>
      </c>
      <c r="D295" s="18" t="s">
        <v>106</v>
      </c>
      <c r="E295" s="18" t="s">
        <v>36</v>
      </c>
      <c r="F295" s="26" t="n">
        <v>21029.1</v>
      </c>
      <c r="G295" s="20" t="s">
        <v>284</v>
      </c>
    </row>
    <row r="296" customFormat="false" ht="15" hidden="false" customHeight="true" outlineLevel="0" collapsed="false">
      <c r="B296" s="17" t="n">
        <v>45839</v>
      </c>
      <c r="C296" s="18" t="s">
        <v>795</v>
      </c>
      <c r="D296" s="18" t="s">
        <v>106</v>
      </c>
      <c r="E296" s="18" t="s">
        <v>26</v>
      </c>
      <c r="F296" s="26" t="n">
        <v>245815.35</v>
      </c>
      <c r="G296" s="20" t="s">
        <v>284</v>
      </c>
    </row>
    <row r="297" customFormat="false" ht="15" hidden="false" customHeight="true" outlineLevel="0" collapsed="false">
      <c r="B297" s="17" t="n">
        <v>45839</v>
      </c>
      <c r="C297" s="18" t="s">
        <v>304</v>
      </c>
      <c r="D297" s="18" t="s">
        <v>106</v>
      </c>
      <c r="E297" s="18" t="s">
        <v>65</v>
      </c>
      <c r="F297" s="26" t="n">
        <v>252.72</v>
      </c>
      <c r="G297" s="20" t="s">
        <v>284</v>
      </c>
    </row>
    <row r="298" customFormat="false" ht="15" hidden="false" customHeight="true" outlineLevel="0" collapsed="false">
      <c r="B298" s="17" t="n">
        <v>45839</v>
      </c>
      <c r="C298" s="18" t="s">
        <v>796</v>
      </c>
      <c r="D298" s="18" t="s">
        <v>106</v>
      </c>
      <c r="E298" s="18" t="s">
        <v>29</v>
      </c>
      <c r="F298" s="26" t="n">
        <v>7206</v>
      </c>
      <c r="G298" s="20" t="s">
        <v>284</v>
      </c>
    </row>
    <row r="299" customFormat="false" ht="15" hidden="false" customHeight="true" outlineLevel="0" collapsed="false">
      <c r="B299" s="17" t="n">
        <v>45839</v>
      </c>
      <c r="C299" s="18" t="s">
        <v>308</v>
      </c>
      <c r="D299" s="18" t="s">
        <v>106</v>
      </c>
      <c r="E299" s="18" t="s">
        <v>63</v>
      </c>
      <c r="F299" s="26" t="n">
        <v>12013.66</v>
      </c>
      <c r="G299" s="20" t="s">
        <v>284</v>
      </c>
    </row>
    <row r="300" customFormat="false" ht="15" hidden="false" customHeight="true" outlineLevel="0" collapsed="false">
      <c r="B300" s="17" t="n">
        <v>45839</v>
      </c>
      <c r="C300" s="18" t="s">
        <v>293</v>
      </c>
      <c r="D300" s="18" t="s">
        <v>106</v>
      </c>
      <c r="E300" s="18" t="s">
        <v>49</v>
      </c>
      <c r="F300" s="26" t="n">
        <v>3160</v>
      </c>
      <c r="G300" s="20" t="s">
        <v>284</v>
      </c>
    </row>
    <row r="301" customFormat="false" ht="15" hidden="false" customHeight="true" outlineLevel="0" collapsed="false">
      <c r="B301" s="17" t="n">
        <v>45839</v>
      </c>
      <c r="C301" s="18" t="s">
        <v>288</v>
      </c>
      <c r="D301" s="18" t="s">
        <v>106</v>
      </c>
      <c r="E301" s="18" t="s">
        <v>59</v>
      </c>
      <c r="F301" s="26" t="n">
        <v>3600</v>
      </c>
      <c r="G301" s="20" t="s">
        <v>284</v>
      </c>
    </row>
    <row r="302" customFormat="false" ht="15" hidden="false" customHeight="true" outlineLevel="0" collapsed="false">
      <c r="B302" s="17" t="n">
        <v>45839</v>
      </c>
      <c r="C302" s="18" t="s">
        <v>310</v>
      </c>
      <c r="D302" s="18" t="s">
        <v>106</v>
      </c>
      <c r="E302" s="18" t="s">
        <v>54</v>
      </c>
      <c r="F302" s="26" t="n">
        <v>957</v>
      </c>
      <c r="G302" s="20" t="s">
        <v>284</v>
      </c>
    </row>
    <row r="303" customFormat="false" ht="15" hidden="false" customHeight="true" outlineLevel="0" collapsed="false">
      <c r="B303" s="17" t="n">
        <v>45839</v>
      </c>
      <c r="C303" s="18" t="s">
        <v>296</v>
      </c>
      <c r="D303" s="18" t="s">
        <v>106</v>
      </c>
      <c r="E303" s="18" t="s">
        <v>69</v>
      </c>
      <c r="F303" s="26" t="n">
        <v>327</v>
      </c>
      <c r="G303" s="20" t="s">
        <v>284</v>
      </c>
    </row>
    <row r="304" customFormat="false" ht="15" hidden="false" customHeight="true" outlineLevel="0" collapsed="false">
      <c r="B304" s="17" t="n">
        <v>45870</v>
      </c>
      <c r="C304" s="18" t="s">
        <v>797</v>
      </c>
      <c r="D304" s="18" t="s">
        <v>106</v>
      </c>
      <c r="E304" s="18" t="s">
        <v>31</v>
      </c>
      <c r="F304" s="26" t="n">
        <v>24295.1</v>
      </c>
      <c r="G304" s="20" t="s">
        <v>318</v>
      </c>
    </row>
    <row r="305" customFormat="false" ht="15" hidden="false" customHeight="true" outlineLevel="0" collapsed="false">
      <c r="B305" s="17" t="n">
        <v>45870</v>
      </c>
      <c r="C305" s="18" t="s">
        <v>323</v>
      </c>
      <c r="D305" s="18" t="s">
        <v>106</v>
      </c>
      <c r="E305" s="18" t="s">
        <v>71</v>
      </c>
      <c r="F305" s="26" t="n">
        <v>2906.98</v>
      </c>
      <c r="G305" s="20" t="s">
        <v>318</v>
      </c>
    </row>
    <row r="306" customFormat="false" ht="15" hidden="false" customHeight="true" outlineLevel="0" collapsed="false">
      <c r="B306" s="17" t="n">
        <v>45870</v>
      </c>
      <c r="C306" s="18" t="s">
        <v>333</v>
      </c>
      <c r="D306" s="18" t="s">
        <v>106</v>
      </c>
      <c r="E306" s="18" t="s">
        <v>45</v>
      </c>
      <c r="F306" s="26" t="n">
        <v>128.9</v>
      </c>
      <c r="G306" s="20" t="s">
        <v>318</v>
      </c>
    </row>
    <row r="307" customFormat="false" ht="15" hidden="false" customHeight="true" outlineLevel="0" collapsed="false">
      <c r="B307" s="17" t="n">
        <v>45870</v>
      </c>
      <c r="C307" s="18" t="s">
        <v>320</v>
      </c>
      <c r="D307" s="18" t="s">
        <v>106</v>
      </c>
      <c r="E307" s="18" t="s">
        <v>52</v>
      </c>
      <c r="F307" s="26" t="n">
        <v>6582.13</v>
      </c>
      <c r="G307" s="20" t="s">
        <v>318</v>
      </c>
    </row>
    <row r="308" customFormat="false" ht="15" hidden="false" customHeight="true" outlineLevel="0" collapsed="false">
      <c r="B308" s="17" t="n">
        <v>45870</v>
      </c>
      <c r="C308" s="18" t="s">
        <v>798</v>
      </c>
      <c r="D308" s="18" t="s">
        <v>106</v>
      </c>
      <c r="E308" s="18" t="s">
        <v>34</v>
      </c>
      <c r="F308" s="26" t="n">
        <v>12164.79</v>
      </c>
      <c r="G308" s="20" t="s">
        <v>318</v>
      </c>
    </row>
    <row r="309" customFormat="false" ht="15" hidden="false" customHeight="true" outlineLevel="0" collapsed="false">
      <c r="B309" s="17" t="n">
        <v>45870</v>
      </c>
      <c r="C309" s="18" t="s">
        <v>799</v>
      </c>
      <c r="D309" s="18" t="s">
        <v>106</v>
      </c>
      <c r="E309" s="18" t="s">
        <v>38</v>
      </c>
      <c r="F309" s="26" t="n">
        <v>5765</v>
      </c>
      <c r="G309" s="20" t="s">
        <v>318</v>
      </c>
    </row>
    <row r="310" customFormat="false" ht="15" hidden="false" customHeight="true" outlineLevel="0" collapsed="false">
      <c r="B310" s="17" t="n">
        <v>45870</v>
      </c>
      <c r="C310" s="18" t="s">
        <v>334</v>
      </c>
      <c r="D310" s="18" t="s">
        <v>106</v>
      </c>
      <c r="E310" s="18" t="s">
        <v>43</v>
      </c>
      <c r="F310" s="26" t="n">
        <v>1816.77</v>
      </c>
      <c r="G310" s="20" t="s">
        <v>318</v>
      </c>
    </row>
    <row r="311" customFormat="false" ht="15" hidden="false" customHeight="true" outlineLevel="0" collapsed="false">
      <c r="B311" s="17" t="n">
        <v>45870</v>
      </c>
      <c r="C311" s="18" t="s">
        <v>800</v>
      </c>
      <c r="D311" s="18" t="s">
        <v>106</v>
      </c>
      <c r="E311" s="18" t="s">
        <v>41</v>
      </c>
      <c r="F311" s="26" t="n">
        <v>8399.8</v>
      </c>
      <c r="G311" s="20" t="s">
        <v>318</v>
      </c>
    </row>
    <row r="312" customFormat="false" ht="15" hidden="false" customHeight="true" outlineLevel="0" collapsed="false">
      <c r="B312" s="17" t="n">
        <v>45870</v>
      </c>
      <c r="C312" s="18" t="s">
        <v>337</v>
      </c>
      <c r="D312" s="18" t="s">
        <v>106</v>
      </c>
      <c r="E312" s="18" t="s">
        <v>60</v>
      </c>
      <c r="F312" s="26" t="n">
        <v>327.05</v>
      </c>
      <c r="G312" s="20" t="s">
        <v>318</v>
      </c>
    </row>
    <row r="313" customFormat="false" ht="15" hidden="false" customHeight="true" outlineLevel="0" collapsed="false">
      <c r="B313" s="17" t="n">
        <v>45870</v>
      </c>
      <c r="C313" s="18" t="s">
        <v>801</v>
      </c>
      <c r="D313" s="18" t="s">
        <v>106</v>
      </c>
      <c r="E313" s="18" t="s">
        <v>33</v>
      </c>
      <c r="F313" s="26" t="n">
        <v>2444</v>
      </c>
      <c r="G313" s="20" t="s">
        <v>318</v>
      </c>
    </row>
    <row r="314" customFormat="false" ht="15" hidden="false" customHeight="true" outlineLevel="0" collapsed="false">
      <c r="B314" s="17" t="n">
        <v>45870</v>
      </c>
      <c r="C314" s="18" t="s">
        <v>330</v>
      </c>
      <c r="D314" s="18" t="s">
        <v>106</v>
      </c>
      <c r="E314" s="18" t="s">
        <v>42</v>
      </c>
      <c r="F314" s="26" t="n">
        <v>148.64</v>
      </c>
      <c r="G314" s="20" t="s">
        <v>318</v>
      </c>
    </row>
    <row r="315" customFormat="false" ht="15" hidden="false" customHeight="true" outlineLevel="0" collapsed="false">
      <c r="B315" s="17" t="n">
        <v>45870</v>
      </c>
      <c r="C315" s="18" t="s">
        <v>338</v>
      </c>
      <c r="D315" s="18" t="s">
        <v>106</v>
      </c>
      <c r="E315" s="18" t="s">
        <v>53</v>
      </c>
      <c r="F315" s="26" t="n">
        <v>49.9</v>
      </c>
      <c r="G315" s="20" t="s">
        <v>318</v>
      </c>
    </row>
    <row r="316" customFormat="false" ht="15" hidden="false" customHeight="true" outlineLevel="0" collapsed="false">
      <c r="B316" s="17" t="n">
        <v>45870</v>
      </c>
      <c r="C316" s="18" t="s">
        <v>802</v>
      </c>
      <c r="D316" s="18" t="s">
        <v>106</v>
      </c>
      <c r="E316" s="18" t="s">
        <v>73</v>
      </c>
      <c r="F316" s="26" t="n">
        <v>166168.35</v>
      </c>
      <c r="G316" s="20" t="s">
        <v>318</v>
      </c>
    </row>
    <row r="317" customFormat="false" ht="15" hidden="false" customHeight="true" outlineLevel="0" collapsed="false">
      <c r="B317" s="17" t="n">
        <v>45870</v>
      </c>
      <c r="C317" s="18" t="s">
        <v>346</v>
      </c>
      <c r="D317" s="18" t="s">
        <v>106</v>
      </c>
      <c r="E317" s="18" t="s">
        <v>75</v>
      </c>
      <c r="F317" s="26" t="n">
        <v>50.21</v>
      </c>
      <c r="G317" s="20" t="s">
        <v>318</v>
      </c>
    </row>
    <row r="318" customFormat="false" ht="15" hidden="false" customHeight="true" outlineLevel="0" collapsed="false">
      <c r="B318" s="17" t="n">
        <v>45870</v>
      </c>
      <c r="C318" s="18" t="s">
        <v>329</v>
      </c>
      <c r="D318" s="18" t="s">
        <v>106</v>
      </c>
      <c r="E318" s="18" t="s">
        <v>68</v>
      </c>
      <c r="F318" s="26" t="n">
        <v>112.52</v>
      </c>
      <c r="G318" s="20" t="s">
        <v>318</v>
      </c>
    </row>
    <row r="319" customFormat="false" ht="15" hidden="false" customHeight="true" outlineLevel="0" collapsed="false">
      <c r="B319" s="17" t="n">
        <v>45870</v>
      </c>
      <c r="C319" s="18" t="s">
        <v>803</v>
      </c>
      <c r="D319" s="18" t="s">
        <v>106</v>
      </c>
      <c r="E319" s="18" t="s">
        <v>35</v>
      </c>
      <c r="F319" s="26" t="n">
        <v>7834.25</v>
      </c>
      <c r="G319" s="20" t="s">
        <v>318</v>
      </c>
    </row>
    <row r="320" customFormat="false" ht="15" hidden="false" customHeight="true" outlineLevel="0" collapsed="false">
      <c r="B320" s="17" t="n">
        <v>45870</v>
      </c>
      <c r="C320" s="18" t="s">
        <v>804</v>
      </c>
      <c r="D320" s="18" t="s">
        <v>106</v>
      </c>
      <c r="E320" s="18" t="s">
        <v>30</v>
      </c>
      <c r="F320" s="26" t="n">
        <v>106743.5</v>
      </c>
      <c r="G320" s="20" t="s">
        <v>318</v>
      </c>
    </row>
    <row r="321" customFormat="false" ht="15" hidden="false" customHeight="true" outlineLevel="0" collapsed="false">
      <c r="B321" s="17" t="n">
        <v>45870</v>
      </c>
      <c r="C321" s="18" t="s">
        <v>324</v>
      </c>
      <c r="D321" s="18" t="s">
        <v>106</v>
      </c>
      <c r="E321" s="18" t="s">
        <v>61</v>
      </c>
      <c r="F321" s="26" t="n">
        <v>6200.07</v>
      </c>
      <c r="G321" s="20" t="s">
        <v>318</v>
      </c>
    </row>
    <row r="322" customFormat="false" ht="15" hidden="false" customHeight="true" outlineLevel="0" collapsed="false">
      <c r="B322" s="17" t="n">
        <v>45870</v>
      </c>
      <c r="C322" s="18" t="s">
        <v>331</v>
      </c>
      <c r="D322" s="18" t="s">
        <v>106</v>
      </c>
      <c r="E322" s="18" t="s">
        <v>76</v>
      </c>
      <c r="F322" s="26" t="n">
        <v>1100</v>
      </c>
      <c r="G322" s="20" t="s">
        <v>318</v>
      </c>
    </row>
    <row r="323" customFormat="false" ht="15" hidden="false" customHeight="true" outlineLevel="0" collapsed="false">
      <c r="B323" s="17" t="n">
        <v>45870</v>
      </c>
      <c r="C323" s="18" t="s">
        <v>345</v>
      </c>
      <c r="D323" s="18" t="s">
        <v>106</v>
      </c>
      <c r="E323" s="18" t="s">
        <v>70</v>
      </c>
      <c r="F323" s="26" t="n">
        <v>7581</v>
      </c>
      <c r="G323" s="20" t="s">
        <v>318</v>
      </c>
    </row>
    <row r="324" customFormat="false" ht="15" hidden="false" customHeight="true" outlineLevel="0" collapsed="false">
      <c r="B324" s="17" t="n">
        <v>45870</v>
      </c>
      <c r="C324" s="18" t="s">
        <v>805</v>
      </c>
      <c r="D324" s="18" t="s">
        <v>106</v>
      </c>
      <c r="E324" s="18" t="s">
        <v>28</v>
      </c>
      <c r="F324" s="26" t="n">
        <v>23689</v>
      </c>
      <c r="G324" s="20" t="s">
        <v>318</v>
      </c>
    </row>
    <row r="325" customFormat="false" ht="15" hidden="false" customHeight="true" outlineLevel="0" collapsed="false">
      <c r="B325" s="17" t="n">
        <v>45870</v>
      </c>
      <c r="C325" s="18" t="s">
        <v>335</v>
      </c>
      <c r="D325" s="18" t="s">
        <v>106</v>
      </c>
      <c r="E325" s="18" t="s">
        <v>46</v>
      </c>
      <c r="F325" s="26" t="n">
        <v>750</v>
      </c>
      <c r="G325" s="20" t="s">
        <v>318</v>
      </c>
    </row>
    <row r="326" customFormat="false" ht="15" hidden="false" customHeight="true" outlineLevel="0" collapsed="false">
      <c r="B326" s="17" t="n">
        <v>45870</v>
      </c>
      <c r="C326" s="18" t="s">
        <v>344</v>
      </c>
      <c r="D326" s="18" t="s">
        <v>106</v>
      </c>
      <c r="E326" s="18" t="s">
        <v>57</v>
      </c>
      <c r="F326" s="26" t="n">
        <v>468.09</v>
      </c>
      <c r="G326" s="20" t="s">
        <v>318</v>
      </c>
    </row>
    <row r="327" customFormat="false" ht="15" hidden="false" customHeight="true" outlineLevel="0" collapsed="false">
      <c r="B327" s="17" t="n">
        <v>45870</v>
      </c>
      <c r="C327" s="18" t="s">
        <v>342</v>
      </c>
      <c r="D327" s="18" t="s">
        <v>106</v>
      </c>
      <c r="E327" s="18" t="s">
        <v>74</v>
      </c>
      <c r="F327" s="26" t="n">
        <v>578.78</v>
      </c>
      <c r="G327" s="20" t="s">
        <v>318</v>
      </c>
    </row>
    <row r="328" customFormat="false" ht="15" hidden="false" customHeight="true" outlineLevel="0" collapsed="false">
      <c r="B328" s="17" t="n">
        <v>45870</v>
      </c>
      <c r="C328" s="18" t="s">
        <v>806</v>
      </c>
      <c r="D328" s="18" t="s">
        <v>106</v>
      </c>
      <c r="E328" s="18" t="s">
        <v>32</v>
      </c>
      <c r="F328" s="26" t="n">
        <v>167.65</v>
      </c>
      <c r="G328" s="20" t="s">
        <v>318</v>
      </c>
    </row>
    <row r="329" customFormat="false" ht="15" hidden="false" customHeight="true" outlineLevel="0" collapsed="false">
      <c r="B329" s="17" t="n">
        <v>45870</v>
      </c>
      <c r="C329" s="18" t="s">
        <v>339</v>
      </c>
      <c r="D329" s="18" t="s">
        <v>106</v>
      </c>
      <c r="E329" s="18" t="s">
        <v>72</v>
      </c>
      <c r="F329" s="26" t="n">
        <v>200</v>
      </c>
      <c r="G329" s="20" t="s">
        <v>318</v>
      </c>
    </row>
    <row r="330" customFormat="false" ht="15" hidden="false" customHeight="true" outlineLevel="0" collapsed="false">
      <c r="B330" s="17" t="n">
        <v>45870</v>
      </c>
      <c r="C330" s="18" t="s">
        <v>328</v>
      </c>
      <c r="D330" s="18" t="s">
        <v>106</v>
      </c>
      <c r="E330" s="18" t="s">
        <v>50</v>
      </c>
      <c r="F330" s="26" t="n">
        <v>7706</v>
      </c>
      <c r="G330" s="20" t="s">
        <v>318</v>
      </c>
    </row>
    <row r="331" customFormat="false" ht="15" hidden="false" customHeight="true" outlineLevel="0" collapsed="false">
      <c r="B331" s="17" t="n">
        <v>45870</v>
      </c>
      <c r="C331" s="18" t="s">
        <v>321</v>
      </c>
      <c r="D331" s="18" t="s">
        <v>106</v>
      </c>
      <c r="E331" s="18" t="s">
        <v>51</v>
      </c>
      <c r="F331" s="26" t="n">
        <v>27259.41</v>
      </c>
      <c r="G331" s="20" t="s">
        <v>318</v>
      </c>
    </row>
    <row r="332" customFormat="false" ht="15" hidden="false" customHeight="true" outlineLevel="0" collapsed="false">
      <c r="B332" s="17" t="n">
        <v>45870</v>
      </c>
      <c r="C332" s="18" t="s">
        <v>326</v>
      </c>
      <c r="D332" s="18" t="s">
        <v>106</v>
      </c>
      <c r="E332" s="18" t="s">
        <v>62</v>
      </c>
      <c r="F332" s="26" t="n">
        <v>140</v>
      </c>
      <c r="G332" s="20" t="s">
        <v>318</v>
      </c>
    </row>
    <row r="333" customFormat="false" ht="15" hidden="false" customHeight="true" outlineLevel="0" collapsed="false">
      <c r="B333" s="17" t="n">
        <v>45870</v>
      </c>
      <c r="C333" s="18" t="s">
        <v>325</v>
      </c>
      <c r="D333" s="18" t="s">
        <v>106</v>
      </c>
      <c r="E333" s="18" t="s">
        <v>64</v>
      </c>
      <c r="F333" s="26" t="n">
        <v>269.82</v>
      </c>
      <c r="G333" s="20" t="s">
        <v>318</v>
      </c>
    </row>
    <row r="334" customFormat="false" ht="15" hidden="false" customHeight="true" outlineLevel="0" collapsed="false">
      <c r="B334" s="17" t="n">
        <v>45870</v>
      </c>
      <c r="C334" s="18" t="s">
        <v>807</v>
      </c>
      <c r="D334" s="18" t="s">
        <v>106</v>
      </c>
      <c r="E334" s="18" t="s">
        <v>36</v>
      </c>
      <c r="F334" s="26" t="n">
        <v>21751.88</v>
      </c>
      <c r="G334" s="20" t="s">
        <v>318</v>
      </c>
    </row>
    <row r="335" customFormat="false" ht="15" hidden="false" customHeight="true" outlineLevel="0" collapsed="false">
      <c r="B335" s="17" t="n">
        <v>45870</v>
      </c>
      <c r="C335" s="18" t="s">
        <v>808</v>
      </c>
      <c r="D335" s="18" t="s">
        <v>106</v>
      </c>
      <c r="E335" s="18" t="s">
        <v>26</v>
      </c>
      <c r="F335" s="26" t="n">
        <v>255397.6</v>
      </c>
      <c r="G335" s="20" t="s">
        <v>318</v>
      </c>
    </row>
    <row r="336" customFormat="false" ht="15" hidden="false" customHeight="true" outlineLevel="0" collapsed="false">
      <c r="B336" s="17" t="n">
        <v>45870</v>
      </c>
      <c r="C336" s="18" t="s">
        <v>336</v>
      </c>
      <c r="D336" s="18" t="s">
        <v>106</v>
      </c>
      <c r="E336" s="18" t="s">
        <v>65</v>
      </c>
      <c r="F336" s="26" t="n">
        <v>240</v>
      </c>
      <c r="G336" s="20" t="s">
        <v>318</v>
      </c>
    </row>
    <row r="337" customFormat="false" ht="15" hidden="false" customHeight="true" outlineLevel="0" collapsed="false">
      <c r="B337" s="17" t="n">
        <v>45870</v>
      </c>
      <c r="C337" s="18" t="s">
        <v>809</v>
      </c>
      <c r="D337" s="18" t="s">
        <v>106</v>
      </c>
      <c r="E337" s="18" t="s">
        <v>29</v>
      </c>
      <c r="F337" s="26" t="n">
        <v>7346.6</v>
      </c>
      <c r="G337" s="20" t="s">
        <v>318</v>
      </c>
    </row>
    <row r="338" customFormat="false" ht="15" hidden="false" customHeight="true" outlineLevel="0" collapsed="false">
      <c r="B338" s="17" t="n">
        <v>45870</v>
      </c>
      <c r="C338" s="18" t="s">
        <v>341</v>
      </c>
      <c r="D338" s="18" t="s">
        <v>106</v>
      </c>
      <c r="E338" s="18" t="s">
        <v>63</v>
      </c>
      <c r="F338" s="26" t="n">
        <v>12013.66</v>
      </c>
      <c r="G338" s="20" t="s">
        <v>318</v>
      </c>
    </row>
    <row r="339" customFormat="false" ht="15" hidden="false" customHeight="true" outlineLevel="0" collapsed="false">
      <c r="B339" s="17" t="n">
        <v>45870</v>
      </c>
      <c r="C339" s="18" t="s">
        <v>327</v>
      </c>
      <c r="D339" s="18" t="s">
        <v>106</v>
      </c>
      <c r="E339" s="18" t="s">
        <v>49</v>
      </c>
      <c r="F339" s="26" t="n">
        <v>3240</v>
      </c>
      <c r="G339" s="20" t="s">
        <v>318</v>
      </c>
    </row>
    <row r="340" customFormat="false" ht="15" hidden="false" customHeight="true" outlineLevel="0" collapsed="false">
      <c r="B340" s="17" t="n">
        <v>45870</v>
      </c>
      <c r="C340" s="18" t="s">
        <v>322</v>
      </c>
      <c r="D340" s="18" t="s">
        <v>106</v>
      </c>
      <c r="E340" s="18" t="s">
        <v>59</v>
      </c>
      <c r="F340" s="26" t="n">
        <v>3450.01</v>
      </c>
      <c r="G340" s="20" t="s">
        <v>318</v>
      </c>
    </row>
    <row r="341" customFormat="false" ht="15" hidden="false" customHeight="true" outlineLevel="0" collapsed="false">
      <c r="B341" s="17" t="n">
        <v>45870</v>
      </c>
      <c r="C341" s="18" t="s">
        <v>343</v>
      </c>
      <c r="D341" s="18" t="s">
        <v>106</v>
      </c>
      <c r="E341" s="18" t="s">
        <v>54</v>
      </c>
      <c r="F341" s="26" t="n">
        <v>957</v>
      </c>
      <c r="G341" s="20" t="s">
        <v>318</v>
      </c>
    </row>
    <row r="342" customFormat="false" ht="15" hidden="false" customHeight="true" outlineLevel="0" collapsed="false">
      <c r="B342" s="17" t="n">
        <v>45901</v>
      </c>
      <c r="C342" s="18" t="s">
        <v>810</v>
      </c>
      <c r="D342" s="18" t="s">
        <v>106</v>
      </c>
      <c r="E342" s="18" t="s">
        <v>31</v>
      </c>
      <c r="F342" s="26" t="n">
        <v>20419.5</v>
      </c>
      <c r="G342" s="20" t="s">
        <v>349</v>
      </c>
    </row>
    <row r="343" customFormat="false" ht="15" hidden="false" customHeight="true" outlineLevel="0" collapsed="false">
      <c r="B343" s="17" t="n">
        <v>45901</v>
      </c>
      <c r="C343" s="18" t="s">
        <v>364</v>
      </c>
      <c r="D343" s="18" t="s">
        <v>106</v>
      </c>
      <c r="E343" s="18" t="s">
        <v>45</v>
      </c>
      <c r="F343" s="26" t="n">
        <v>128.16</v>
      </c>
      <c r="G343" s="20" t="s">
        <v>349</v>
      </c>
    </row>
    <row r="344" customFormat="false" ht="15" hidden="false" customHeight="true" outlineLevel="0" collapsed="false">
      <c r="B344" s="17" t="n">
        <v>45901</v>
      </c>
      <c r="C344" s="18" t="s">
        <v>350</v>
      </c>
      <c r="D344" s="18" t="s">
        <v>106</v>
      </c>
      <c r="E344" s="18" t="s">
        <v>52</v>
      </c>
      <c r="F344" s="26" t="n">
        <v>5713.82</v>
      </c>
      <c r="G344" s="20" t="s">
        <v>349</v>
      </c>
    </row>
    <row r="345" customFormat="false" ht="15" hidden="false" customHeight="true" outlineLevel="0" collapsed="false">
      <c r="B345" s="17" t="n">
        <v>45901</v>
      </c>
      <c r="C345" s="18" t="s">
        <v>811</v>
      </c>
      <c r="D345" s="18" t="s">
        <v>106</v>
      </c>
      <c r="E345" s="18" t="s">
        <v>34</v>
      </c>
      <c r="F345" s="26" t="n">
        <v>6445</v>
      </c>
      <c r="G345" s="20" t="s">
        <v>349</v>
      </c>
    </row>
    <row r="346" customFormat="false" ht="15" hidden="false" customHeight="true" outlineLevel="0" collapsed="false">
      <c r="B346" s="17" t="n">
        <v>45901</v>
      </c>
      <c r="C346" s="18" t="s">
        <v>812</v>
      </c>
      <c r="D346" s="18" t="s">
        <v>106</v>
      </c>
      <c r="E346" s="18" t="s">
        <v>38</v>
      </c>
      <c r="F346" s="26" t="n">
        <v>3185</v>
      </c>
      <c r="G346" s="20" t="s">
        <v>349</v>
      </c>
    </row>
    <row r="347" customFormat="false" ht="15" hidden="false" customHeight="true" outlineLevel="0" collapsed="false">
      <c r="B347" s="17" t="n">
        <v>45901</v>
      </c>
      <c r="C347" s="18" t="s">
        <v>365</v>
      </c>
      <c r="D347" s="18" t="s">
        <v>106</v>
      </c>
      <c r="E347" s="18" t="s">
        <v>43</v>
      </c>
      <c r="F347" s="26" t="n">
        <v>1158.4</v>
      </c>
      <c r="G347" s="20" t="s">
        <v>349</v>
      </c>
    </row>
    <row r="348" customFormat="false" ht="15" hidden="false" customHeight="true" outlineLevel="0" collapsed="false">
      <c r="B348" s="17" t="n">
        <v>45901</v>
      </c>
      <c r="C348" s="18" t="s">
        <v>813</v>
      </c>
      <c r="D348" s="18" t="s">
        <v>106</v>
      </c>
      <c r="E348" s="18" t="s">
        <v>39</v>
      </c>
      <c r="F348" s="26" t="n">
        <v>698.19</v>
      </c>
      <c r="G348" s="20" t="s">
        <v>349</v>
      </c>
    </row>
    <row r="349" customFormat="false" ht="15" hidden="false" customHeight="true" outlineLevel="0" collapsed="false">
      <c r="B349" s="17" t="n">
        <v>45901</v>
      </c>
      <c r="C349" s="18" t="s">
        <v>814</v>
      </c>
      <c r="D349" s="18" t="s">
        <v>106</v>
      </c>
      <c r="E349" s="18" t="s">
        <v>41</v>
      </c>
      <c r="F349" s="26" t="n">
        <v>8519.42</v>
      </c>
      <c r="G349" s="20" t="s">
        <v>349</v>
      </c>
    </row>
    <row r="350" customFormat="false" ht="15" hidden="false" customHeight="true" outlineLevel="0" collapsed="false">
      <c r="B350" s="17" t="n">
        <v>45901</v>
      </c>
      <c r="C350" s="18" t="s">
        <v>369</v>
      </c>
      <c r="D350" s="18" t="s">
        <v>106</v>
      </c>
      <c r="E350" s="18" t="s">
        <v>60</v>
      </c>
      <c r="F350" s="26" t="n">
        <v>328.05</v>
      </c>
      <c r="G350" s="20" t="s">
        <v>349</v>
      </c>
    </row>
    <row r="351" customFormat="false" ht="15" hidden="false" customHeight="true" outlineLevel="0" collapsed="false">
      <c r="B351" s="17" t="n">
        <v>45901</v>
      </c>
      <c r="C351" s="18" t="s">
        <v>815</v>
      </c>
      <c r="D351" s="18" t="s">
        <v>106</v>
      </c>
      <c r="E351" s="18" t="s">
        <v>33</v>
      </c>
      <c r="F351" s="26" t="n">
        <v>5360</v>
      </c>
      <c r="G351" s="20" t="s">
        <v>349</v>
      </c>
    </row>
    <row r="352" customFormat="false" ht="15" hidden="false" customHeight="true" outlineLevel="0" collapsed="false">
      <c r="B352" s="17" t="n">
        <v>45901</v>
      </c>
      <c r="C352" s="18" t="s">
        <v>361</v>
      </c>
      <c r="D352" s="18" t="s">
        <v>106</v>
      </c>
      <c r="E352" s="18" t="s">
        <v>42</v>
      </c>
      <c r="F352" s="26" t="n">
        <v>4655.22</v>
      </c>
      <c r="G352" s="20" t="s">
        <v>349</v>
      </c>
    </row>
    <row r="353" customFormat="false" ht="15" hidden="false" customHeight="true" outlineLevel="0" collapsed="false">
      <c r="B353" s="17" t="n">
        <v>45901</v>
      </c>
      <c r="C353" s="18" t="s">
        <v>371</v>
      </c>
      <c r="D353" s="18" t="s">
        <v>106</v>
      </c>
      <c r="E353" s="18" t="s">
        <v>53</v>
      </c>
      <c r="F353" s="26" t="n">
        <v>49.9</v>
      </c>
      <c r="G353" s="20" t="s">
        <v>349</v>
      </c>
    </row>
    <row r="354" customFormat="false" ht="15" hidden="false" customHeight="true" outlineLevel="0" collapsed="false">
      <c r="B354" s="17" t="n">
        <v>45901</v>
      </c>
      <c r="C354" s="18" t="s">
        <v>816</v>
      </c>
      <c r="D354" s="18" t="s">
        <v>106</v>
      </c>
      <c r="E354" s="18" t="s">
        <v>73</v>
      </c>
      <c r="F354" s="26" t="n">
        <v>166963.68</v>
      </c>
      <c r="G354" s="20" t="s">
        <v>349</v>
      </c>
    </row>
    <row r="355" customFormat="false" ht="15" hidden="false" customHeight="true" outlineLevel="0" collapsed="false">
      <c r="B355" s="17" t="n">
        <v>45901</v>
      </c>
      <c r="C355" s="18" t="s">
        <v>817</v>
      </c>
      <c r="D355" s="18" t="s">
        <v>106</v>
      </c>
      <c r="E355" s="18" t="s">
        <v>37</v>
      </c>
      <c r="F355" s="26" t="n">
        <v>640</v>
      </c>
      <c r="G355" s="20" t="s">
        <v>349</v>
      </c>
    </row>
    <row r="356" customFormat="false" ht="15" hidden="false" customHeight="true" outlineLevel="0" collapsed="false">
      <c r="B356" s="17" t="n">
        <v>45901</v>
      </c>
      <c r="C356" s="18" t="s">
        <v>818</v>
      </c>
      <c r="D356" s="18" t="s">
        <v>106</v>
      </c>
      <c r="E356" s="18" t="s">
        <v>35</v>
      </c>
      <c r="F356" s="26" t="n">
        <v>3627.3</v>
      </c>
      <c r="G356" s="20" t="s">
        <v>349</v>
      </c>
    </row>
    <row r="357" customFormat="false" ht="15" hidden="false" customHeight="true" outlineLevel="0" collapsed="false">
      <c r="B357" s="17" t="n">
        <v>45901</v>
      </c>
      <c r="C357" s="18" t="s">
        <v>366</v>
      </c>
      <c r="D357" s="18" t="s">
        <v>106</v>
      </c>
      <c r="E357" s="18" t="s">
        <v>48</v>
      </c>
      <c r="F357" s="26" t="n">
        <v>30</v>
      </c>
      <c r="G357" s="20" t="s">
        <v>349</v>
      </c>
    </row>
    <row r="358" customFormat="false" ht="15" hidden="false" customHeight="true" outlineLevel="0" collapsed="false">
      <c r="B358" s="17" t="n">
        <v>45901</v>
      </c>
      <c r="C358" s="18" t="s">
        <v>819</v>
      </c>
      <c r="D358" s="18" t="s">
        <v>106</v>
      </c>
      <c r="E358" s="18" t="s">
        <v>30</v>
      </c>
      <c r="F358" s="26" t="n">
        <v>87423.5</v>
      </c>
      <c r="G358" s="20" t="s">
        <v>349</v>
      </c>
    </row>
    <row r="359" customFormat="false" ht="15" hidden="false" customHeight="true" outlineLevel="0" collapsed="false">
      <c r="B359" s="17" t="n">
        <v>45901</v>
      </c>
      <c r="C359" s="18" t="s">
        <v>354</v>
      </c>
      <c r="D359" s="18" t="s">
        <v>106</v>
      </c>
      <c r="E359" s="18" t="s">
        <v>61</v>
      </c>
      <c r="F359" s="26" t="n">
        <v>8254.24</v>
      </c>
      <c r="G359" s="20" t="s">
        <v>349</v>
      </c>
    </row>
    <row r="360" customFormat="false" ht="15" hidden="false" customHeight="true" outlineLevel="0" collapsed="false">
      <c r="B360" s="17" t="n">
        <v>45901</v>
      </c>
      <c r="C360" s="18" t="s">
        <v>378</v>
      </c>
      <c r="D360" s="18" t="s">
        <v>106</v>
      </c>
      <c r="E360" s="18" t="s">
        <v>70</v>
      </c>
      <c r="F360" s="26" t="n">
        <v>8705</v>
      </c>
      <c r="G360" s="20" t="s">
        <v>349</v>
      </c>
    </row>
    <row r="361" customFormat="false" ht="15" hidden="false" customHeight="true" outlineLevel="0" collapsed="false">
      <c r="B361" s="17" t="n">
        <v>45901</v>
      </c>
      <c r="C361" s="18" t="s">
        <v>820</v>
      </c>
      <c r="D361" s="18" t="s">
        <v>106</v>
      </c>
      <c r="E361" s="18" t="s">
        <v>28</v>
      </c>
      <c r="F361" s="26" t="n">
        <v>33667</v>
      </c>
      <c r="G361" s="20" t="s">
        <v>349</v>
      </c>
    </row>
    <row r="362" customFormat="false" ht="15" hidden="false" customHeight="true" outlineLevel="0" collapsed="false">
      <c r="B362" s="17" t="n">
        <v>45901</v>
      </c>
      <c r="C362" s="18" t="s">
        <v>367</v>
      </c>
      <c r="D362" s="18" t="s">
        <v>106</v>
      </c>
      <c r="E362" s="18" t="s">
        <v>46</v>
      </c>
      <c r="F362" s="26" t="n">
        <v>302</v>
      </c>
      <c r="G362" s="20" t="s">
        <v>349</v>
      </c>
    </row>
    <row r="363" customFormat="false" ht="15" hidden="false" customHeight="true" outlineLevel="0" collapsed="false">
      <c r="B363" s="17" t="n">
        <v>45901</v>
      </c>
      <c r="C363" s="18" t="s">
        <v>375</v>
      </c>
      <c r="D363" s="18" t="s">
        <v>106</v>
      </c>
      <c r="E363" s="18" t="s">
        <v>74</v>
      </c>
      <c r="F363" s="26" t="n">
        <v>319.92</v>
      </c>
      <c r="G363" s="20" t="s">
        <v>349</v>
      </c>
    </row>
    <row r="364" customFormat="false" ht="15" hidden="false" customHeight="true" outlineLevel="0" collapsed="false">
      <c r="B364" s="17" t="n">
        <v>45901</v>
      </c>
      <c r="C364" s="18" t="s">
        <v>353</v>
      </c>
      <c r="D364" s="18" t="s">
        <v>106</v>
      </c>
      <c r="E364" s="18" t="s">
        <v>67</v>
      </c>
      <c r="F364" s="26" t="n">
        <v>29.79</v>
      </c>
      <c r="G364" s="20" t="s">
        <v>349</v>
      </c>
    </row>
    <row r="365" customFormat="false" ht="15" hidden="false" customHeight="true" outlineLevel="0" collapsed="false">
      <c r="B365" s="17" t="n">
        <v>45901</v>
      </c>
      <c r="C365" s="18" t="s">
        <v>370</v>
      </c>
      <c r="D365" s="18" t="s">
        <v>106</v>
      </c>
      <c r="E365" s="18" t="s">
        <v>80</v>
      </c>
      <c r="F365" s="26" t="n">
        <v>4500</v>
      </c>
      <c r="G365" s="20" t="s">
        <v>349</v>
      </c>
    </row>
    <row r="366" customFormat="false" ht="15" hidden="false" customHeight="true" outlineLevel="0" collapsed="false">
      <c r="B366" s="17" t="n">
        <v>45901</v>
      </c>
      <c r="C366" s="18" t="s">
        <v>357</v>
      </c>
      <c r="D366" s="18" t="s">
        <v>106</v>
      </c>
      <c r="E366" s="18" t="s">
        <v>50</v>
      </c>
      <c r="F366" s="26" t="n">
        <v>2520</v>
      </c>
      <c r="G366" s="20" t="s">
        <v>349</v>
      </c>
    </row>
    <row r="367" customFormat="false" ht="15" hidden="false" customHeight="true" outlineLevel="0" collapsed="false">
      <c r="B367" s="17" t="n">
        <v>45901</v>
      </c>
      <c r="C367" s="18" t="s">
        <v>351</v>
      </c>
      <c r="D367" s="18" t="s">
        <v>106</v>
      </c>
      <c r="E367" s="18" t="s">
        <v>51</v>
      </c>
      <c r="F367" s="26" t="n">
        <v>25627.32</v>
      </c>
      <c r="G367" s="20" t="s">
        <v>349</v>
      </c>
    </row>
    <row r="368" customFormat="false" ht="15" hidden="false" customHeight="true" outlineLevel="0" collapsed="false">
      <c r="B368" s="17" t="n">
        <v>45901</v>
      </c>
      <c r="C368" s="18" t="s">
        <v>356</v>
      </c>
      <c r="D368" s="18" t="s">
        <v>106</v>
      </c>
      <c r="E368" s="18" t="s">
        <v>62</v>
      </c>
      <c r="F368" s="26" t="n">
        <v>140</v>
      </c>
      <c r="G368" s="20" t="s">
        <v>349</v>
      </c>
    </row>
    <row r="369" customFormat="false" ht="15" hidden="false" customHeight="true" outlineLevel="0" collapsed="false">
      <c r="B369" s="17" t="n">
        <v>45901</v>
      </c>
      <c r="C369" s="18" t="s">
        <v>355</v>
      </c>
      <c r="D369" s="18" t="s">
        <v>106</v>
      </c>
      <c r="E369" s="18" t="s">
        <v>64</v>
      </c>
      <c r="F369" s="26" t="n">
        <v>269.82</v>
      </c>
      <c r="G369" s="20" t="s">
        <v>349</v>
      </c>
    </row>
    <row r="370" customFormat="false" ht="15" hidden="false" customHeight="true" outlineLevel="0" collapsed="false">
      <c r="B370" s="17" t="n">
        <v>45901</v>
      </c>
      <c r="C370" s="18" t="s">
        <v>821</v>
      </c>
      <c r="D370" s="18" t="s">
        <v>106</v>
      </c>
      <c r="E370" s="18" t="s">
        <v>36</v>
      </c>
      <c r="F370" s="26" t="n">
        <v>17568.9</v>
      </c>
      <c r="G370" s="20" t="s">
        <v>349</v>
      </c>
    </row>
    <row r="371" customFormat="false" ht="15" hidden="false" customHeight="true" outlineLevel="0" collapsed="false">
      <c r="B371" s="17" t="n">
        <v>45901</v>
      </c>
      <c r="C371" s="18" t="s">
        <v>822</v>
      </c>
      <c r="D371" s="18" t="s">
        <v>106</v>
      </c>
      <c r="E371" s="18" t="s">
        <v>77</v>
      </c>
      <c r="F371" s="26" t="n">
        <v>6650</v>
      </c>
      <c r="G371" s="20" t="s">
        <v>349</v>
      </c>
    </row>
    <row r="372" customFormat="false" ht="15" hidden="false" customHeight="true" outlineLevel="0" collapsed="false">
      <c r="B372" s="17" t="n">
        <v>45901</v>
      </c>
      <c r="C372" s="18" t="s">
        <v>823</v>
      </c>
      <c r="D372" s="18" t="s">
        <v>106</v>
      </c>
      <c r="E372" s="18" t="s">
        <v>26</v>
      </c>
      <c r="F372" s="26" t="n">
        <v>317071.73</v>
      </c>
      <c r="G372" s="20" t="s">
        <v>349</v>
      </c>
    </row>
    <row r="373" customFormat="false" ht="15" hidden="false" customHeight="true" outlineLevel="0" collapsed="false">
      <c r="B373" s="17" t="n">
        <v>45901</v>
      </c>
      <c r="C373" s="18" t="s">
        <v>368</v>
      </c>
      <c r="D373" s="18" t="s">
        <v>106</v>
      </c>
      <c r="E373" s="18" t="s">
        <v>65</v>
      </c>
      <c r="F373" s="26" t="n">
        <v>256.67</v>
      </c>
      <c r="G373" s="20" t="s">
        <v>349</v>
      </c>
    </row>
    <row r="374" customFormat="false" ht="15" hidden="false" customHeight="true" outlineLevel="0" collapsed="false">
      <c r="B374" s="17" t="n">
        <v>45901</v>
      </c>
      <c r="C374" s="18" t="s">
        <v>360</v>
      </c>
      <c r="D374" s="18" t="s">
        <v>106</v>
      </c>
      <c r="E374" s="18" t="s">
        <v>78</v>
      </c>
      <c r="F374" s="26" t="n">
        <v>60</v>
      </c>
      <c r="G374" s="20" t="s">
        <v>349</v>
      </c>
    </row>
    <row r="375" customFormat="false" ht="15" hidden="false" customHeight="true" outlineLevel="0" collapsed="false">
      <c r="B375" s="17" t="n">
        <v>45901</v>
      </c>
      <c r="C375" s="18" t="s">
        <v>824</v>
      </c>
      <c r="D375" s="18" t="s">
        <v>106</v>
      </c>
      <c r="E375" s="18" t="s">
        <v>29</v>
      </c>
      <c r="F375" s="26" t="n">
        <v>7889.9</v>
      </c>
      <c r="G375" s="20" t="s">
        <v>349</v>
      </c>
    </row>
    <row r="376" customFormat="false" ht="15" hidden="false" customHeight="true" outlineLevel="0" collapsed="false">
      <c r="B376" s="17" t="n">
        <v>45901</v>
      </c>
      <c r="C376" s="18" t="s">
        <v>373</v>
      </c>
      <c r="D376" s="18" t="s">
        <v>106</v>
      </c>
      <c r="E376" s="18" t="s">
        <v>63</v>
      </c>
      <c r="F376" s="26" t="n">
        <v>12013.66</v>
      </c>
      <c r="G376" s="20" t="s">
        <v>349</v>
      </c>
    </row>
    <row r="377" customFormat="false" ht="15" hidden="false" customHeight="true" outlineLevel="0" collapsed="false">
      <c r="B377" s="17" t="n">
        <v>45901</v>
      </c>
      <c r="C377" s="18" t="s">
        <v>352</v>
      </c>
      <c r="D377" s="18" t="s">
        <v>106</v>
      </c>
      <c r="E377" s="18" t="s">
        <v>59</v>
      </c>
      <c r="F377" s="26" t="n">
        <v>3450</v>
      </c>
      <c r="G377" s="20" t="s">
        <v>349</v>
      </c>
    </row>
    <row r="378" customFormat="false" ht="15" hidden="false" customHeight="true" outlineLevel="0" collapsed="false">
      <c r="B378" s="17" t="n">
        <v>45901</v>
      </c>
      <c r="C378" s="18" t="s">
        <v>374</v>
      </c>
      <c r="D378" s="18" t="s">
        <v>106</v>
      </c>
      <c r="E378" s="18" t="s">
        <v>79</v>
      </c>
      <c r="F378" s="26" t="n">
        <v>220.95</v>
      </c>
      <c r="G378" s="20" t="s">
        <v>349</v>
      </c>
    </row>
    <row r="379" customFormat="false" ht="15" hidden="false" customHeight="true" outlineLevel="0" collapsed="false">
      <c r="B379" s="17" t="n">
        <v>45901</v>
      </c>
      <c r="C379" s="18" t="s">
        <v>376</v>
      </c>
      <c r="D379" s="18" t="s">
        <v>106</v>
      </c>
      <c r="E379" s="18" t="s">
        <v>54</v>
      </c>
      <c r="F379" s="26" t="n">
        <v>957</v>
      </c>
      <c r="G379" s="20" t="s">
        <v>349</v>
      </c>
    </row>
    <row r="380" customFormat="false" ht="15" hidden="false" customHeight="true" outlineLevel="0" collapsed="false">
      <c r="B380" s="17" t="n">
        <v>45931</v>
      </c>
      <c r="C380" s="18" t="s">
        <v>825</v>
      </c>
      <c r="D380" s="18" t="s">
        <v>106</v>
      </c>
      <c r="E380" s="18" t="s">
        <v>31</v>
      </c>
      <c r="F380" s="26" t="n">
        <v>17322.1</v>
      </c>
      <c r="G380" s="20" t="s">
        <v>381</v>
      </c>
    </row>
    <row r="381" customFormat="false" ht="15" hidden="false" customHeight="true" outlineLevel="0" collapsed="false">
      <c r="B381" s="17" t="n">
        <v>45931</v>
      </c>
      <c r="C381" s="18" t="s">
        <v>396</v>
      </c>
      <c r="D381" s="18" t="s">
        <v>106</v>
      </c>
      <c r="E381" s="18" t="s">
        <v>45</v>
      </c>
      <c r="F381" s="26" t="n">
        <v>92.9</v>
      </c>
      <c r="G381" s="20" t="s">
        <v>381</v>
      </c>
    </row>
    <row r="382" customFormat="false" ht="15" hidden="false" customHeight="true" outlineLevel="0" collapsed="false">
      <c r="B382" s="17" t="n">
        <v>45931</v>
      </c>
      <c r="C382" s="18" t="s">
        <v>382</v>
      </c>
      <c r="D382" s="18" t="s">
        <v>106</v>
      </c>
      <c r="E382" s="18" t="s">
        <v>52</v>
      </c>
      <c r="F382" s="26" t="n">
        <v>10116.52</v>
      </c>
      <c r="G382" s="20" t="s">
        <v>381</v>
      </c>
    </row>
    <row r="383" customFormat="false" ht="15" hidden="false" customHeight="true" outlineLevel="0" collapsed="false">
      <c r="B383" s="17" t="n">
        <v>45931</v>
      </c>
      <c r="C383" s="18" t="s">
        <v>413</v>
      </c>
      <c r="D383" s="18" t="s">
        <v>106</v>
      </c>
      <c r="E383" s="18" t="s">
        <v>81</v>
      </c>
      <c r="F383" s="26" t="n">
        <v>5000</v>
      </c>
      <c r="G383" s="20" t="s">
        <v>381</v>
      </c>
    </row>
    <row r="384" customFormat="false" ht="15" hidden="false" customHeight="true" outlineLevel="0" collapsed="false">
      <c r="B384" s="17" t="n">
        <v>45931</v>
      </c>
      <c r="C384" s="18" t="s">
        <v>826</v>
      </c>
      <c r="D384" s="18" t="s">
        <v>106</v>
      </c>
      <c r="E384" s="18" t="s">
        <v>34</v>
      </c>
      <c r="F384" s="26" t="n">
        <v>9672.35</v>
      </c>
      <c r="G384" s="20" t="s">
        <v>381</v>
      </c>
    </row>
    <row r="385" customFormat="false" ht="15" hidden="false" customHeight="true" outlineLevel="0" collapsed="false">
      <c r="B385" s="17" t="n">
        <v>45931</v>
      </c>
      <c r="C385" s="18" t="s">
        <v>827</v>
      </c>
      <c r="D385" s="18" t="s">
        <v>106</v>
      </c>
      <c r="E385" s="18" t="s">
        <v>38</v>
      </c>
      <c r="F385" s="26" t="n">
        <v>5349</v>
      </c>
      <c r="G385" s="20" t="s">
        <v>381</v>
      </c>
    </row>
    <row r="386" customFormat="false" ht="15" hidden="false" customHeight="true" outlineLevel="0" collapsed="false">
      <c r="B386" s="17" t="n">
        <v>45931</v>
      </c>
      <c r="C386" s="18" t="s">
        <v>828</v>
      </c>
      <c r="D386" s="18" t="s">
        <v>106</v>
      </c>
      <c r="E386" s="18" t="s">
        <v>40</v>
      </c>
      <c r="F386" s="26" t="n">
        <v>2464</v>
      </c>
      <c r="G386" s="20" t="s">
        <v>381</v>
      </c>
    </row>
    <row r="387" customFormat="false" ht="15" hidden="false" customHeight="true" outlineLevel="0" collapsed="false">
      <c r="B387" s="17" t="n">
        <v>45931</v>
      </c>
      <c r="C387" s="18" t="s">
        <v>397</v>
      </c>
      <c r="D387" s="18" t="s">
        <v>106</v>
      </c>
      <c r="E387" s="18" t="s">
        <v>43</v>
      </c>
      <c r="F387" s="26" t="n">
        <v>1537.99</v>
      </c>
      <c r="G387" s="20" t="s">
        <v>381</v>
      </c>
    </row>
    <row r="388" customFormat="false" ht="15" hidden="false" customHeight="true" outlineLevel="0" collapsed="false">
      <c r="B388" s="17" t="n">
        <v>45931</v>
      </c>
      <c r="C388" s="18" t="s">
        <v>829</v>
      </c>
      <c r="D388" s="18" t="s">
        <v>106</v>
      </c>
      <c r="E388" s="18" t="s">
        <v>39</v>
      </c>
      <c r="F388" s="26" t="n">
        <v>366.6</v>
      </c>
      <c r="G388" s="20" t="s">
        <v>381</v>
      </c>
    </row>
    <row r="389" customFormat="false" ht="15" hidden="false" customHeight="true" outlineLevel="0" collapsed="false">
      <c r="B389" s="17" t="n">
        <v>45931</v>
      </c>
      <c r="C389" s="18" t="s">
        <v>830</v>
      </c>
      <c r="D389" s="18" t="s">
        <v>106</v>
      </c>
      <c r="E389" s="18" t="s">
        <v>41</v>
      </c>
      <c r="F389" s="26" t="n">
        <v>6249.57</v>
      </c>
      <c r="G389" s="20" t="s">
        <v>381</v>
      </c>
    </row>
    <row r="390" customFormat="false" ht="15" hidden="false" customHeight="true" outlineLevel="0" collapsed="false">
      <c r="B390" s="17" t="n">
        <v>45931</v>
      </c>
      <c r="C390" s="18" t="s">
        <v>399</v>
      </c>
      <c r="D390" s="18" t="s">
        <v>106</v>
      </c>
      <c r="E390" s="18" t="s">
        <v>60</v>
      </c>
      <c r="F390" s="26" t="n">
        <v>327.05</v>
      </c>
      <c r="G390" s="20" t="s">
        <v>381</v>
      </c>
    </row>
    <row r="391" customFormat="false" ht="15" hidden="false" customHeight="true" outlineLevel="0" collapsed="false">
      <c r="B391" s="17" t="n">
        <v>45931</v>
      </c>
      <c r="C391" s="18" t="s">
        <v>831</v>
      </c>
      <c r="D391" s="18" t="s">
        <v>106</v>
      </c>
      <c r="E391" s="18" t="s">
        <v>33</v>
      </c>
      <c r="F391" s="26" t="n">
        <v>11130</v>
      </c>
      <c r="G391" s="20" t="s">
        <v>381</v>
      </c>
    </row>
    <row r="392" customFormat="false" ht="15" hidden="false" customHeight="true" outlineLevel="0" collapsed="false">
      <c r="B392" s="17" t="n">
        <v>45931</v>
      </c>
      <c r="C392" s="18" t="s">
        <v>392</v>
      </c>
      <c r="D392" s="18" t="s">
        <v>106</v>
      </c>
      <c r="E392" s="18" t="s">
        <v>42</v>
      </c>
      <c r="F392" s="26" t="n">
        <v>882.6</v>
      </c>
      <c r="G392" s="20" t="s">
        <v>381</v>
      </c>
    </row>
    <row r="393" customFormat="false" ht="15" hidden="false" customHeight="true" outlineLevel="0" collapsed="false">
      <c r="B393" s="17" t="n">
        <v>45931</v>
      </c>
      <c r="C393" s="18" t="s">
        <v>401</v>
      </c>
      <c r="D393" s="18" t="s">
        <v>106</v>
      </c>
      <c r="E393" s="18" t="s">
        <v>53</v>
      </c>
      <c r="F393" s="26" t="n">
        <v>49.9</v>
      </c>
      <c r="G393" s="20" t="s">
        <v>381</v>
      </c>
    </row>
    <row r="394" customFormat="false" ht="15" hidden="false" customHeight="true" outlineLevel="0" collapsed="false">
      <c r="B394" s="17" t="n">
        <v>45931</v>
      </c>
      <c r="C394" s="18" t="s">
        <v>832</v>
      </c>
      <c r="D394" s="18" t="s">
        <v>106</v>
      </c>
      <c r="E394" s="18" t="s">
        <v>73</v>
      </c>
      <c r="F394" s="26" t="n">
        <v>34142.04</v>
      </c>
      <c r="G394" s="20" t="s">
        <v>381</v>
      </c>
    </row>
    <row r="395" customFormat="false" ht="15" hidden="false" customHeight="true" outlineLevel="0" collapsed="false">
      <c r="B395" s="17" t="n">
        <v>45931</v>
      </c>
      <c r="C395" s="18" t="s">
        <v>833</v>
      </c>
      <c r="D395" s="18" t="s">
        <v>106</v>
      </c>
      <c r="E395" s="18" t="s">
        <v>37</v>
      </c>
      <c r="F395" s="26" t="n">
        <v>427</v>
      </c>
      <c r="G395" s="20" t="s">
        <v>381</v>
      </c>
    </row>
    <row r="396" customFormat="false" ht="15" hidden="false" customHeight="true" outlineLevel="0" collapsed="false">
      <c r="B396" s="17" t="n">
        <v>45931</v>
      </c>
      <c r="C396" s="18" t="s">
        <v>389</v>
      </c>
      <c r="D396" s="18" t="s">
        <v>106</v>
      </c>
      <c r="E396" s="18" t="s">
        <v>68</v>
      </c>
      <c r="F396" s="26" t="n">
        <v>555.66</v>
      </c>
      <c r="G396" s="20" t="s">
        <v>381</v>
      </c>
    </row>
    <row r="397" customFormat="false" ht="15" hidden="false" customHeight="true" outlineLevel="0" collapsed="false">
      <c r="B397" s="17" t="n">
        <v>45931</v>
      </c>
      <c r="C397" s="18" t="s">
        <v>834</v>
      </c>
      <c r="D397" s="18" t="s">
        <v>106</v>
      </c>
      <c r="E397" s="18" t="s">
        <v>35</v>
      </c>
      <c r="F397" s="26" t="n">
        <v>5083.36</v>
      </c>
      <c r="G397" s="20" t="s">
        <v>381</v>
      </c>
    </row>
    <row r="398" customFormat="false" ht="15" hidden="false" customHeight="true" outlineLevel="0" collapsed="false">
      <c r="B398" s="17" t="n">
        <v>45931</v>
      </c>
      <c r="C398" s="18" t="s">
        <v>835</v>
      </c>
      <c r="D398" s="18" t="s">
        <v>106</v>
      </c>
      <c r="E398" s="18" t="s">
        <v>30</v>
      </c>
      <c r="F398" s="26" t="n">
        <v>91843</v>
      </c>
      <c r="G398" s="20" t="s">
        <v>381</v>
      </c>
    </row>
    <row r="399" customFormat="false" ht="15" hidden="false" customHeight="true" outlineLevel="0" collapsed="false">
      <c r="B399" s="17" t="n">
        <v>45931</v>
      </c>
      <c r="C399" s="18" t="s">
        <v>406</v>
      </c>
      <c r="D399" s="18" t="s">
        <v>106</v>
      </c>
      <c r="E399" s="18" t="s">
        <v>85</v>
      </c>
      <c r="F399" s="26" t="n">
        <v>3989.34</v>
      </c>
      <c r="G399" s="20" t="s">
        <v>381</v>
      </c>
    </row>
    <row r="400" customFormat="false" ht="15" hidden="false" customHeight="true" outlineLevel="0" collapsed="false">
      <c r="B400" s="17" t="n">
        <v>45931</v>
      </c>
      <c r="C400" s="18" t="s">
        <v>385</v>
      </c>
      <c r="D400" s="18" t="s">
        <v>106</v>
      </c>
      <c r="E400" s="18" t="s">
        <v>61</v>
      </c>
      <c r="F400" s="26" t="n">
        <v>6404.98</v>
      </c>
      <c r="G400" s="20" t="s">
        <v>381</v>
      </c>
    </row>
    <row r="401" customFormat="false" ht="15" hidden="false" customHeight="true" outlineLevel="0" collapsed="false">
      <c r="B401" s="17" t="n">
        <v>45931</v>
      </c>
      <c r="C401" s="18" t="s">
        <v>394</v>
      </c>
      <c r="D401" s="18" t="s">
        <v>106</v>
      </c>
      <c r="E401" s="18" t="s">
        <v>76</v>
      </c>
      <c r="F401" s="26" t="n">
        <v>1100</v>
      </c>
      <c r="G401" s="20" t="s">
        <v>381</v>
      </c>
    </row>
    <row r="402" customFormat="false" ht="15" hidden="false" customHeight="true" outlineLevel="0" collapsed="false">
      <c r="B402" s="17" t="n">
        <v>45931</v>
      </c>
      <c r="C402" s="18" t="s">
        <v>408</v>
      </c>
      <c r="D402" s="18" t="s">
        <v>106</v>
      </c>
      <c r="E402" s="18" t="s">
        <v>55</v>
      </c>
      <c r="F402" s="26" t="n">
        <v>681.34</v>
      </c>
      <c r="G402" s="20" t="s">
        <v>381</v>
      </c>
    </row>
    <row r="403" customFormat="false" ht="15" hidden="false" customHeight="true" outlineLevel="0" collapsed="false">
      <c r="B403" s="17" t="n">
        <v>45931</v>
      </c>
      <c r="C403" s="18" t="s">
        <v>410</v>
      </c>
      <c r="D403" s="18" t="s">
        <v>106</v>
      </c>
      <c r="E403" s="18" t="s">
        <v>70</v>
      </c>
      <c r="F403" s="26" t="n">
        <v>7750</v>
      </c>
      <c r="G403" s="20" t="s">
        <v>381</v>
      </c>
    </row>
    <row r="404" customFormat="false" ht="15" hidden="false" customHeight="true" outlineLevel="0" collapsed="false">
      <c r="B404" s="17" t="n">
        <v>45931</v>
      </c>
      <c r="C404" s="18" t="s">
        <v>836</v>
      </c>
      <c r="D404" s="18" t="s">
        <v>106</v>
      </c>
      <c r="E404" s="18" t="s">
        <v>28</v>
      </c>
      <c r="F404" s="26" t="n">
        <v>30866</v>
      </c>
      <c r="G404" s="20" t="s">
        <v>381</v>
      </c>
    </row>
    <row r="405" customFormat="false" ht="15" hidden="false" customHeight="true" outlineLevel="0" collapsed="false">
      <c r="B405" s="17" t="n">
        <v>45931</v>
      </c>
      <c r="C405" s="18" t="s">
        <v>409</v>
      </c>
      <c r="D405" s="18" t="s">
        <v>106</v>
      </c>
      <c r="E405" s="18" t="s">
        <v>57</v>
      </c>
      <c r="F405" s="26" t="n">
        <v>235.65</v>
      </c>
      <c r="G405" s="20" t="s">
        <v>381</v>
      </c>
    </row>
    <row r="406" customFormat="false" ht="15" hidden="false" customHeight="true" outlineLevel="0" collapsed="false">
      <c r="B406" s="17" t="n">
        <v>45931</v>
      </c>
      <c r="C406" s="18" t="s">
        <v>837</v>
      </c>
      <c r="D406" s="18" t="s">
        <v>106</v>
      </c>
      <c r="E406" s="18" t="s">
        <v>74</v>
      </c>
      <c r="F406" s="26" t="n">
        <v>70</v>
      </c>
      <c r="G406" s="20" t="s">
        <v>381</v>
      </c>
    </row>
    <row r="407" customFormat="false" ht="15" hidden="false" customHeight="true" outlineLevel="0" collapsed="false">
      <c r="B407" s="17" t="n">
        <v>45931</v>
      </c>
      <c r="C407" s="18" t="s">
        <v>838</v>
      </c>
      <c r="D407" s="18" t="s">
        <v>106</v>
      </c>
      <c r="E407" s="18" t="s">
        <v>67</v>
      </c>
      <c r="F407" s="26" t="n">
        <v>88.46</v>
      </c>
      <c r="G407" s="20" t="s">
        <v>381</v>
      </c>
    </row>
    <row r="408" customFormat="false" ht="15" hidden="false" customHeight="true" outlineLevel="0" collapsed="false">
      <c r="B408" s="17" t="n">
        <v>45931</v>
      </c>
      <c r="C408" s="18" t="s">
        <v>393</v>
      </c>
      <c r="D408" s="18" t="s">
        <v>106</v>
      </c>
      <c r="E408" s="18" t="s">
        <v>83</v>
      </c>
      <c r="F408" s="26" t="n">
        <v>104.13</v>
      </c>
      <c r="G408" s="20" t="s">
        <v>381</v>
      </c>
    </row>
    <row r="409" customFormat="false" ht="15" hidden="false" customHeight="true" outlineLevel="0" collapsed="false">
      <c r="B409" s="17" t="n">
        <v>45931</v>
      </c>
      <c r="C409" s="18" t="s">
        <v>400</v>
      </c>
      <c r="D409" s="18" t="s">
        <v>106</v>
      </c>
      <c r="E409" s="18" t="s">
        <v>80</v>
      </c>
      <c r="F409" s="26" t="n">
        <v>4910.24</v>
      </c>
      <c r="G409" s="20" t="s">
        <v>381</v>
      </c>
    </row>
    <row r="410" customFormat="false" ht="15" hidden="false" customHeight="true" outlineLevel="0" collapsed="false">
      <c r="B410" s="17" t="n">
        <v>45931</v>
      </c>
      <c r="C410" s="18" t="s">
        <v>839</v>
      </c>
      <c r="D410" s="18" t="s">
        <v>106</v>
      </c>
      <c r="E410" s="18" t="s">
        <v>32</v>
      </c>
      <c r="F410" s="26" t="n">
        <v>165.17</v>
      </c>
      <c r="G410" s="20" t="s">
        <v>381</v>
      </c>
    </row>
    <row r="411" customFormat="false" ht="15" hidden="false" customHeight="true" outlineLevel="0" collapsed="false">
      <c r="B411" s="17" t="n">
        <v>45931</v>
      </c>
      <c r="C411" s="18" t="s">
        <v>411</v>
      </c>
      <c r="D411" s="18" t="s">
        <v>106</v>
      </c>
      <c r="E411" s="18" t="s">
        <v>82</v>
      </c>
      <c r="F411" s="26" t="n">
        <v>2360.04</v>
      </c>
      <c r="G411" s="20" t="s">
        <v>381</v>
      </c>
    </row>
    <row r="412" customFormat="false" ht="15" hidden="false" customHeight="true" outlineLevel="0" collapsed="false">
      <c r="B412" s="17" t="n">
        <v>45931</v>
      </c>
      <c r="C412" s="18" t="s">
        <v>402</v>
      </c>
      <c r="D412" s="18" t="s">
        <v>106</v>
      </c>
      <c r="E412" s="18" t="s">
        <v>72</v>
      </c>
      <c r="F412" s="26" t="n">
        <v>650</v>
      </c>
      <c r="G412" s="20" t="s">
        <v>381</v>
      </c>
    </row>
    <row r="413" customFormat="false" ht="15" hidden="false" customHeight="true" outlineLevel="0" collapsed="false">
      <c r="B413" s="17" t="n">
        <v>45931</v>
      </c>
      <c r="C413" s="18" t="s">
        <v>388</v>
      </c>
      <c r="D413" s="18" t="s">
        <v>106</v>
      </c>
      <c r="E413" s="18" t="s">
        <v>50</v>
      </c>
      <c r="F413" s="26" t="n">
        <v>5643.32</v>
      </c>
      <c r="G413" s="20" t="s">
        <v>381</v>
      </c>
    </row>
    <row r="414" customFormat="false" ht="15" hidden="false" customHeight="true" outlineLevel="0" collapsed="false">
      <c r="B414" s="17" t="n">
        <v>45931</v>
      </c>
      <c r="C414" s="18" t="s">
        <v>383</v>
      </c>
      <c r="D414" s="18" t="s">
        <v>106</v>
      </c>
      <c r="E414" s="18" t="s">
        <v>51</v>
      </c>
      <c r="F414" s="26" t="n">
        <v>23109.91</v>
      </c>
      <c r="G414" s="20" t="s">
        <v>381</v>
      </c>
    </row>
    <row r="415" customFormat="false" ht="15" hidden="false" customHeight="true" outlineLevel="0" collapsed="false">
      <c r="B415" s="17" t="n">
        <v>45931</v>
      </c>
      <c r="C415" s="18" t="s">
        <v>387</v>
      </c>
      <c r="D415" s="18" t="s">
        <v>106</v>
      </c>
      <c r="E415" s="18" t="s">
        <v>62</v>
      </c>
      <c r="F415" s="26" t="n">
        <v>140</v>
      </c>
      <c r="G415" s="20" t="s">
        <v>381</v>
      </c>
    </row>
    <row r="416" customFormat="false" ht="15" hidden="false" customHeight="true" outlineLevel="0" collapsed="false">
      <c r="B416" s="17" t="n">
        <v>45931</v>
      </c>
      <c r="C416" s="18" t="s">
        <v>386</v>
      </c>
      <c r="D416" s="18" t="s">
        <v>106</v>
      </c>
      <c r="E416" s="18" t="s">
        <v>64</v>
      </c>
      <c r="F416" s="26" t="n">
        <v>269.82</v>
      </c>
      <c r="G416" s="20" t="s">
        <v>381</v>
      </c>
    </row>
    <row r="417" customFormat="false" ht="15" hidden="false" customHeight="true" outlineLevel="0" collapsed="false">
      <c r="B417" s="17" t="n">
        <v>45931</v>
      </c>
      <c r="C417" s="18" t="s">
        <v>840</v>
      </c>
      <c r="D417" s="18" t="s">
        <v>106</v>
      </c>
      <c r="E417" s="18" t="s">
        <v>36</v>
      </c>
      <c r="F417" s="26" t="n">
        <v>16131.52</v>
      </c>
      <c r="G417" s="20" t="s">
        <v>381</v>
      </c>
    </row>
    <row r="418" customFormat="false" ht="15" hidden="false" customHeight="true" outlineLevel="0" collapsed="false">
      <c r="B418" s="17" t="n">
        <v>45931</v>
      </c>
      <c r="C418" s="18" t="s">
        <v>841</v>
      </c>
      <c r="D418" s="18" t="s">
        <v>106</v>
      </c>
      <c r="E418" s="18" t="s">
        <v>26</v>
      </c>
      <c r="F418" s="26" t="n">
        <v>201186.07</v>
      </c>
      <c r="G418" s="20" t="s">
        <v>381</v>
      </c>
    </row>
    <row r="419" customFormat="false" ht="15" hidden="false" customHeight="true" outlineLevel="0" collapsed="false">
      <c r="B419" s="17" t="n">
        <v>45931</v>
      </c>
      <c r="C419" s="18" t="s">
        <v>398</v>
      </c>
      <c r="D419" s="18" t="s">
        <v>106</v>
      </c>
      <c r="E419" s="18" t="s">
        <v>65</v>
      </c>
      <c r="F419" s="26" t="n">
        <v>120.01</v>
      </c>
      <c r="G419" s="20" t="s">
        <v>381</v>
      </c>
    </row>
    <row r="420" customFormat="false" ht="15" hidden="false" customHeight="true" outlineLevel="0" collapsed="false">
      <c r="B420" s="17" t="n">
        <v>45931</v>
      </c>
      <c r="C420" s="18" t="s">
        <v>842</v>
      </c>
      <c r="D420" s="18" t="s">
        <v>106</v>
      </c>
      <c r="E420" s="18" t="s">
        <v>29</v>
      </c>
      <c r="F420" s="26" t="n">
        <v>6669.4</v>
      </c>
      <c r="G420" s="20" t="s">
        <v>381</v>
      </c>
    </row>
    <row r="421" customFormat="false" ht="15" hidden="false" customHeight="true" outlineLevel="0" collapsed="false">
      <c r="B421" s="17" t="n">
        <v>45931</v>
      </c>
      <c r="C421" s="18" t="s">
        <v>384</v>
      </c>
      <c r="D421" s="18" t="s">
        <v>106</v>
      </c>
      <c r="E421" s="18" t="s">
        <v>59</v>
      </c>
      <c r="F421" s="26" t="n">
        <v>3450.01</v>
      </c>
      <c r="G421" s="20" t="s">
        <v>381</v>
      </c>
    </row>
    <row r="422" customFormat="false" ht="15" hidden="false" customHeight="true" outlineLevel="0" collapsed="false">
      <c r="B422" s="17" t="n">
        <v>45931</v>
      </c>
      <c r="C422" s="18" t="s">
        <v>405</v>
      </c>
      <c r="D422" s="18" t="s">
        <v>106</v>
      </c>
      <c r="E422" s="18" t="s">
        <v>79</v>
      </c>
      <c r="F422" s="26" t="n">
        <v>46.2</v>
      </c>
      <c r="G422" s="20" t="s">
        <v>381</v>
      </c>
    </row>
    <row r="423" customFormat="false" ht="15" hidden="false" customHeight="true" outlineLevel="0" collapsed="false">
      <c r="B423" s="17" t="n">
        <v>45931</v>
      </c>
      <c r="C423" s="18" t="s">
        <v>407</v>
      </c>
      <c r="D423" s="18" t="s">
        <v>106</v>
      </c>
      <c r="E423" s="18" t="s">
        <v>54</v>
      </c>
      <c r="F423" s="26" t="n">
        <v>957</v>
      </c>
      <c r="G423" s="20" t="s">
        <v>381</v>
      </c>
    </row>
    <row r="424" customFormat="false" ht="15" hidden="false" customHeight="true" outlineLevel="0" collapsed="false">
      <c r="B424" s="17" t="n">
        <v>45931</v>
      </c>
      <c r="C424" s="18" t="s">
        <v>390</v>
      </c>
      <c r="D424" s="18" t="s">
        <v>106</v>
      </c>
      <c r="E424" s="18" t="s">
        <v>69</v>
      </c>
      <c r="F424" s="26" t="n">
        <v>606.52</v>
      </c>
      <c r="G424" s="20" t="s">
        <v>381</v>
      </c>
    </row>
    <row r="425" customFormat="false" ht="15" hidden="false" customHeight="true" outlineLevel="0" collapsed="false">
      <c r="B425" s="17" t="n">
        <v>45962</v>
      </c>
      <c r="C425" s="18" t="s">
        <v>446</v>
      </c>
      <c r="D425" s="18" t="s">
        <v>106</v>
      </c>
      <c r="E425" s="18" t="s">
        <v>447</v>
      </c>
      <c r="F425" s="26" t="n">
        <v>10540.63</v>
      </c>
      <c r="G425" s="20" t="s">
        <v>416</v>
      </c>
    </row>
    <row r="426" customFormat="false" ht="15" hidden="false" customHeight="true" outlineLevel="0" collapsed="false">
      <c r="B426" s="17" t="n">
        <v>45962</v>
      </c>
      <c r="C426" s="18" t="s">
        <v>843</v>
      </c>
      <c r="D426" s="18" t="s">
        <v>106</v>
      </c>
      <c r="E426" s="18" t="s">
        <v>31</v>
      </c>
      <c r="F426" s="26" t="n">
        <v>21192.7</v>
      </c>
      <c r="G426" s="20" t="s">
        <v>416</v>
      </c>
    </row>
    <row r="427" customFormat="false" ht="15" hidden="false" customHeight="true" outlineLevel="0" collapsed="false">
      <c r="B427" s="17" t="n">
        <v>45962</v>
      </c>
      <c r="C427" s="18" t="s">
        <v>421</v>
      </c>
      <c r="D427" s="18" t="s">
        <v>106</v>
      </c>
      <c r="E427" s="18" t="s">
        <v>71</v>
      </c>
      <c r="F427" s="26" t="n">
        <v>2071.71</v>
      </c>
      <c r="G427" s="20" t="s">
        <v>416</v>
      </c>
    </row>
    <row r="428" customFormat="false" ht="15" hidden="false" customHeight="true" outlineLevel="0" collapsed="false">
      <c r="B428" s="17" t="n">
        <v>45962</v>
      </c>
      <c r="C428" s="18" t="s">
        <v>443</v>
      </c>
      <c r="D428" s="18" t="s">
        <v>106</v>
      </c>
      <c r="E428" s="18" t="s">
        <v>84</v>
      </c>
      <c r="F428" s="26" t="n">
        <v>2500</v>
      </c>
      <c r="G428" s="20" t="s">
        <v>416</v>
      </c>
    </row>
    <row r="429" customFormat="false" ht="15" hidden="false" customHeight="true" outlineLevel="0" collapsed="false">
      <c r="B429" s="17" t="n">
        <v>45962</v>
      </c>
      <c r="C429" s="18" t="s">
        <v>429</v>
      </c>
      <c r="D429" s="18" t="s">
        <v>106</v>
      </c>
      <c r="E429" s="18" t="s">
        <v>45</v>
      </c>
      <c r="F429" s="26" t="n">
        <v>221.52</v>
      </c>
      <c r="G429" s="20" t="s">
        <v>416</v>
      </c>
    </row>
    <row r="430" customFormat="false" ht="15" hidden="false" customHeight="true" outlineLevel="0" collapsed="false">
      <c r="B430" s="17" t="n">
        <v>45962</v>
      </c>
      <c r="C430" s="18" t="s">
        <v>417</v>
      </c>
      <c r="D430" s="18" t="s">
        <v>106</v>
      </c>
      <c r="E430" s="18" t="s">
        <v>52</v>
      </c>
      <c r="F430" s="26" t="n">
        <v>1803.81</v>
      </c>
      <c r="G430" s="20" t="s">
        <v>416</v>
      </c>
    </row>
    <row r="431" customFormat="false" ht="15" hidden="false" customHeight="true" outlineLevel="0" collapsed="false">
      <c r="B431" s="17" t="n">
        <v>45962</v>
      </c>
      <c r="C431" s="18" t="s">
        <v>844</v>
      </c>
      <c r="D431" s="18" t="s">
        <v>106</v>
      </c>
      <c r="E431" s="18" t="s">
        <v>34</v>
      </c>
      <c r="F431" s="26" t="n">
        <v>9833.19</v>
      </c>
      <c r="G431" s="20" t="s">
        <v>416</v>
      </c>
    </row>
    <row r="432" customFormat="false" ht="15" hidden="false" customHeight="true" outlineLevel="0" collapsed="false">
      <c r="B432" s="17" t="n">
        <v>45962</v>
      </c>
      <c r="C432" s="18" t="s">
        <v>430</v>
      </c>
      <c r="D432" s="18" t="s">
        <v>106</v>
      </c>
      <c r="E432" s="18" t="s">
        <v>43</v>
      </c>
      <c r="F432" s="26" t="n">
        <v>1556.81</v>
      </c>
      <c r="G432" s="20" t="s">
        <v>416</v>
      </c>
    </row>
    <row r="433" customFormat="false" ht="15" hidden="false" customHeight="true" outlineLevel="0" collapsed="false">
      <c r="B433" s="17" t="n">
        <v>45962</v>
      </c>
      <c r="C433" s="18" t="s">
        <v>845</v>
      </c>
      <c r="D433" s="18" t="s">
        <v>106</v>
      </c>
      <c r="E433" s="18" t="s">
        <v>39</v>
      </c>
      <c r="F433" s="26" t="n">
        <v>1152.31</v>
      </c>
      <c r="G433" s="20" t="s">
        <v>416</v>
      </c>
    </row>
    <row r="434" customFormat="false" ht="15" hidden="false" customHeight="true" outlineLevel="0" collapsed="false">
      <c r="B434" s="17" t="n">
        <v>45962</v>
      </c>
      <c r="C434" s="18" t="s">
        <v>846</v>
      </c>
      <c r="D434" s="18" t="s">
        <v>106</v>
      </c>
      <c r="E434" s="18" t="s">
        <v>41</v>
      </c>
      <c r="F434" s="26" t="n">
        <v>6995.77</v>
      </c>
      <c r="G434" s="20" t="s">
        <v>416</v>
      </c>
    </row>
    <row r="435" customFormat="false" ht="15" hidden="false" customHeight="true" outlineLevel="0" collapsed="false">
      <c r="B435" s="17" t="n">
        <v>45962</v>
      </c>
      <c r="C435" s="18" t="s">
        <v>438</v>
      </c>
      <c r="D435" s="18" t="s">
        <v>106</v>
      </c>
      <c r="E435" s="18" t="s">
        <v>47</v>
      </c>
      <c r="F435" s="26" t="n">
        <v>900</v>
      </c>
      <c r="G435" s="20" t="s">
        <v>416</v>
      </c>
    </row>
    <row r="436" customFormat="false" ht="15" hidden="false" customHeight="true" outlineLevel="0" collapsed="false">
      <c r="B436" s="17" t="n">
        <v>45962</v>
      </c>
      <c r="C436" s="18" t="s">
        <v>432</v>
      </c>
      <c r="D436" s="18" t="s">
        <v>106</v>
      </c>
      <c r="E436" s="18" t="s">
        <v>60</v>
      </c>
      <c r="F436" s="26" t="n">
        <v>334.03</v>
      </c>
      <c r="G436" s="20" t="s">
        <v>416</v>
      </c>
    </row>
    <row r="437" customFormat="false" ht="15" hidden="false" customHeight="true" outlineLevel="0" collapsed="false">
      <c r="B437" s="17" t="n">
        <v>45962</v>
      </c>
      <c r="C437" s="18" t="s">
        <v>445</v>
      </c>
      <c r="D437" s="18" t="s">
        <v>106</v>
      </c>
      <c r="E437" s="18" t="s">
        <v>89</v>
      </c>
      <c r="F437" s="26" t="n">
        <v>2055.6</v>
      </c>
      <c r="G437" s="20" t="s">
        <v>416</v>
      </c>
    </row>
    <row r="438" customFormat="false" ht="15" hidden="false" customHeight="true" outlineLevel="0" collapsed="false">
      <c r="B438" s="17" t="n">
        <v>45962</v>
      </c>
      <c r="C438" s="18" t="s">
        <v>847</v>
      </c>
      <c r="D438" s="18" t="s">
        <v>106</v>
      </c>
      <c r="E438" s="18" t="s">
        <v>33</v>
      </c>
      <c r="F438" s="26" t="n">
        <v>8020</v>
      </c>
      <c r="G438" s="20" t="s">
        <v>416</v>
      </c>
    </row>
    <row r="439" customFormat="false" ht="15" hidden="false" customHeight="true" outlineLevel="0" collapsed="false">
      <c r="B439" s="17" t="n">
        <v>45962</v>
      </c>
      <c r="C439" s="18" t="s">
        <v>433</v>
      </c>
      <c r="D439" s="18" t="s">
        <v>106</v>
      </c>
      <c r="E439" s="18" t="s">
        <v>53</v>
      </c>
      <c r="F439" s="26" t="n">
        <v>49.9</v>
      </c>
      <c r="G439" s="20" t="s">
        <v>416</v>
      </c>
    </row>
    <row r="440" customFormat="false" ht="15" hidden="false" customHeight="true" outlineLevel="0" collapsed="false">
      <c r="B440" s="17" t="n">
        <v>45962</v>
      </c>
      <c r="C440" s="18" t="s">
        <v>848</v>
      </c>
      <c r="D440" s="18" t="s">
        <v>106</v>
      </c>
      <c r="E440" s="18" t="s">
        <v>73</v>
      </c>
      <c r="F440" s="26" t="n">
        <v>40297.6</v>
      </c>
      <c r="G440" s="20" t="s">
        <v>416</v>
      </c>
    </row>
    <row r="441" customFormat="false" ht="15" hidden="false" customHeight="true" outlineLevel="0" collapsed="false">
      <c r="B441" s="17" t="n">
        <v>45962</v>
      </c>
      <c r="C441" s="18" t="s">
        <v>849</v>
      </c>
      <c r="D441" s="18" t="s">
        <v>106</v>
      </c>
      <c r="E441" s="18" t="s">
        <v>37</v>
      </c>
      <c r="F441" s="26" t="n">
        <v>586.79</v>
      </c>
      <c r="G441" s="20" t="s">
        <v>416</v>
      </c>
    </row>
    <row r="442" customFormat="false" ht="15" hidden="false" customHeight="true" outlineLevel="0" collapsed="false">
      <c r="B442" s="17" t="n">
        <v>45962</v>
      </c>
      <c r="C442" s="18" t="s">
        <v>850</v>
      </c>
      <c r="D442" s="18" t="s">
        <v>106</v>
      </c>
      <c r="E442" s="18" t="s">
        <v>35</v>
      </c>
      <c r="F442" s="26" t="n">
        <v>796.33</v>
      </c>
      <c r="G442" s="20" t="s">
        <v>416</v>
      </c>
    </row>
    <row r="443" customFormat="false" ht="15" hidden="false" customHeight="true" outlineLevel="0" collapsed="false">
      <c r="B443" s="17" t="n">
        <v>45962</v>
      </c>
      <c r="C443" s="18" t="s">
        <v>851</v>
      </c>
      <c r="D443" s="18" t="s">
        <v>106</v>
      </c>
      <c r="E443" s="18" t="s">
        <v>30</v>
      </c>
      <c r="F443" s="26" t="n">
        <v>74932</v>
      </c>
      <c r="G443" s="20" t="s">
        <v>416</v>
      </c>
    </row>
    <row r="444" customFormat="false" ht="15" hidden="false" customHeight="true" outlineLevel="0" collapsed="false">
      <c r="B444" s="17" t="n">
        <v>45962</v>
      </c>
      <c r="C444" s="18" t="s">
        <v>437</v>
      </c>
      <c r="D444" s="18" t="s">
        <v>106</v>
      </c>
      <c r="E444" s="18" t="s">
        <v>85</v>
      </c>
      <c r="F444" s="26" t="n">
        <v>4696.9</v>
      </c>
      <c r="G444" s="20" t="s">
        <v>416</v>
      </c>
    </row>
    <row r="445" customFormat="false" ht="15" hidden="false" customHeight="true" outlineLevel="0" collapsed="false">
      <c r="B445" s="17" t="n">
        <v>45962</v>
      </c>
      <c r="C445" s="18" t="s">
        <v>422</v>
      </c>
      <c r="D445" s="18" t="s">
        <v>106</v>
      </c>
      <c r="E445" s="18" t="s">
        <v>61</v>
      </c>
      <c r="F445" s="26" t="n">
        <v>6818.81</v>
      </c>
      <c r="G445" s="20" t="s">
        <v>416</v>
      </c>
    </row>
    <row r="446" customFormat="false" ht="15" hidden="false" customHeight="true" outlineLevel="0" collapsed="false">
      <c r="B446" s="17" t="n">
        <v>45962</v>
      </c>
      <c r="C446" s="18" t="s">
        <v>427</v>
      </c>
      <c r="D446" s="18" t="s">
        <v>106</v>
      </c>
      <c r="E446" s="18" t="s">
        <v>76</v>
      </c>
      <c r="F446" s="26" t="n">
        <v>1100</v>
      </c>
      <c r="G446" s="20" t="s">
        <v>416</v>
      </c>
    </row>
    <row r="447" customFormat="false" ht="15" hidden="false" customHeight="true" outlineLevel="0" collapsed="false">
      <c r="B447" s="17" t="n">
        <v>45962</v>
      </c>
      <c r="C447" s="18" t="s">
        <v>441</v>
      </c>
      <c r="D447" s="18" t="s">
        <v>106</v>
      </c>
      <c r="E447" s="18" t="s">
        <v>70</v>
      </c>
      <c r="F447" s="26" t="n">
        <v>7750</v>
      </c>
      <c r="G447" s="20" t="s">
        <v>416</v>
      </c>
    </row>
    <row r="448" customFormat="false" ht="15" hidden="false" customHeight="true" outlineLevel="0" collapsed="false">
      <c r="B448" s="17" t="n">
        <v>45962</v>
      </c>
      <c r="C448" s="18" t="s">
        <v>852</v>
      </c>
      <c r="D448" s="18" t="s">
        <v>106</v>
      </c>
      <c r="E448" s="18" t="s">
        <v>28</v>
      </c>
      <c r="F448" s="26" t="n">
        <v>23648</v>
      </c>
      <c r="G448" s="20" t="s">
        <v>416</v>
      </c>
    </row>
    <row r="449" customFormat="false" ht="15" hidden="false" customHeight="true" outlineLevel="0" collapsed="false">
      <c r="B449" s="17" t="n">
        <v>45962</v>
      </c>
      <c r="C449" s="18" t="s">
        <v>440</v>
      </c>
      <c r="D449" s="18" t="s">
        <v>106</v>
      </c>
      <c r="E449" s="18" t="s">
        <v>57</v>
      </c>
      <c r="F449" s="26" t="n">
        <v>92.03</v>
      </c>
      <c r="G449" s="20" t="s">
        <v>416</v>
      </c>
    </row>
    <row r="450" customFormat="false" ht="15" hidden="false" customHeight="true" outlineLevel="0" collapsed="false">
      <c r="B450" s="17" t="n">
        <v>45962</v>
      </c>
      <c r="C450" s="18" t="s">
        <v>420</v>
      </c>
      <c r="D450" s="18" t="s">
        <v>106</v>
      </c>
      <c r="E450" s="18" t="s">
        <v>67</v>
      </c>
      <c r="F450" s="26" t="n">
        <v>175.59</v>
      </c>
      <c r="G450" s="20" t="s">
        <v>416</v>
      </c>
    </row>
    <row r="451" customFormat="false" ht="15" hidden="false" customHeight="true" outlineLevel="0" collapsed="false">
      <c r="B451" s="17" t="n">
        <v>45962</v>
      </c>
      <c r="C451" s="18" t="s">
        <v>426</v>
      </c>
      <c r="D451" s="18" t="s">
        <v>106</v>
      </c>
      <c r="E451" s="18" t="s">
        <v>83</v>
      </c>
      <c r="F451" s="26" t="n">
        <v>2734.2</v>
      </c>
      <c r="G451" s="20" t="s">
        <v>416</v>
      </c>
    </row>
    <row r="452" customFormat="false" ht="15" hidden="false" customHeight="true" outlineLevel="0" collapsed="false">
      <c r="B452" s="17" t="n">
        <v>45962</v>
      </c>
      <c r="C452" s="18" t="s">
        <v>853</v>
      </c>
      <c r="D452" s="18" t="s">
        <v>106</v>
      </c>
      <c r="E452" s="18" t="s">
        <v>32</v>
      </c>
      <c r="F452" s="26" t="n">
        <v>1012</v>
      </c>
      <c r="G452" s="20" t="s">
        <v>416</v>
      </c>
    </row>
    <row r="453" customFormat="false" ht="15" hidden="false" customHeight="true" outlineLevel="0" collapsed="false">
      <c r="B453" s="17" t="n">
        <v>45962</v>
      </c>
      <c r="C453" s="18" t="s">
        <v>442</v>
      </c>
      <c r="D453" s="18" t="s">
        <v>106</v>
      </c>
      <c r="E453" s="18" t="s">
        <v>82</v>
      </c>
      <c r="F453" s="26" t="n">
        <v>2929.54</v>
      </c>
      <c r="G453" s="20" t="s">
        <v>416</v>
      </c>
    </row>
    <row r="454" customFormat="false" ht="15" hidden="false" customHeight="true" outlineLevel="0" collapsed="false">
      <c r="B454" s="17" t="n">
        <v>45962</v>
      </c>
      <c r="C454" s="18" t="s">
        <v>854</v>
      </c>
      <c r="D454" s="18" t="s">
        <v>106</v>
      </c>
      <c r="E454" s="18" t="s">
        <v>88</v>
      </c>
      <c r="F454" s="26" t="n">
        <v>19101</v>
      </c>
      <c r="G454" s="20" t="s">
        <v>416</v>
      </c>
    </row>
    <row r="455" customFormat="false" ht="15" hidden="false" customHeight="true" outlineLevel="0" collapsed="false">
      <c r="B455" s="17" t="n">
        <v>45962</v>
      </c>
      <c r="C455" s="18" t="s">
        <v>425</v>
      </c>
      <c r="D455" s="18" t="s">
        <v>106</v>
      </c>
      <c r="E455" s="18" t="s">
        <v>50</v>
      </c>
      <c r="F455" s="26" t="n">
        <v>5352</v>
      </c>
      <c r="G455" s="20" t="s">
        <v>416</v>
      </c>
    </row>
    <row r="456" customFormat="false" ht="15" hidden="false" customHeight="true" outlineLevel="0" collapsed="false">
      <c r="B456" s="17" t="n">
        <v>45962</v>
      </c>
      <c r="C456" s="18" t="s">
        <v>418</v>
      </c>
      <c r="D456" s="18" t="s">
        <v>106</v>
      </c>
      <c r="E456" s="18" t="s">
        <v>51</v>
      </c>
      <c r="F456" s="26" t="n">
        <v>22206.35</v>
      </c>
      <c r="G456" s="20" t="s">
        <v>416</v>
      </c>
    </row>
    <row r="457" customFormat="false" ht="15" hidden="false" customHeight="true" outlineLevel="0" collapsed="false">
      <c r="B457" s="17" t="n">
        <v>45962</v>
      </c>
      <c r="C457" s="18" t="s">
        <v>424</v>
      </c>
      <c r="D457" s="18" t="s">
        <v>106</v>
      </c>
      <c r="E457" s="18" t="s">
        <v>62</v>
      </c>
      <c r="F457" s="26" t="n">
        <v>940</v>
      </c>
      <c r="G457" s="20" t="s">
        <v>416</v>
      </c>
    </row>
    <row r="458" customFormat="false" ht="15" hidden="false" customHeight="true" outlineLevel="0" collapsed="false">
      <c r="B458" s="17" t="n">
        <v>45962</v>
      </c>
      <c r="C458" s="18" t="s">
        <v>423</v>
      </c>
      <c r="D458" s="18" t="s">
        <v>106</v>
      </c>
      <c r="E458" s="18" t="s">
        <v>64</v>
      </c>
      <c r="F458" s="26" t="n">
        <v>269.82</v>
      </c>
      <c r="G458" s="20" t="s">
        <v>416</v>
      </c>
    </row>
    <row r="459" customFormat="false" ht="15" hidden="false" customHeight="true" outlineLevel="0" collapsed="false">
      <c r="B459" s="17" t="n">
        <v>45962</v>
      </c>
      <c r="C459" s="18" t="s">
        <v>855</v>
      </c>
      <c r="D459" s="18" t="s">
        <v>106</v>
      </c>
      <c r="E459" s="18" t="s">
        <v>36</v>
      </c>
      <c r="F459" s="26" t="n">
        <v>4638.45</v>
      </c>
      <c r="G459" s="20" t="s">
        <v>416</v>
      </c>
    </row>
    <row r="460" customFormat="false" ht="15" hidden="false" customHeight="true" outlineLevel="0" collapsed="false">
      <c r="B460" s="17" t="n">
        <v>45962</v>
      </c>
      <c r="C460" s="18" t="s">
        <v>856</v>
      </c>
      <c r="D460" s="18" t="s">
        <v>106</v>
      </c>
      <c r="E460" s="18" t="s">
        <v>26</v>
      </c>
      <c r="F460" s="26" t="n">
        <v>204730.95</v>
      </c>
      <c r="G460" s="20" t="s">
        <v>416</v>
      </c>
    </row>
    <row r="461" customFormat="false" ht="15" hidden="false" customHeight="true" outlineLevel="0" collapsed="false">
      <c r="B461" s="17" t="n">
        <v>45962</v>
      </c>
      <c r="C461" s="18" t="s">
        <v>857</v>
      </c>
      <c r="D461" s="18" t="s">
        <v>106</v>
      </c>
      <c r="E461" s="18" t="s">
        <v>29</v>
      </c>
      <c r="F461" s="26" t="n">
        <v>8937.15</v>
      </c>
      <c r="G461" s="20" t="s">
        <v>416</v>
      </c>
    </row>
    <row r="462" customFormat="false" ht="15" hidden="false" customHeight="true" outlineLevel="0" collapsed="false">
      <c r="B462" s="17" t="n">
        <v>45962</v>
      </c>
      <c r="C462" s="18" t="s">
        <v>419</v>
      </c>
      <c r="D462" s="18" t="s">
        <v>106</v>
      </c>
      <c r="E462" s="18" t="s">
        <v>59</v>
      </c>
      <c r="F462" s="26" t="n">
        <v>3750</v>
      </c>
      <c r="G462" s="20" t="s">
        <v>416</v>
      </c>
    </row>
    <row r="463" customFormat="false" ht="15" hidden="false" customHeight="true" outlineLevel="0" collapsed="false">
      <c r="B463" s="17" t="n">
        <v>45962</v>
      </c>
      <c r="C463" s="18" t="s">
        <v>436</v>
      </c>
      <c r="D463" s="18" t="s">
        <v>106</v>
      </c>
      <c r="E463" s="18" t="s">
        <v>79</v>
      </c>
      <c r="F463" s="26" t="n">
        <v>31.2</v>
      </c>
      <c r="G463" s="20" t="s">
        <v>416</v>
      </c>
    </row>
    <row r="464" customFormat="false" ht="15" hidden="false" customHeight="true" outlineLevel="0" collapsed="false">
      <c r="B464" s="17" t="n">
        <v>45962</v>
      </c>
      <c r="C464" s="18" t="s">
        <v>439</v>
      </c>
      <c r="D464" s="18" t="s">
        <v>106</v>
      </c>
      <c r="E464" s="18" t="s">
        <v>54</v>
      </c>
      <c r="F464" s="26" t="n">
        <v>957</v>
      </c>
      <c r="G464" s="20" t="s">
        <v>416</v>
      </c>
    </row>
    <row r="465" customFormat="false" ht="15" hidden="false" customHeight="true" outlineLevel="0" collapsed="false">
      <c r="B465" s="17" t="n">
        <v>45992</v>
      </c>
      <c r="C465" s="18" t="s">
        <v>481</v>
      </c>
      <c r="D465" s="18" t="s">
        <v>106</v>
      </c>
      <c r="E465" s="18" t="s">
        <v>447</v>
      </c>
      <c r="F465" s="26" t="n">
        <v>15120.67</v>
      </c>
      <c r="G465" s="20" t="s">
        <v>450</v>
      </c>
    </row>
    <row r="466" customFormat="false" ht="15" hidden="false" customHeight="true" outlineLevel="0" collapsed="false">
      <c r="B466" s="17" t="n">
        <v>45992</v>
      </c>
      <c r="C466" s="18" t="s">
        <v>858</v>
      </c>
      <c r="D466" s="18" t="s">
        <v>106</v>
      </c>
      <c r="E466" s="18" t="s">
        <v>31</v>
      </c>
      <c r="F466" s="26" t="n">
        <v>17990.3</v>
      </c>
      <c r="G466" s="20" t="s">
        <v>450</v>
      </c>
    </row>
    <row r="467" customFormat="false" ht="15" hidden="false" customHeight="true" outlineLevel="0" collapsed="false">
      <c r="B467" s="17" t="n">
        <v>45992</v>
      </c>
      <c r="C467" s="18" t="s">
        <v>454</v>
      </c>
      <c r="D467" s="18" t="s">
        <v>106</v>
      </c>
      <c r="E467" s="18" t="s">
        <v>71</v>
      </c>
      <c r="F467" s="26" t="n">
        <v>3434.87</v>
      </c>
      <c r="G467" s="20" t="s">
        <v>450</v>
      </c>
    </row>
    <row r="468" customFormat="false" ht="15" hidden="false" customHeight="true" outlineLevel="0" collapsed="false">
      <c r="B468" s="17" t="n">
        <v>45992</v>
      </c>
      <c r="C468" s="18" t="s">
        <v>466</v>
      </c>
      <c r="D468" s="18" t="s">
        <v>106</v>
      </c>
      <c r="E468" s="18" t="s">
        <v>45</v>
      </c>
      <c r="F468" s="26" t="n">
        <v>700</v>
      </c>
      <c r="G468" s="20" t="s">
        <v>450</v>
      </c>
    </row>
    <row r="469" customFormat="false" ht="15" hidden="false" customHeight="true" outlineLevel="0" collapsed="false">
      <c r="B469" s="17" t="n">
        <v>45992</v>
      </c>
      <c r="C469" s="18" t="s">
        <v>859</v>
      </c>
      <c r="D469" s="18" t="s">
        <v>106</v>
      </c>
      <c r="E469" s="18" t="s">
        <v>34</v>
      </c>
      <c r="F469" s="26" t="n">
        <v>34482.44</v>
      </c>
      <c r="G469" s="20" t="s">
        <v>450</v>
      </c>
    </row>
    <row r="470" customFormat="false" ht="15" hidden="false" customHeight="true" outlineLevel="0" collapsed="false">
      <c r="B470" s="17" t="n">
        <v>45992</v>
      </c>
      <c r="C470" s="18" t="s">
        <v>860</v>
      </c>
      <c r="D470" s="18" t="s">
        <v>106</v>
      </c>
      <c r="E470" s="18" t="s">
        <v>38</v>
      </c>
      <c r="F470" s="26" t="n">
        <v>796.37</v>
      </c>
      <c r="G470" s="20" t="s">
        <v>450</v>
      </c>
    </row>
    <row r="471" customFormat="false" ht="15" hidden="false" customHeight="true" outlineLevel="0" collapsed="false">
      <c r="B471" s="17" t="n">
        <v>45992</v>
      </c>
      <c r="C471" s="18" t="s">
        <v>861</v>
      </c>
      <c r="D471" s="18" t="s">
        <v>106</v>
      </c>
      <c r="E471" s="18" t="s">
        <v>40</v>
      </c>
      <c r="F471" s="26" t="n">
        <v>880</v>
      </c>
      <c r="G471" s="20" t="s">
        <v>450</v>
      </c>
    </row>
    <row r="472" customFormat="false" ht="15" hidden="false" customHeight="true" outlineLevel="0" collapsed="false">
      <c r="B472" s="17" t="n">
        <v>45992</v>
      </c>
      <c r="C472" s="18" t="s">
        <v>467</v>
      </c>
      <c r="D472" s="18" t="s">
        <v>106</v>
      </c>
      <c r="E472" s="18" t="s">
        <v>43</v>
      </c>
      <c r="F472" s="26" t="n">
        <v>1470.3</v>
      </c>
      <c r="G472" s="20" t="s">
        <v>450</v>
      </c>
    </row>
    <row r="473" customFormat="false" ht="15" hidden="false" customHeight="true" outlineLevel="0" collapsed="false">
      <c r="B473" s="17" t="n">
        <v>45992</v>
      </c>
      <c r="C473" s="18" t="s">
        <v>862</v>
      </c>
      <c r="D473" s="18" t="s">
        <v>106</v>
      </c>
      <c r="E473" s="18" t="s">
        <v>39</v>
      </c>
      <c r="F473" s="26" t="n">
        <v>108</v>
      </c>
      <c r="G473" s="20" t="s">
        <v>450</v>
      </c>
    </row>
    <row r="474" customFormat="false" ht="15" hidden="false" customHeight="true" outlineLevel="0" collapsed="false">
      <c r="B474" s="17" t="n">
        <v>45992</v>
      </c>
      <c r="C474" s="18" t="s">
        <v>863</v>
      </c>
      <c r="D474" s="18" t="s">
        <v>106</v>
      </c>
      <c r="E474" s="18" t="s">
        <v>41</v>
      </c>
      <c r="F474" s="26" t="n">
        <v>12928.16</v>
      </c>
      <c r="G474" s="20" t="s">
        <v>450</v>
      </c>
    </row>
    <row r="475" customFormat="false" ht="15" hidden="false" customHeight="true" outlineLevel="0" collapsed="false">
      <c r="B475" s="17" t="n">
        <v>45992</v>
      </c>
      <c r="C475" s="18" t="s">
        <v>471</v>
      </c>
      <c r="D475" s="18" t="s">
        <v>106</v>
      </c>
      <c r="E475" s="18" t="s">
        <v>60</v>
      </c>
      <c r="F475" s="26" t="n">
        <v>465.7</v>
      </c>
      <c r="G475" s="20" t="s">
        <v>450</v>
      </c>
    </row>
    <row r="476" customFormat="false" ht="15" hidden="false" customHeight="true" outlineLevel="0" collapsed="false">
      <c r="B476" s="17" t="n">
        <v>45992</v>
      </c>
      <c r="C476" s="18" t="s">
        <v>864</v>
      </c>
      <c r="D476" s="18" t="s">
        <v>106</v>
      </c>
      <c r="E476" s="18" t="s">
        <v>33</v>
      </c>
      <c r="F476" s="26" t="n">
        <v>3700</v>
      </c>
      <c r="G476" s="20" t="s">
        <v>450</v>
      </c>
    </row>
    <row r="477" customFormat="false" ht="15" hidden="false" customHeight="true" outlineLevel="0" collapsed="false">
      <c r="B477" s="17" t="n">
        <v>45992</v>
      </c>
      <c r="C477" s="18" t="s">
        <v>463</v>
      </c>
      <c r="D477" s="18" t="s">
        <v>106</v>
      </c>
      <c r="E477" s="18" t="s">
        <v>42</v>
      </c>
      <c r="F477" s="26" t="n">
        <v>4439.64</v>
      </c>
      <c r="G477" s="20" t="s">
        <v>450</v>
      </c>
    </row>
    <row r="478" customFormat="false" ht="15" hidden="false" customHeight="true" outlineLevel="0" collapsed="false">
      <c r="B478" s="17" t="n">
        <v>45992</v>
      </c>
      <c r="C478" s="18" t="s">
        <v>472</v>
      </c>
      <c r="D478" s="18" t="s">
        <v>106</v>
      </c>
      <c r="E478" s="18" t="s">
        <v>53</v>
      </c>
      <c r="F478" s="26" t="n">
        <v>67.4</v>
      </c>
      <c r="G478" s="20" t="s">
        <v>450</v>
      </c>
    </row>
    <row r="479" customFormat="false" ht="15" hidden="false" customHeight="true" outlineLevel="0" collapsed="false">
      <c r="B479" s="17" t="n">
        <v>45992</v>
      </c>
      <c r="C479" s="18" t="s">
        <v>865</v>
      </c>
      <c r="D479" s="18" t="s">
        <v>106</v>
      </c>
      <c r="E479" s="18" t="s">
        <v>73</v>
      </c>
      <c r="F479" s="26" t="n">
        <v>39507.45</v>
      </c>
      <c r="G479" s="20" t="s">
        <v>450</v>
      </c>
    </row>
    <row r="480" customFormat="false" ht="15" hidden="false" customHeight="true" outlineLevel="0" collapsed="false">
      <c r="B480" s="17" t="n">
        <v>45992</v>
      </c>
      <c r="C480" s="18" t="s">
        <v>866</v>
      </c>
      <c r="D480" s="18" t="s">
        <v>106</v>
      </c>
      <c r="E480" s="18" t="s">
        <v>37</v>
      </c>
      <c r="F480" s="26" t="n">
        <v>744.93</v>
      </c>
      <c r="G480" s="20" t="s">
        <v>450</v>
      </c>
    </row>
    <row r="481" customFormat="false" ht="15" hidden="false" customHeight="true" outlineLevel="0" collapsed="false">
      <c r="B481" s="17" t="n">
        <v>45992</v>
      </c>
      <c r="C481" s="18" t="s">
        <v>460</v>
      </c>
      <c r="D481" s="18" t="s">
        <v>106</v>
      </c>
      <c r="E481" s="18" t="s">
        <v>68</v>
      </c>
      <c r="F481" s="26" t="n">
        <v>790.16</v>
      </c>
      <c r="G481" s="20" t="s">
        <v>450</v>
      </c>
    </row>
    <row r="482" customFormat="false" ht="15" hidden="false" customHeight="true" outlineLevel="0" collapsed="false">
      <c r="B482" s="17" t="n">
        <v>45992</v>
      </c>
      <c r="C482" s="18" t="s">
        <v>867</v>
      </c>
      <c r="D482" s="18" t="s">
        <v>106</v>
      </c>
      <c r="E482" s="18" t="s">
        <v>35</v>
      </c>
      <c r="F482" s="26" t="n">
        <v>796.33</v>
      </c>
      <c r="G482" s="20" t="s">
        <v>450</v>
      </c>
    </row>
    <row r="483" customFormat="false" ht="15" hidden="false" customHeight="true" outlineLevel="0" collapsed="false">
      <c r="B483" s="17" t="n">
        <v>45992</v>
      </c>
      <c r="C483" s="18" t="s">
        <v>868</v>
      </c>
      <c r="D483" s="18" t="s">
        <v>106</v>
      </c>
      <c r="E483" s="18" t="s">
        <v>30</v>
      </c>
      <c r="F483" s="26" t="n">
        <v>58963</v>
      </c>
      <c r="G483" s="20" t="s">
        <v>450</v>
      </c>
    </row>
    <row r="484" customFormat="false" ht="15" hidden="false" customHeight="true" outlineLevel="0" collapsed="false">
      <c r="B484" s="17" t="n">
        <v>45992</v>
      </c>
      <c r="C484" s="18" t="s">
        <v>475</v>
      </c>
      <c r="D484" s="18" t="s">
        <v>106</v>
      </c>
      <c r="E484" s="18" t="s">
        <v>85</v>
      </c>
      <c r="F484" s="26" t="n">
        <v>6062.08</v>
      </c>
      <c r="G484" s="20" t="s">
        <v>450</v>
      </c>
    </row>
    <row r="485" customFormat="false" ht="15" hidden="false" customHeight="true" outlineLevel="0" collapsed="false">
      <c r="B485" s="17" t="n">
        <v>45992</v>
      </c>
      <c r="C485" s="18" t="s">
        <v>455</v>
      </c>
      <c r="D485" s="18" t="s">
        <v>106</v>
      </c>
      <c r="E485" s="18" t="s">
        <v>61</v>
      </c>
      <c r="F485" s="26" t="n">
        <v>7966.01</v>
      </c>
      <c r="G485" s="20" t="s">
        <v>450</v>
      </c>
    </row>
    <row r="486" customFormat="false" ht="15" hidden="false" customHeight="true" outlineLevel="0" collapsed="false">
      <c r="B486" s="17" t="n">
        <v>45992</v>
      </c>
      <c r="C486" s="18" t="s">
        <v>453</v>
      </c>
      <c r="D486" s="18" t="s">
        <v>106</v>
      </c>
      <c r="E486" s="18" t="s">
        <v>87</v>
      </c>
      <c r="F486" s="26" t="n">
        <v>8096</v>
      </c>
      <c r="G486" s="20" t="s">
        <v>450</v>
      </c>
    </row>
    <row r="487" customFormat="false" ht="15" hidden="false" customHeight="true" outlineLevel="0" collapsed="false">
      <c r="B487" s="17" t="n">
        <v>45992</v>
      </c>
      <c r="C487" s="18" t="s">
        <v>464</v>
      </c>
      <c r="D487" s="18" t="s">
        <v>106</v>
      </c>
      <c r="E487" s="18" t="s">
        <v>76</v>
      </c>
      <c r="F487" s="26" t="n">
        <v>1100</v>
      </c>
      <c r="G487" s="20" t="s">
        <v>450</v>
      </c>
    </row>
    <row r="488" customFormat="false" ht="15" hidden="false" customHeight="true" outlineLevel="0" collapsed="false">
      <c r="B488" s="17" t="n">
        <v>45992</v>
      </c>
      <c r="C488" s="18" t="s">
        <v>478</v>
      </c>
      <c r="D488" s="18" t="s">
        <v>106</v>
      </c>
      <c r="E488" s="18" t="s">
        <v>70</v>
      </c>
      <c r="F488" s="26" t="n">
        <v>7750</v>
      </c>
      <c r="G488" s="20" t="s">
        <v>450</v>
      </c>
    </row>
    <row r="489" customFormat="false" ht="15" hidden="false" customHeight="true" outlineLevel="0" collapsed="false">
      <c r="B489" s="17" t="n">
        <v>45992</v>
      </c>
      <c r="C489" s="18" t="s">
        <v>869</v>
      </c>
      <c r="D489" s="18" t="s">
        <v>106</v>
      </c>
      <c r="E489" s="18" t="s">
        <v>28</v>
      </c>
      <c r="F489" s="26" t="n">
        <v>32946</v>
      </c>
      <c r="G489" s="20" t="s">
        <v>450</v>
      </c>
    </row>
    <row r="490" customFormat="false" ht="15" hidden="false" customHeight="true" outlineLevel="0" collapsed="false">
      <c r="B490" s="17" t="n">
        <v>45992</v>
      </c>
      <c r="C490" s="18" t="s">
        <v>468</v>
      </c>
      <c r="D490" s="18" t="s">
        <v>106</v>
      </c>
      <c r="E490" s="18" t="s">
        <v>44</v>
      </c>
      <c r="F490" s="26" t="n">
        <v>110</v>
      </c>
      <c r="G490" s="20" t="s">
        <v>450</v>
      </c>
    </row>
    <row r="491" customFormat="false" ht="15" hidden="false" customHeight="true" outlineLevel="0" collapsed="false">
      <c r="B491" s="17" t="n">
        <v>45992</v>
      </c>
      <c r="C491" s="18" t="s">
        <v>469</v>
      </c>
      <c r="D491" s="18" t="s">
        <v>106</v>
      </c>
      <c r="E491" s="18" t="s">
        <v>46</v>
      </c>
      <c r="F491" s="26" t="n">
        <v>122</v>
      </c>
      <c r="G491" s="20" t="s">
        <v>450</v>
      </c>
    </row>
    <row r="492" customFormat="false" ht="15" hidden="false" customHeight="true" outlineLevel="0" collapsed="false">
      <c r="B492" s="17" t="n">
        <v>45992</v>
      </c>
      <c r="C492" s="18" t="s">
        <v>870</v>
      </c>
      <c r="D492" s="18" t="s">
        <v>106</v>
      </c>
      <c r="E492" s="18" t="s">
        <v>32</v>
      </c>
      <c r="F492" s="26" t="n">
        <v>43</v>
      </c>
      <c r="G492" s="20" t="s">
        <v>450</v>
      </c>
    </row>
    <row r="493" customFormat="false" ht="15" hidden="false" customHeight="true" outlineLevel="0" collapsed="false">
      <c r="B493" s="17" t="n">
        <v>45992</v>
      </c>
      <c r="C493" s="18" t="s">
        <v>477</v>
      </c>
      <c r="D493" s="18" t="s">
        <v>106</v>
      </c>
      <c r="E493" s="18" t="s">
        <v>56</v>
      </c>
      <c r="F493" s="26" t="n">
        <v>683.9</v>
      </c>
      <c r="G493" s="20" t="s">
        <v>450</v>
      </c>
    </row>
    <row r="494" customFormat="false" ht="15" hidden="false" customHeight="true" outlineLevel="0" collapsed="false">
      <c r="B494" s="17" t="n">
        <v>45992</v>
      </c>
      <c r="C494" s="18" t="s">
        <v>459</v>
      </c>
      <c r="D494" s="18" t="s">
        <v>106</v>
      </c>
      <c r="E494" s="18" t="s">
        <v>50</v>
      </c>
      <c r="F494" s="26" t="n">
        <v>3990</v>
      </c>
      <c r="G494" s="20" t="s">
        <v>450</v>
      </c>
    </row>
    <row r="495" customFormat="false" ht="15" hidden="false" customHeight="true" outlineLevel="0" collapsed="false">
      <c r="B495" s="17" t="n">
        <v>45992</v>
      </c>
      <c r="C495" s="18" t="s">
        <v>451</v>
      </c>
      <c r="D495" s="18" t="s">
        <v>106</v>
      </c>
      <c r="E495" s="18" t="s">
        <v>51</v>
      </c>
      <c r="F495" s="26" t="n">
        <v>25582.28</v>
      </c>
      <c r="G495" s="20" t="s">
        <v>450</v>
      </c>
    </row>
    <row r="496" customFormat="false" ht="15" hidden="false" customHeight="true" outlineLevel="0" collapsed="false">
      <c r="B496" s="17" t="n">
        <v>45992</v>
      </c>
      <c r="C496" s="18" t="s">
        <v>457</v>
      </c>
      <c r="D496" s="18" t="s">
        <v>106</v>
      </c>
      <c r="E496" s="18" t="s">
        <v>62</v>
      </c>
      <c r="F496" s="26" t="n">
        <v>140</v>
      </c>
      <c r="G496" s="20" t="s">
        <v>450</v>
      </c>
    </row>
    <row r="497" customFormat="false" ht="15" hidden="false" customHeight="true" outlineLevel="0" collapsed="false">
      <c r="B497" s="17" t="n">
        <v>45992</v>
      </c>
      <c r="C497" s="18" t="s">
        <v>456</v>
      </c>
      <c r="D497" s="18" t="s">
        <v>106</v>
      </c>
      <c r="E497" s="18" t="s">
        <v>64</v>
      </c>
      <c r="F497" s="26" t="n">
        <v>269.82</v>
      </c>
      <c r="G497" s="20" t="s">
        <v>450</v>
      </c>
    </row>
    <row r="498" customFormat="false" ht="15" hidden="false" customHeight="true" outlineLevel="0" collapsed="false">
      <c r="B498" s="17" t="n">
        <v>45992</v>
      </c>
      <c r="C498" s="18" t="s">
        <v>871</v>
      </c>
      <c r="D498" s="18" t="s">
        <v>106</v>
      </c>
      <c r="E498" s="18" t="s">
        <v>36</v>
      </c>
      <c r="F498" s="26" t="n">
        <v>2312.65</v>
      </c>
      <c r="G498" s="20" t="s">
        <v>450</v>
      </c>
    </row>
    <row r="499" customFormat="false" ht="15" hidden="false" customHeight="true" outlineLevel="0" collapsed="false">
      <c r="B499" s="17" t="n">
        <v>45992</v>
      </c>
      <c r="C499" s="18" t="s">
        <v>872</v>
      </c>
      <c r="D499" s="18" t="s">
        <v>106</v>
      </c>
      <c r="E499" s="18" t="s">
        <v>26</v>
      </c>
      <c r="F499" s="26" t="n">
        <v>123269.74</v>
      </c>
      <c r="G499" s="20" t="s">
        <v>450</v>
      </c>
    </row>
    <row r="500" customFormat="false" ht="15" hidden="false" customHeight="true" outlineLevel="0" collapsed="false">
      <c r="B500" s="17" t="n">
        <v>45992</v>
      </c>
      <c r="C500" s="18" t="s">
        <v>470</v>
      </c>
      <c r="D500" s="18" t="s">
        <v>106</v>
      </c>
      <c r="E500" s="18" t="s">
        <v>65</v>
      </c>
      <c r="F500" s="26" t="n">
        <v>126.87</v>
      </c>
      <c r="G500" s="20" t="s">
        <v>450</v>
      </c>
    </row>
    <row r="501" customFormat="false" ht="15" hidden="false" customHeight="true" outlineLevel="0" collapsed="false">
      <c r="B501" s="17" t="n">
        <v>45992</v>
      </c>
      <c r="C501" s="18" t="s">
        <v>873</v>
      </c>
      <c r="D501" s="18" t="s">
        <v>106</v>
      </c>
      <c r="E501" s="18" t="s">
        <v>29</v>
      </c>
      <c r="F501" s="26" t="n">
        <v>8091.1</v>
      </c>
      <c r="G501" s="20" t="s">
        <v>450</v>
      </c>
    </row>
    <row r="502" customFormat="false" ht="15" hidden="false" customHeight="true" outlineLevel="0" collapsed="false">
      <c r="B502" s="17" t="n">
        <v>45992</v>
      </c>
      <c r="C502" s="18" t="s">
        <v>458</v>
      </c>
      <c r="D502" s="18" t="s">
        <v>106</v>
      </c>
      <c r="E502" s="18" t="s">
        <v>49</v>
      </c>
      <c r="F502" s="26" t="n">
        <v>700</v>
      </c>
      <c r="G502" s="20" t="s">
        <v>450</v>
      </c>
    </row>
    <row r="503" customFormat="false" ht="15" hidden="false" customHeight="true" outlineLevel="0" collapsed="false">
      <c r="B503" s="17" t="n">
        <v>45992</v>
      </c>
      <c r="C503" s="18" t="s">
        <v>452</v>
      </c>
      <c r="D503" s="18" t="s">
        <v>106</v>
      </c>
      <c r="E503" s="18" t="s">
        <v>59</v>
      </c>
      <c r="F503" s="26" t="n">
        <v>3850</v>
      </c>
      <c r="G503" s="20" t="s">
        <v>450</v>
      </c>
    </row>
    <row r="504" customFormat="false" ht="15" hidden="false" customHeight="true" outlineLevel="0" collapsed="false">
      <c r="B504" s="17" t="n">
        <v>45992</v>
      </c>
      <c r="C504" s="18" t="s">
        <v>476</v>
      </c>
      <c r="D504" s="18" t="s">
        <v>106</v>
      </c>
      <c r="E504" s="18" t="s">
        <v>54</v>
      </c>
      <c r="F504" s="26" t="n">
        <v>957</v>
      </c>
      <c r="G504" s="20" t="s">
        <v>450</v>
      </c>
    </row>
    <row r="505" customFormat="false" ht="15" hidden="false" customHeight="true" outlineLevel="0" collapsed="false">
      <c r="B505" s="17" t="n">
        <v>45992</v>
      </c>
      <c r="C505" s="18" t="s">
        <v>461</v>
      </c>
      <c r="D505" s="18" t="s">
        <v>106</v>
      </c>
      <c r="E505" s="18" t="s">
        <v>69</v>
      </c>
      <c r="F505" s="26" t="n">
        <v>552.26</v>
      </c>
      <c r="G505" s="20" t="s">
        <v>450</v>
      </c>
    </row>
    <row r="506" customFormat="false" ht="15" hidden="false" customHeight="true" outlineLevel="0" collapsed="false">
      <c r="B506" s="17" t="n">
        <v>46023</v>
      </c>
      <c r="C506" s="18" t="s">
        <v>874</v>
      </c>
      <c r="D506" s="18" t="s">
        <v>106</v>
      </c>
      <c r="E506" s="18" t="s">
        <v>31</v>
      </c>
      <c r="F506" s="26" t="n">
        <v>10757.3</v>
      </c>
      <c r="G506" s="20" t="s">
        <v>484</v>
      </c>
    </row>
    <row r="507" customFormat="false" ht="15" hidden="false" customHeight="true" outlineLevel="0" collapsed="false">
      <c r="B507" s="17" t="n">
        <v>46023</v>
      </c>
      <c r="C507" s="18" t="s">
        <v>488</v>
      </c>
      <c r="D507" s="18" t="s">
        <v>106</v>
      </c>
      <c r="E507" s="18" t="s">
        <v>71</v>
      </c>
      <c r="F507" s="26" t="n">
        <v>30769.48</v>
      </c>
      <c r="G507" s="20" t="s">
        <v>484</v>
      </c>
    </row>
    <row r="508" customFormat="false" ht="15" hidden="false" customHeight="true" outlineLevel="0" collapsed="false">
      <c r="B508" s="17" t="n">
        <v>46023</v>
      </c>
      <c r="C508" s="18" t="s">
        <v>514</v>
      </c>
      <c r="D508" s="18" t="s">
        <v>106</v>
      </c>
      <c r="E508" s="18" t="s">
        <v>84</v>
      </c>
      <c r="F508" s="26" t="n">
        <v>2500</v>
      </c>
      <c r="G508" s="20" t="s">
        <v>484</v>
      </c>
    </row>
    <row r="509" customFormat="false" ht="15" hidden="false" customHeight="true" outlineLevel="0" collapsed="false">
      <c r="B509" s="17" t="n">
        <v>46023</v>
      </c>
      <c r="C509" s="18" t="s">
        <v>498</v>
      </c>
      <c r="D509" s="18" t="s">
        <v>106</v>
      </c>
      <c r="E509" s="18" t="s">
        <v>45</v>
      </c>
      <c r="F509" s="26" t="n">
        <v>102.62</v>
      </c>
      <c r="G509" s="20" t="s">
        <v>484</v>
      </c>
    </row>
    <row r="510" customFormat="false" ht="15" hidden="false" customHeight="true" outlineLevel="0" collapsed="false">
      <c r="B510" s="17" t="n">
        <v>46023</v>
      </c>
      <c r="C510" s="18" t="s">
        <v>485</v>
      </c>
      <c r="D510" s="18" t="s">
        <v>106</v>
      </c>
      <c r="E510" s="18" t="s">
        <v>52</v>
      </c>
      <c r="F510" s="26" t="n">
        <v>7600</v>
      </c>
      <c r="G510" s="20" t="s">
        <v>484</v>
      </c>
    </row>
    <row r="511" customFormat="false" ht="15" hidden="false" customHeight="true" outlineLevel="0" collapsed="false">
      <c r="B511" s="17" t="n">
        <v>46023</v>
      </c>
      <c r="C511" s="18" t="s">
        <v>875</v>
      </c>
      <c r="D511" s="18" t="s">
        <v>106</v>
      </c>
      <c r="E511" s="18" t="s">
        <v>34</v>
      </c>
      <c r="F511" s="26" t="n">
        <v>28500.91</v>
      </c>
      <c r="G511" s="20" t="s">
        <v>484</v>
      </c>
    </row>
    <row r="512" customFormat="false" ht="15" hidden="false" customHeight="true" outlineLevel="0" collapsed="false">
      <c r="B512" s="17" t="n">
        <v>46023</v>
      </c>
      <c r="C512" s="18" t="s">
        <v>499</v>
      </c>
      <c r="D512" s="18" t="s">
        <v>106</v>
      </c>
      <c r="E512" s="18" t="s">
        <v>43</v>
      </c>
      <c r="F512" s="26" t="n">
        <v>839.51</v>
      </c>
      <c r="G512" s="20" t="s">
        <v>484</v>
      </c>
    </row>
    <row r="513" customFormat="false" ht="15" hidden="false" customHeight="true" outlineLevel="0" collapsed="false">
      <c r="B513" s="17" t="n">
        <v>46023</v>
      </c>
      <c r="C513" s="18" t="s">
        <v>876</v>
      </c>
      <c r="D513" s="18" t="s">
        <v>106</v>
      </c>
      <c r="E513" s="18" t="s">
        <v>41</v>
      </c>
      <c r="F513" s="26" t="n">
        <v>7391.89</v>
      </c>
      <c r="G513" s="20" t="s">
        <v>484</v>
      </c>
    </row>
    <row r="514" customFormat="false" ht="15" hidden="false" customHeight="true" outlineLevel="0" collapsed="false">
      <c r="B514" s="17" t="n">
        <v>46023</v>
      </c>
      <c r="C514" s="18" t="s">
        <v>502</v>
      </c>
      <c r="D514" s="18" t="s">
        <v>106</v>
      </c>
      <c r="E514" s="18" t="s">
        <v>60</v>
      </c>
      <c r="F514" s="26" t="n">
        <v>375.5</v>
      </c>
      <c r="G514" s="20" t="s">
        <v>484</v>
      </c>
    </row>
    <row r="515" customFormat="false" ht="15" hidden="false" customHeight="true" outlineLevel="0" collapsed="false">
      <c r="B515" s="17" t="n">
        <v>46023</v>
      </c>
      <c r="C515" s="18" t="s">
        <v>877</v>
      </c>
      <c r="D515" s="18" t="s">
        <v>106</v>
      </c>
      <c r="E515" s="18" t="s">
        <v>33</v>
      </c>
      <c r="F515" s="26" t="n">
        <v>4462</v>
      </c>
      <c r="G515" s="20" t="s">
        <v>484</v>
      </c>
    </row>
    <row r="516" customFormat="false" ht="15" hidden="false" customHeight="true" outlineLevel="0" collapsed="false">
      <c r="B516" s="17" t="n">
        <v>46023</v>
      </c>
      <c r="C516" s="18" t="s">
        <v>496</v>
      </c>
      <c r="D516" s="18" t="s">
        <v>106</v>
      </c>
      <c r="E516" s="18" t="s">
        <v>42</v>
      </c>
      <c r="F516" s="26" t="n">
        <v>2855.89</v>
      </c>
      <c r="G516" s="20" t="s">
        <v>484</v>
      </c>
    </row>
    <row r="517" customFormat="false" ht="15" hidden="false" customHeight="true" outlineLevel="0" collapsed="false">
      <c r="B517" s="17" t="n">
        <v>46023</v>
      </c>
      <c r="C517" s="18" t="s">
        <v>503</v>
      </c>
      <c r="D517" s="18" t="s">
        <v>106</v>
      </c>
      <c r="E517" s="18" t="s">
        <v>53</v>
      </c>
      <c r="F517" s="26" t="n">
        <v>49.9</v>
      </c>
      <c r="G517" s="20" t="s">
        <v>484</v>
      </c>
    </row>
    <row r="518" customFormat="false" ht="15" hidden="false" customHeight="true" outlineLevel="0" collapsed="false">
      <c r="B518" s="17" t="n">
        <v>46023</v>
      </c>
      <c r="C518" s="18" t="s">
        <v>878</v>
      </c>
      <c r="D518" s="18" t="s">
        <v>106</v>
      </c>
      <c r="E518" s="18" t="s">
        <v>73</v>
      </c>
      <c r="F518" s="26" t="n">
        <v>25272.94</v>
      </c>
      <c r="G518" s="20" t="s">
        <v>484</v>
      </c>
    </row>
    <row r="519" customFormat="false" ht="15" hidden="false" customHeight="true" outlineLevel="0" collapsed="false">
      <c r="B519" s="17" t="n">
        <v>46023</v>
      </c>
      <c r="C519" s="18" t="s">
        <v>879</v>
      </c>
      <c r="D519" s="18" t="s">
        <v>106</v>
      </c>
      <c r="E519" s="18" t="s">
        <v>37</v>
      </c>
      <c r="F519" s="26" t="n">
        <v>1193</v>
      </c>
      <c r="G519" s="20" t="s">
        <v>484</v>
      </c>
    </row>
    <row r="520" customFormat="false" ht="15" hidden="false" customHeight="true" outlineLevel="0" collapsed="false">
      <c r="B520" s="17" t="n">
        <v>46023</v>
      </c>
      <c r="C520" s="18" t="s">
        <v>493</v>
      </c>
      <c r="D520" s="18" t="s">
        <v>106</v>
      </c>
      <c r="E520" s="18" t="s">
        <v>68</v>
      </c>
      <c r="F520" s="26" t="n">
        <v>88</v>
      </c>
      <c r="G520" s="20" t="s">
        <v>484</v>
      </c>
    </row>
    <row r="521" customFormat="false" ht="15" hidden="false" customHeight="true" outlineLevel="0" collapsed="false">
      <c r="B521" s="17" t="n">
        <v>46023</v>
      </c>
      <c r="C521" s="18" t="s">
        <v>880</v>
      </c>
      <c r="D521" s="18" t="s">
        <v>106</v>
      </c>
      <c r="E521" s="18" t="s">
        <v>35</v>
      </c>
      <c r="F521" s="26" t="n">
        <v>3761.35</v>
      </c>
      <c r="G521" s="20" t="s">
        <v>484</v>
      </c>
    </row>
    <row r="522" customFormat="false" ht="15" hidden="false" customHeight="true" outlineLevel="0" collapsed="false">
      <c r="B522" s="17" t="n">
        <v>46023</v>
      </c>
      <c r="C522" s="18" t="s">
        <v>881</v>
      </c>
      <c r="D522" s="18" t="s">
        <v>106</v>
      </c>
      <c r="E522" s="18" t="s">
        <v>30</v>
      </c>
      <c r="F522" s="26" t="n">
        <v>40109</v>
      </c>
      <c r="G522" s="20" t="s">
        <v>484</v>
      </c>
    </row>
    <row r="523" customFormat="false" ht="15" hidden="false" customHeight="true" outlineLevel="0" collapsed="false">
      <c r="B523" s="17" t="n">
        <v>46023</v>
      </c>
      <c r="C523" s="18" t="s">
        <v>509</v>
      </c>
      <c r="D523" s="18" t="s">
        <v>106</v>
      </c>
      <c r="E523" s="18" t="s">
        <v>85</v>
      </c>
      <c r="F523" s="26" t="n">
        <v>4545.12</v>
      </c>
      <c r="G523" s="20" t="s">
        <v>484</v>
      </c>
    </row>
    <row r="524" customFormat="false" ht="15" hidden="false" customHeight="true" outlineLevel="0" collapsed="false">
      <c r="B524" s="17" t="n">
        <v>46023</v>
      </c>
      <c r="C524" s="18" t="s">
        <v>489</v>
      </c>
      <c r="D524" s="18" t="s">
        <v>106</v>
      </c>
      <c r="E524" s="18" t="s">
        <v>61</v>
      </c>
      <c r="F524" s="26" t="n">
        <v>1635.49</v>
      </c>
      <c r="G524" s="20" t="s">
        <v>484</v>
      </c>
    </row>
    <row r="525" customFormat="false" ht="15" hidden="false" customHeight="true" outlineLevel="0" collapsed="false">
      <c r="B525" s="17" t="n">
        <v>46023</v>
      </c>
      <c r="C525" s="18" t="s">
        <v>513</v>
      </c>
      <c r="D525" s="18" t="s">
        <v>106</v>
      </c>
      <c r="E525" s="18" t="s">
        <v>70</v>
      </c>
      <c r="F525" s="26" t="n">
        <v>7750</v>
      </c>
      <c r="G525" s="20" t="s">
        <v>484</v>
      </c>
    </row>
    <row r="526" customFormat="false" ht="15" hidden="false" customHeight="true" outlineLevel="0" collapsed="false">
      <c r="B526" s="17" t="n">
        <v>46023</v>
      </c>
      <c r="C526" s="18" t="s">
        <v>882</v>
      </c>
      <c r="D526" s="18" t="s">
        <v>106</v>
      </c>
      <c r="E526" s="18" t="s">
        <v>28</v>
      </c>
      <c r="F526" s="26" t="n">
        <v>28554</v>
      </c>
      <c r="G526" s="20" t="s">
        <v>484</v>
      </c>
    </row>
    <row r="527" customFormat="false" ht="15" hidden="false" customHeight="true" outlineLevel="0" collapsed="false">
      <c r="B527" s="17" t="n">
        <v>46023</v>
      </c>
      <c r="C527" s="18" t="s">
        <v>508</v>
      </c>
      <c r="D527" s="18" t="s">
        <v>106</v>
      </c>
      <c r="E527" s="18" t="s">
        <v>90</v>
      </c>
      <c r="F527" s="26" t="n">
        <v>250</v>
      </c>
      <c r="G527" s="20" t="s">
        <v>484</v>
      </c>
    </row>
    <row r="528" customFormat="false" ht="15" hidden="false" customHeight="true" outlineLevel="0" collapsed="false">
      <c r="B528" s="17" t="n">
        <v>46023</v>
      </c>
      <c r="C528" s="18" t="s">
        <v>500</v>
      </c>
      <c r="D528" s="18" t="s">
        <v>106</v>
      </c>
      <c r="E528" s="18" t="s">
        <v>46</v>
      </c>
      <c r="F528" s="26" t="n">
        <v>225</v>
      </c>
      <c r="G528" s="20" t="s">
        <v>484</v>
      </c>
    </row>
    <row r="529" customFormat="false" ht="15" hidden="false" customHeight="true" outlineLevel="0" collapsed="false">
      <c r="B529" s="17" t="n">
        <v>46023</v>
      </c>
      <c r="C529" s="18" t="s">
        <v>512</v>
      </c>
      <c r="D529" s="18" t="s">
        <v>106</v>
      </c>
      <c r="E529" s="18" t="s">
        <v>57</v>
      </c>
      <c r="F529" s="26" t="n">
        <v>243</v>
      </c>
      <c r="G529" s="20" t="s">
        <v>484</v>
      </c>
    </row>
    <row r="530" customFormat="false" ht="15" hidden="false" customHeight="true" outlineLevel="0" collapsed="false">
      <c r="B530" s="17" t="n">
        <v>46023</v>
      </c>
      <c r="C530" s="18" t="s">
        <v>507</v>
      </c>
      <c r="D530" s="18" t="s">
        <v>106</v>
      </c>
      <c r="E530" s="18" t="s">
        <v>74</v>
      </c>
      <c r="F530" s="26" t="n">
        <v>295.9</v>
      </c>
      <c r="G530" s="20" t="s">
        <v>484</v>
      </c>
    </row>
    <row r="531" customFormat="false" ht="15" hidden="false" customHeight="true" outlineLevel="0" collapsed="false">
      <c r="B531" s="17" t="n">
        <v>46023</v>
      </c>
      <c r="C531" s="18" t="s">
        <v>883</v>
      </c>
      <c r="D531" s="18" t="s">
        <v>106</v>
      </c>
      <c r="E531" s="18" t="s">
        <v>32</v>
      </c>
      <c r="F531" s="26" t="n">
        <v>76.75</v>
      </c>
      <c r="G531" s="20" t="s">
        <v>484</v>
      </c>
    </row>
    <row r="532" customFormat="false" ht="15" hidden="false" customHeight="true" outlineLevel="0" collapsed="false">
      <c r="B532" s="17" t="n">
        <v>46023</v>
      </c>
      <c r="C532" s="18" t="s">
        <v>511</v>
      </c>
      <c r="D532" s="18" t="s">
        <v>106</v>
      </c>
      <c r="E532" s="18" t="s">
        <v>56</v>
      </c>
      <c r="F532" s="26" t="n">
        <v>882.21</v>
      </c>
      <c r="G532" s="20" t="s">
        <v>484</v>
      </c>
    </row>
    <row r="533" customFormat="false" ht="15" hidden="false" customHeight="true" outlineLevel="0" collapsed="false">
      <c r="B533" s="17" t="n">
        <v>46023</v>
      </c>
      <c r="C533" s="18" t="s">
        <v>492</v>
      </c>
      <c r="D533" s="18" t="s">
        <v>106</v>
      </c>
      <c r="E533" s="18" t="s">
        <v>50</v>
      </c>
      <c r="F533" s="26" t="n">
        <v>920</v>
      </c>
      <c r="G533" s="20" t="s">
        <v>484</v>
      </c>
    </row>
    <row r="534" customFormat="false" ht="15" hidden="false" customHeight="true" outlineLevel="0" collapsed="false">
      <c r="B534" s="17" t="n">
        <v>46023</v>
      </c>
      <c r="C534" s="18" t="s">
        <v>486</v>
      </c>
      <c r="D534" s="18" t="s">
        <v>106</v>
      </c>
      <c r="E534" s="18" t="s">
        <v>51</v>
      </c>
      <c r="F534" s="26" t="n">
        <v>29124.02</v>
      </c>
      <c r="G534" s="20" t="s">
        <v>484</v>
      </c>
    </row>
    <row r="535" customFormat="false" ht="15" hidden="false" customHeight="true" outlineLevel="0" collapsed="false">
      <c r="B535" s="17" t="n">
        <v>46023</v>
      </c>
      <c r="C535" s="18" t="s">
        <v>490</v>
      </c>
      <c r="D535" s="18" t="s">
        <v>106</v>
      </c>
      <c r="E535" s="18" t="s">
        <v>64</v>
      </c>
      <c r="F535" s="26" t="n">
        <v>265.92</v>
      </c>
      <c r="G535" s="20" t="s">
        <v>484</v>
      </c>
    </row>
    <row r="536" customFormat="false" ht="15" hidden="false" customHeight="true" outlineLevel="0" collapsed="false">
      <c r="B536" s="17" t="n">
        <v>46023</v>
      </c>
      <c r="C536" s="18" t="s">
        <v>884</v>
      </c>
      <c r="D536" s="18" t="s">
        <v>106</v>
      </c>
      <c r="E536" s="18" t="s">
        <v>36</v>
      </c>
      <c r="F536" s="26" t="n">
        <v>2447.08</v>
      </c>
      <c r="G536" s="20" t="s">
        <v>484</v>
      </c>
    </row>
    <row r="537" customFormat="false" ht="15" hidden="false" customHeight="true" outlineLevel="0" collapsed="false">
      <c r="B537" s="17" t="n">
        <v>46023</v>
      </c>
      <c r="C537" s="18" t="s">
        <v>885</v>
      </c>
      <c r="D537" s="18" t="s">
        <v>106</v>
      </c>
      <c r="E537" s="18" t="s">
        <v>26</v>
      </c>
      <c r="F537" s="26" t="n">
        <v>23433.97</v>
      </c>
      <c r="G537" s="20" t="s">
        <v>484</v>
      </c>
    </row>
    <row r="538" customFormat="false" ht="15" hidden="false" customHeight="true" outlineLevel="0" collapsed="false">
      <c r="B538" s="17" t="n">
        <v>46023</v>
      </c>
      <c r="C538" s="18" t="s">
        <v>501</v>
      </c>
      <c r="D538" s="18" t="s">
        <v>106</v>
      </c>
      <c r="E538" s="18" t="s">
        <v>65</v>
      </c>
      <c r="F538" s="26" t="n">
        <v>126.92</v>
      </c>
      <c r="G538" s="20" t="s">
        <v>484</v>
      </c>
    </row>
    <row r="539" customFormat="false" ht="15" hidden="false" customHeight="true" outlineLevel="0" collapsed="false">
      <c r="B539" s="17" t="n">
        <v>46023</v>
      </c>
      <c r="C539" s="18" t="s">
        <v>495</v>
      </c>
      <c r="D539" s="18" t="s">
        <v>106</v>
      </c>
      <c r="E539" s="18" t="s">
        <v>78</v>
      </c>
      <c r="F539" s="26" t="n">
        <v>90</v>
      </c>
      <c r="G539" s="20" t="s">
        <v>484</v>
      </c>
    </row>
    <row r="540" customFormat="false" ht="15" hidden="false" customHeight="true" outlineLevel="0" collapsed="false">
      <c r="B540" s="17" t="n">
        <v>46023</v>
      </c>
      <c r="C540" s="18" t="s">
        <v>886</v>
      </c>
      <c r="D540" s="18" t="s">
        <v>106</v>
      </c>
      <c r="E540" s="18" t="s">
        <v>29</v>
      </c>
      <c r="F540" s="26" t="n">
        <v>2801</v>
      </c>
      <c r="G540" s="20" t="s">
        <v>484</v>
      </c>
    </row>
    <row r="541" customFormat="false" ht="15" hidden="false" customHeight="true" outlineLevel="0" collapsed="false">
      <c r="B541" s="17" t="n">
        <v>46023</v>
      </c>
      <c r="C541" s="18" t="s">
        <v>491</v>
      </c>
      <c r="D541" s="18" t="s">
        <v>106</v>
      </c>
      <c r="E541" s="18" t="s">
        <v>49</v>
      </c>
      <c r="F541" s="26" t="n">
        <v>1700</v>
      </c>
      <c r="G541" s="20" t="s">
        <v>484</v>
      </c>
    </row>
    <row r="542" customFormat="false" ht="15" hidden="false" customHeight="true" outlineLevel="0" collapsed="false">
      <c r="B542" s="17" t="n">
        <v>46023</v>
      </c>
      <c r="C542" s="18" t="s">
        <v>487</v>
      </c>
      <c r="D542" s="18" t="s">
        <v>106</v>
      </c>
      <c r="E542" s="18" t="s">
        <v>59</v>
      </c>
      <c r="F542" s="26" t="n">
        <v>3120</v>
      </c>
      <c r="G542" s="20" t="s">
        <v>484</v>
      </c>
    </row>
    <row r="543" customFormat="false" ht="15" hidden="false" customHeight="true" outlineLevel="0" collapsed="false">
      <c r="B543" s="17" t="n">
        <v>46023</v>
      </c>
      <c r="C543" s="18" t="s">
        <v>506</v>
      </c>
      <c r="D543" s="18" t="s">
        <v>106</v>
      </c>
      <c r="E543" s="18" t="s">
        <v>79</v>
      </c>
      <c r="F543" s="26" t="n">
        <v>2611.53</v>
      </c>
      <c r="G543" s="20" t="s">
        <v>484</v>
      </c>
    </row>
    <row r="544" customFormat="false" ht="15" hidden="false" customHeight="true" outlineLevel="0" collapsed="false">
      <c r="B544" s="17" t="n">
        <v>46023</v>
      </c>
      <c r="C544" s="18" t="s">
        <v>510</v>
      </c>
      <c r="D544" s="18" t="s">
        <v>106</v>
      </c>
      <c r="E544" s="18" t="s">
        <v>54</v>
      </c>
      <c r="F544" s="26" t="n">
        <v>957</v>
      </c>
      <c r="G544" s="20" t="s">
        <v>484</v>
      </c>
    </row>
    <row r="545" customFormat="false" ht="15" hidden="false" customHeight="true" outlineLevel="0" collapsed="false">
      <c r="B545" s="17" t="n">
        <v>46023</v>
      </c>
      <c r="C545" s="18" t="s">
        <v>494</v>
      </c>
      <c r="D545" s="18" t="s">
        <v>106</v>
      </c>
      <c r="E545" s="18" t="s">
        <v>69</v>
      </c>
      <c r="F545" s="26" t="n">
        <v>227.27</v>
      </c>
      <c r="G545" s="20" t="s">
        <v>484</v>
      </c>
    </row>
    <row r="546" customFormat="false" ht="15" hidden="false" customHeight="true" outlineLevel="0" collapsed="false">
      <c r="B546" s="17" t="n">
        <v>46054</v>
      </c>
      <c r="C546" s="18" t="s">
        <v>887</v>
      </c>
      <c r="D546" s="18" t="s">
        <v>106</v>
      </c>
      <c r="E546" s="18" t="s">
        <v>31</v>
      </c>
      <c r="F546" s="26" t="n">
        <v>12920.2</v>
      </c>
      <c r="G546" s="20" t="s">
        <v>520</v>
      </c>
    </row>
    <row r="547" customFormat="false" ht="15" hidden="false" customHeight="true" outlineLevel="0" collapsed="false">
      <c r="B547" s="17" t="n">
        <v>46054</v>
      </c>
      <c r="C547" s="18" t="s">
        <v>547</v>
      </c>
      <c r="D547" s="18" t="s">
        <v>106</v>
      </c>
      <c r="E547" s="18" t="s">
        <v>84</v>
      </c>
      <c r="F547" s="26" t="n">
        <v>2500</v>
      </c>
      <c r="G547" s="20" t="s">
        <v>520</v>
      </c>
    </row>
    <row r="548" customFormat="false" ht="15" hidden="false" customHeight="true" outlineLevel="0" collapsed="false">
      <c r="B548" s="17" t="n">
        <v>46054</v>
      </c>
      <c r="C548" s="18" t="s">
        <v>535</v>
      </c>
      <c r="D548" s="18" t="s">
        <v>106</v>
      </c>
      <c r="E548" s="18" t="s">
        <v>45</v>
      </c>
      <c r="F548" s="26" t="n">
        <v>8</v>
      </c>
      <c r="G548" s="20" t="s">
        <v>520</v>
      </c>
    </row>
    <row r="549" customFormat="false" ht="15" hidden="false" customHeight="true" outlineLevel="0" collapsed="false">
      <c r="B549" s="17" t="n">
        <v>46054</v>
      </c>
      <c r="C549" s="18" t="s">
        <v>521</v>
      </c>
      <c r="D549" s="18" t="s">
        <v>106</v>
      </c>
      <c r="E549" s="18" t="s">
        <v>52</v>
      </c>
      <c r="F549" s="26" t="n">
        <v>8100</v>
      </c>
      <c r="G549" s="20" t="s">
        <v>520</v>
      </c>
    </row>
    <row r="550" customFormat="false" ht="15" hidden="false" customHeight="true" outlineLevel="0" collapsed="false">
      <c r="B550" s="17" t="n">
        <v>46054</v>
      </c>
      <c r="C550" s="18" t="s">
        <v>888</v>
      </c>
      <c r="D550" s="18" t="s">
        <v>106</v>
      </c>
      <c r="E550" s="18" t="s">
        <v>34</v>
      </c>
      <c r="F550" s="26" t="n">
        <v>26834.84</v>
      </c>
      <c r="G550" s="20" t="s">
        <v>520</v>
      </c>
    </row>
    <row r="551" customFormat="false" ht="15" hidden="false" customHeight="true" outlineLevel="0" collapsed="false">
      <c r="B551" s="17" t="n">
        <v>46054</v>
      </c>
      <c r="C551" s="18" t="s">
        <v>889</v>
      </c>
      <c r="D551" s="18" t="s">
        <v>106</v>
      </c>
      <c r="E551" s="18" t="s">
        <v>40</v>
      </c>
      <c r="F551" s="26" t="n">
        <v>1120</v>
      </c>
      <c r="G551" s="20" t="s">
        <v>520</v>
      </c>
    </row>
    <row r="552" customFormat="false" ht="15" hidden="false" customHeight="true" outlineLevel="0" collapsed="false">
      <c r="B552" s="17" t="n">
        <v>46054</v>
      </c>
      <c r="C552" s="18" t="s">
        <v>536</v>
      </c>
      <c r="D552" s="18" t="s">
        <v>106</v>
      </c>
      <c r="E552" s="18" t="s">
        <v>43</v>
      </c>
      <c r="F552" s="26" t="n">
        <v>1136.03</v>
      </c>
      <c r="G552" s="20" t="s">
        <v>520</v>
      </c>
    </row>
    <row r="553" customFormat="false" ht="15" hidden="false" customHeight="true" outlineLevel="0" collapsed="false">
      <c r="B553" s="17" t="n">
        <v>46054</v>
      </c>
      <c r="C553" s="18" t="s">
        <v>890</v>
      </c>
      <c r="D553" s="18" t="s">
        <v>106</v>
      </c>
      <c r="E553" s="18" t="s">
        <v>39</v>
      </c>
      <c r="F553" s="26" t="n">
        <v>82.5</v>
      </c>
      <c r="G553" s="20" t="s">
        <v>520</v>
      </c>
    </row>
    <row r="554" customFormat="false" ht="15" hidden="false" customHeight="true" outlineLevel="0" collapsed="false">
      <c r="B554" s="17" t="n">
        <v>46054</v>
      </c>
      <c r="C554" s="18" t="s">
        <v>891</v>
      </c>
      <c r="D554" s="18" t="s">
        <v>106</v>
      </c>
      <c r="E554" s="18" t="s">
        <v>41</v>
      </c>
      <c r="F554" s="26" t="n">
        <v>5698.96</v>
      </c>
      <c r="G554" s="20" t="s">
        <v>520</v>
      </c>
    </row>
    <row r="555" customFormat="false" ht="15" hidden="false" customHeight="true" outlineLevel="0" collapsed="false">
      <c r="B555" s="17" t="n">
        <v>46054</v>
      </c>
      <c r="C555" s="18" t="s">
        <v>540</v>
      </c>
      <c r="D555" s="18" t="s">
        <v>106</v>
      </c>
      <c r="E555" s="18" t="s">
        <v>60</v>
      </c>
      <c r="F555" s="26" t="n">
        <v>327.05</v>
      </c>
      <c r="G555" s="20" t="s">
        <v>520</v>
      </c>
    </row>
    <row r="556" customFormat="false" ht="15" hidden="false" customHeight="true" outlineLevel="0" collapsed="false">
      <c r="B556" s="17" t="n">
        <v>46054</v>
      </c>
      <c r="C556" s="18" t="s">
        <v>549</v>
      </c>
      <c r="D556" s="18" t="s">
        <v>106</v>
      </c>
      <c r="E556" s="18" t="s">
        <v>89</v>
      </c>
      <c r="F556" s="26" t="n">
        <v>3985.34</v>
      </c>
      <c r="G556" s="20" t="s">
        <v>520</v>
      </c>
    </row>
    <row r="557" customFormat="false" ht="15" hidden="false" customHeight="true" outlineLevel="0" collapsed="false">
      <c r="B557" s="17" t="n">
        <v>46054</v>
      </c>
      <c r="C557" s="18" t="s">
        <v>892</v>
      </c>
      <c r="D557" s="18" t="s">
        <v>106</v>
      </c>
      <c r="E557" s="18" t="s">
        <v>33</v>
      </c>
      <c r="F557" s="26" t="n">
        <v>2740</v>
      </c>
      <c r="G557" s="20" t="s">
        <v>520</v>
      </c>
    </row>
    <row r="558" customFormat="false" ht="15" hidden="false" customHeight="true" outlineLevel="0" collapsed="false">
      <c r="B558" s="17" t="n">
        <v>46054</v>
      </c>
      <c r="C558" s="18" t="s">
        <v>532</v>
      </c>
      <c r="D558" s="18" t="s">
        <v>106</v>
      </c>
      <c r="E558" s="18" t="s">
        <v>42</v>
      </c>
      <c r="F558" s="26" t="n">
        <v>8591.51</v>
      </c>
      <c r="G558" s="20" t="s">
        <v>520</v>
      </c>
    </row>
    <row r="559" customFormat="false" ht="15" hidden="false" customHeight="true" outlineLevel="0" collapsed="false">
      <c r="B559" s="17" t="n">
        <v>46054</v>
      </c>
      <c r="C559" s="18" t="s">
        <v>893</v>
      </c>
      <c r="D559" s="18" t="s">
        <v>106</v>
      </c>
      <c r="E559" s="18" t="s">
        <v>73</v>
      </c>
      <c r="F559" s="26" t="n">
        <v>11340.61</v>
      </c>
      <c r="G559" s="20" t="s">
        <v>520</v>
      </c>
    </row>
    <row r="560" customFormat="false" ht="15" hidden="false" customHeight="true" outlineLevel="0" collapsed="false">
      <c r="B560" s="17" t="n">
        <v>46054</v>
      </c>
      <c r="C560" s="18" t="s">
        <v>894</v>
      </c>
      <c r="D560" s="18" t="s">
        <v>106</v>
      </c>
      <c r="E560" s="18" t="s">
        <v>37</v>
      </c>
      <c r="F560" s="26" t="n">
        <v>145.67</v>
      </c>
      <c r="G560" s="20" t="s">
        <v>520</v>
      </c>
    </row>
    <row r="561" customFormat="false" ht="15" hidden="false" customHeight="true" outlineLevel="0" collapsed="false">
      <c r="B561" s="17" t="n">
        <v>46054</v>
      </c>
      <c r="C561" s="18" t="s">
        <v>530</v>
      </c>
      <c r="D561" s="18" t="s">
        <v>106</v>
      </c>
      <c r="E561" s="18" t="s">
        <v>68</v>
      </c>
      <c r="F561" s="26" t="n">
        <v>130</v>
      </c>
      <c r="G561" s="20" t="s">
        <v>520</v>
      </c>
    </row>
    <row r="562" customFormat="false" ht="15" hidden="false" customHeight="true" outlineLevel="0" collapsed="false">
      <c r="B562" s="17" t="n">
        <v>46054</v>
      </c>
      <c r="C562" s="18" t="s">
        <v>895</v>
      </c>
      <c r="D562" s="18" t="s">
        <v>106</v>
      </c>
      <c r="E562" s="18" t="s">
        <v>35</v>
      </c>
      <c r="F562" s="26" t="n">
        <v>259</v>
      </c>
      <c r="G562" s="20" t="s">
        <v>520</v>
      </c>
    </row>
    <row r="563" customFormat="false" ht="15" hidden="false" customHeight="true" outlineLevel="0" collapsed="false">
      <c r="B563" s="17" t="n">
        <v>46054</v>
      </c>
      <c r="C563" s="18" t="s">
        <v>537</v>
      </c>
      <c r="D563" s="18" t="s">
        <v>106</v>
      </c>
      <c r="E563" s="18" t="s">
        <v>48</v>
      </c>
      <c r="F563" s="26" t="n">
        <v>40</v>
      </c>
      <c r="G563" s="20" t="s">
        <v>520</v>
      </c>
    </row>
    <row r="564" customFormat="false" ht="15" hidden="false" customHeight="true" outlineLevel="0" collapsed="false">
      <c r="B564" s="17" t="n">
        <v>46054</v>
      </c>
      <c r="C564" s="18" t="s">
        <v>896</v>
      </c>
      <c r="D564" s="18" t="s">
        <v>106</v>
      </c>
      <c r="E564" s="18" t="s">
        <v>30</v>
      </c>
      <c r="F564" s="26" t="n">
        <v>39737</v>
      </c>
      <c r="G564" s="20" t="s">
        <v>520</v>
      </c>
    </row>
    <row r="565" customFormat="false" ht="15" hidden="false" customHeight="true" outlineLevel="0" collapsed="false">
      <c r="B565" s="17" t="n">
        <v>46054</v>
      </c>
      <c r="C565" s="18" t="s">
        <v>543</v>
      </c>
      <c r="D565" s="18" t="s">
        <v>106</v>
      </c>
      <c r="E565" s="18" t="s">
        <v>85</v>
      </c>
      <c r="F565" s="26" t="n">
        <v>4455.12</v>
      </c>
      <c r="G565" s="20" t="s">
        <v>520</v>
      </c>
    </row>
    <row r="566" customFormat="false" ht="15" hidden="false" customHeight="true" outlineLevel="0" collapsed="false">
      <c r="B566" s="17" t="n">
        <v>46054</v>
      </c>
      <c r="C566" s="18" t="s">
        <v>525</v>
      </c>
      <c r="D566" s="18" t="s">
        <v>106</v>
      </c>
      <c r="E566" s="18" t="s">
        <v>61</v>
      </c>
      <c r="F566" s="26" t="n">
        <v>3493.33</v>
      </c>
      <c r="G566" s="20" t="s">
        <v>520</v>
      </c>
    </row>
    <row r="567" customFormat="false" ht="15" hidden="false" customHeight="true" outlineLevel="0" collapsed="false">
      <c r="B567" s="17" t="n">
        <v>46054</v>
      </c>
      <c r="C567" s="18" t="s">
        <v>524</v>
      </c>
      <c r="D567" s="18" t="s">
        <v>106</v>
      </c>
      <c r="E567" s="18" t="s">
        <v>87</v>
      </c>
      <c r="F567" s="26" t="n">
        <v>12475.68</v>
      </c>
      <c r="G567" s="20" t="s">
        <v>520</v>
      </c>
    </row>
    <row r="568" customFormat="false" ht="15" hidden="false" customHeight="true" outlineLevel="0" collapsed="false">
      <c r="B568" s="17" t="n">
        <v>46054</v>
      </c>
      <c r="C568" s="18" t="s">
        <v>533</v>
      </c>
      <c r="D568" s="18" t="s">
        <v>106</v>
      </c>
      <c r="E568" s="18" t="s">
        <v>76</v>
      </c>
      <c r="F568" s="26" t="n">
        <v>2200</v>
      </c>
      <c r="G568" s="20" t="s">
        <v>520</v>
      </c>
    </row>
    <row r="569" customFormat="false" ht="15" hidden="false" customHeight="true" outlineLevel="0" collapsed="false">
      <c r="B569" s="17" t="n">
        <v>46054</v>
      </c>
      <c r="C569" s="18" t="s">
        <v>545</v>
      </c>
      <c r="D569" s="18" t="s">
        <v>106</v>
      </c>
      <c r="E569" s="18" t="s">
        <v>70</v>
      </c>
      <c r="F569" s="26" t="n">
        <v>7750</v>
      </c>
      <c r="G569" s="20" t="s">
        <v>520</v>
      </c>
    </row>
    <row r="570" customFormat="false" ht="15" hidden="false" customHeight="true" outlineLevel="0" collapsed="false">
      <c r="B570" s="17" t="n">
        <v>46054</v>
      </c>
      <c r="C570" s="18" t="s">
        <v>897</v>
      </c>
      <c r="D570" s="18" t="s">
        <v>106</v>
      </c>
      <c r="E570" s="18" t="s">
        <v>28</v>
      </c>
      <c r="F570" s="26" t="n">
        <v>31873.5</v>
      </c>
      <c r="G570" s="20" t="s">
        <v>520</v>
      </c>
    </row>
    <row r="571" customFormat="false" ht="15" hidden="false" customHeight="true" outlineLevel="0" collapsed="false">
      <c r="B571" s="17" t="n">
        <v>46054</v>
      </c>
      <c r="C571" s="18" t="s">
        <v>538</v>
      </c>
      <c r="D571" s="18" t="s">
        <v>106</v>
      </c>
      <c r="E571" s="18" t="s">
        <v>46</v>
      </c>
      <c r="F571" s="26" t="n">
        <v>150</v>
      </c>
      <c r="G571" s="20" t="s">
        <v>520</v>
      </c>
    </row>
    <row r="572" customFormat="false" ht="15" hidden="false" customHeight="true" outlineLevel="0" collapsed="false">
      <c r="B572" s="17" t="n">
        <v>46054</v>
      </c>
      <c r="C572" s="18" t="s">
        <v>534</v>
      </c>
      <c r="D572" s="18" t="s">
        <v>106</v>
      </c>
      <c r="E572" s="18" t="s">
        <v>97</v>
      </c>
      <c r="F572" s="26" t="n">
        <v>500</v>
      </c>
      <c r="G572" s="20" t="s">
        <v>520</v>
      </c>
    </row>
    <row r="573" customFormat="false" ht="15" hidden="false" customHeight="true" outlineLevel="0" collapsed="false">
      <c r="B573" s="17" t="n">
        <v>46054</v>
      </c>
      <c r="C573" s="18" t="s">
        <v>898</v>
      </c>
      <c r="D573" s="18" t="s">
        <v>106</v>
      </c>
      <c r="E573" s="18" t="s">
        <v>32</v>
      </c>
      <c r="F573" s="26" t="n">
        <v>491.98</v>
      </c>
      <c r="G573" s="20" t="s">
        <v>520</v>
      </c>
    </row>
    <row r="574" customFormat="false" ht="15" hidden="false" customHeight="true" outlineLevel="0" collapsed="false">
      <c r="B574" s="17" t="n">
        <v>46054</v>
      </c>
      <c r="C574" s="18" t="s">
        <v>546</v>
      </c>
      <c r="D574" s="18" t="s">
        <v>106</v>
      </c>
      <c r="E574" s="18" t="s">
        <v>82</v>
      </c>
      <c r="F574" s="26" t="n">
        <v>517.08</v>
      </c>
      <c r="G574" s="20" t="s">
        <v>520</v>
      </c>
    </row>
    <row r="575" customFormat="false" ht="15" hidden="false" customHeight="true" outlineLevel="0" collapsed="false">
      <c r="B575" s="17" t="n">
        <v>46054</v>
      </c>
      <c r="C575" s="18" t="s">
        <v>899</v>
      </c>
      <c r="D575" s="18" t="s">
        <v>106</v>
      </c>
      <c r="E575" s="18" t="s">
        <v>88</v>
      </c>
      <c r="F575" s="26" t="n">
        <v>18960</v>
      </c>
      <c r="G575" s="20" t="s">
        <v>520</v>
      </c>
    </row>
    <row r="576" customFormat="false" ht="15" hidden="false" customHeight="true" outlineLevel="0" collapsed="false">
      <c r="B576" s="17" t="n">
        <v>46054</v>
      </c>
      <c r="C576" s="18" t="s">
        <v>529</v>
      </c>
      <c r="D576" s="18" t="s">
        <v>106</v>
      </c>
      <c r="E576" s="18" t="s">
        <v>50</v>
      </c>
      <c r="F576" s="26" t="n">
        <v>560</v>
      </c>
      <c r="G576" s="20" t="s">
        <v>520</v>
      </c>
    </row>
    <row r="577" customFormat="false" ht="15" hidden="false" customHeight="true" outlineLevel="0" collapsed="false">
      <c r="B577" s="17" t="n">
        <v>46054</v>
      </c>
      <c r="C577" s="18" t="s">
        <v>522</v>
      </c>
      <c r="D577" s="18" t="s">
        <v>106</v>
      </c>
      <c r="E577" s="18" t="s">
        <v>51</v>
      </c>
      <c r="F577" s="26" t="n">
        <v>22924.7</v>
      </c>
      <c r="G577" s="20" t="s">
        <v>520</v>
      </c>
    </row>
    <row r="578" customFormat="false" ht="15" hidden="false" customHeight="true" outlineLevel="0" collapsed="false">
      <c r="B578" s="17" t="n">
        <v>46054</v>
      </c>
      <c r="C578" s="18" t="s">
        <v>527</v>
      </c>
      <c r="D578" s="18" t="s">
        <v>106</v>
      </c>
      <c r="E578" s="18" t="s">
        <v>62</v>
      </c>
      <c r="F578" s="26" t="n">
        <v>510.74</v>
      </c>
      <c r="G578" s="20" t="s">
        <v>520</v>
      </c>
    </row>
    <row r="579" customFormat="false" ht="15" hidden="false" customHeight="true" outlineLevel="0" collapsed="false">
      <c r="B579" s="17" t="n">
        <v>46054</v>
      </c>
      <c r="C579" s="18" t="s">
        <v>526</v>
      </c>
      <c r="D579" s="18" t="s">
        <v>106</v>
      </c>
      <c r="E579" s="18" t="s">
        <v>64</v>
      </c>
      <c r="F579" s="26" t="n">
        <v>1195.15</v>
      </c>
      <c r="G579" s="20" t="s">
        <v>520</v>
      </c>
    </row>
    <row r="580" customFormat="false" ht="15" hidden="false" customHeight="true" outlineLevel="0" collapsed="false">
      <c r="B580" s="17" t="n">
        <v>46054</v>
      </c>
      <c r="C580" s="18" t="s">
        <v>900</v>
      </c>
      <c r="D580" s="18" t="s">
        <v>106</v>
      </c>
      <c r="E580" s="18" t="s">
        <v>36</v>
      </c>
      <c r="F580" s="26" t="n">
        <v>1284.42</v>
      </c>
      <c r="G580" s="20" t="s">
        <v>520</v>
      </c>
    </row>
    <row r="581" customFormat="false" ht="15" hidden="false" customHeight="true" outlineLevel="0" collapsed="false">
      <c r="B581" s="17" t="n">
        <v>46054</v>
      </c>
      <c r="C581" s="18" t="s">
        <v>901</v>
      </c>
      <c r="D581" s="18" t="s">
        <v>106</v>
      </c>
      <c r="E581" s="18" t="s">
        <v>26</v>
      </c>
      <c r="F581" s="26" t="n">
        <v>42980.67</v>
      </c>
      <c r="G581" s="20" t="s">
        <v>520</v>
      </c>
    </row>
    <row r="582" customFormat="false" ht="15" hidden="false" customHeight="true" outlineLevel="0" collapsed="false">
      <c r="B582" s="17" t="n">
        <v>46054</v>
      </c>
      <c r="C582" s="18" t="s">
        <v>539</v>
      </c>
      <c r="D582" s="18" t="s">
        <v>106</v>
      </c>
      <c r="E582" s="18" t="s">
        <v>65</v>
      </c>
      <c r="F582" s="26" t="n">
        <v>130</v>
      </c>
      <c r="G582" s="20" t="s">
        <v>520</v>
      </c>
    </row>
    <row r="583" customFormat="false" ht="15" hidden="false" customHeight="true" outlineLevel="0" collapsed="false">
      <c r="B583" s="17" t="n">
        <v>46054</v>
      </c>
      <c r="C583" s="18" t="s">
        <v>902</v>
      </c>
      <c r="D583" s="18" t="s">
        <v>106</v>
      </c>
      <c r="E583" s="18" t="s">
        <v>29</v>
      </c>
      <c r="F583" s="26" t="n">
        <v>4229</v>
      </c>
      <c r="G583" s="20" t="s">
        <v>520</v>
      </c>
    </row>
    <row r="584" customFormat="false" ht="15" hidden="false" customHeight="true" outlineLevel="0" collapsed="false">
      <c r="B584" s="17" t="n">
        <v>46054</v>
      </c>
      <c r="C584" s="18" t="s">
        <v>550</v>
      </c>
      <c r="D584" s="18" t="s">
        <v>106</v>
      </c>
      <c r="E584" s="18" t="s">
        <v>95</v>
      </c>
      <c r="F584" s="26" t="n">
        <v>989.17</v>
      </c>
      <c r="G584" s="20" t="s">
        <v>520</v>
      </c>
    </row>
    <row r="585" customFormat="false" ht="15" hidden="false" customHeight="true" outlineLevel="0" collapsed="false">
      <c r="B585" s="17" t="n">
        <v>46054</v>
      </c>
      <c r="C585" s="18" t="s">
        <v>528</v>
      </c>
      <c r="D585" s="18" t="s">
        <v>106</v>
      </c>
      <c r="E585" s="18" t="s">
        <v>49</v>
      </c>
      <c r="F585" s="26" t="n">
        <v>1580</v>
      </c>
      <c r="G585" s="20" t="s">
        <v>520</v>
      </c>
    </row>
    <row r="586" customFormat="false" ht="15" hidden="false" customHeight="true" outlineLevel="0" collapsed="false">
      <c r="B586" s="17" t="n">
        <v>46054</v>
      </c>
      <c r="C586" s="18" t="s">
        <v>523</v>
      </c>
      <c r="D586" s="18" t="s">
        <v>106</v>
      </c>
      <c r="E586" s="18" t="s">
        <v>59</v>
      </c>
      <c r="F586" s="26" t="n">
        <v>3250.02</v>
      </c>
      <c r="G586" s="20" t="s">
        <v>520</v>
      </c>
    </row>
    <row r="587" customFormat="false" ht="15" hidden="false" customHeight="true" outlineLevel="0" collapsed="false">
      <c r="B587" s="17" t="n">
        <v>46054</v>
      </c>
      <c r="C587" s="18" t="s">
        <v>903</v>
      </c>
      <c r="D587" s="18" t="s">
        <v>106</v>
      </c>
      <c r="E587" s="18" t="s">
        <v>79</v>
      </c>
      <c r="F587" s="26" t="n">
        <v>1800</v>
      </c>
      <c r="G587" s="20" t="s">
        <v>520</v>
      </c>
    </row>
    <row r="588" customFormat="false" ht="15" hidden="false" customHeight="true" outlineLevel="0" collapsed="false">
      <c r="B588" s="17" t="n">
        <v>46054</v>
      </c>
      <c r="C588" s="18" t="s">
        <v>544</v>
      </c>
      <c r="D588" s="18" t="s">
        <v>106</v>
      </c>
      <c r="E588" s="18" t="s">
        <v>54</v>
      </c>
      <c r="F588" s="26" t="n">
        <v>978.02</v>
      </c>
      <c r="G588" s="20" t="s">
        <v>520</v>
      </c>
    </row>
    <row r="589" customFormat="false" ht="15" hidden="false" customHeight="true" outlineLevel="0" collapsed="false">
      <c r="B589" s="17" t="n">
        <v>46054</v>
      </c>
      <c r="C589" s="18" t="s">
        <v>531</v>
      </c>
      <c r="D589" s="18" t="s">
        <v>106</v>
      </c>
      <c r="E589" s="18" t="s">
        <v>69</v>
      </c>
      <c r="F589" s="26" t="n">
        <v>280</v>
      </c>
      <c r="G589" s="20" t="s">
        <v>520</v>
      </c>
    </row>
    <row r="590" customFormat="false" ht="15" hidden="false" customHeight="true" outlineLevel="0" collapsed="false">
      <c r="B590" s="17" t="n">
        <v>46082</v>
      </c>
      <c r="C590" s="18" t="s">
        <v>904</v>
      </c>
      <c r="D590" s="18" t="s">
        <v>106</v>
      </c>
      <c r="E590" s="18" t="s">
        <v>31</v>
      </c>
      <c r="F590" s="26" t="n">
        <v>8254</v>
      </c>
      <c r="G590" s="20" t="s">
        <v>554</v>
      </c>
    </row>
    <row r="591" customFormat="false" ht="15" hidden="false" customHeight="true" outlineLevel="0" collapsed="false">
      <c r="B591" s="17" t="n">
        <v>46082</v>
      </c>
      <c r="C591" s="18" t="s">
        <v>583</v>
      </c>
      <c r="D591" s="18" t="s">
        <v>106</v>
      </c>
      <c r="E591" s="18" t="s">
        <v>84</v>
      </c>
      <c r="F591" s="26" t="n">
        <v>2500</v>
      </c>
      <c r="G591" s="20" t="s">
        <v>554</v>
      </c>
    </row>
    <row r="592" customFormat="false" ht="15" hidden="false" customHeight="true" outlineLevel="0" collapsed="false">
      <c r="B592" s="17" t="n">
        <v>46082</v>
      </c>
      <c r="C592" s="18" t="s">
        <v>569</v>
      </c>
      <c r="D592" s="18" t="s">
        <v>106</v>
      </c>
      <c r="E592" s="18" t="s">
        <v>45</v>
      </c>
      <c r="F592" s="26" t="n">
        <v>25</v>
      </c>
      <c r="G592" s="20" t="s">
        <v>554</v>
      </c>
    </row>
    <row r="593" customFormat="false" ht="15" hidden="false" customHeight="true" outlineLevel="0" collapsed="false">
      <c r="B593" s="17" t="n">
        <v>46082</v>
      </c>
      <c r="C593" s="18" t="s">
        <v>555</v>
      </c>
      <c r="D593" s="18" t="s">
        <v>106</v>
      </c>
      <c r="E593" s="18" t="s">
        <v>52</v>
      </c>
      <c r="F593" s="26" t="n">
        <v>8100</v>
      </c>
      <c r="G593" s="20" t="s">
        <v>554</v>
      </c>
    </row>
    <row r="594" customFormat="false" ht="15" hidden="false" customHeight="true" outlineLevel="0" collapsed="false">
      <c r="B594" s="17" t="n">
        <v>46082</v>
      </c>
      <c r="C594" s="18" t="s">
        <v>905</v>
      </c>
      <c r="D594" s="18" t="s">
        <v>106</v>
      </c>
      <c r="E594" s="18" t="s">
        <v>34</v>
      </c>
      <c r="F594" s="26" t="n">
        <v>27335.75</v>
      </c>
      <c r="G594" s="20" t="s">
        <v>554</v>
      </c>
    </row>
    <row r="595" customFormat="false" ht="15" hidden="false" customHeight="true" outlineLevel="0" collapsed="false">
      <c r="B595" s="17" t="n">
        <v>46082</v>
      </c>
      <c r="C595" s="18" t="s">
        <v>906</v>
      </c>
      <c r="D595" s="18" t="s">
        <v>106</v>
      </c>
      <c r="E595" s="18" t="s">
        <v>40</v>
      </c>
      <c r="F595" s="26" t="n">
        <v>1044</v>
      </c>
      <c r="G595" s="20" t="s">
        <v>554</v>
      </c>
    </row>
    <row r="596" customFormat="false" ht="15" hidden="false" customHeight="true" outlineLevel="0" collapsed="false">
      <c r="B596" s="17" t="n">
        <v>46082</v>
      </c>
      <c r="C596" s="18" t="s">
        <v>570</v>
      </c>
      <c r="D596" s="18" t="s">
        <v>106</v>
      </c>
      <c r="E596" s="18" t="s">
        <v>43</v>
      </c>
      <c r="F596" s="26" t="n">
        <v>1421.38</v>
      </c>
      <c r="G596" s="20" t="s">
        <v>554</v>
      </c>
    </row>
    <row r="597" customFormat="false" ht="15" hidden="false" customHeight="true" outlineLevel="0" collapsed="false">
      <c r="B597" s="17" t="n">
        <v>46082</v>
      </c>
      <c r="C597" s="18" t="s">
        <v>907</v>
      </c>
      <c r="D597" s="18" t="s">
        <v>106</v>
      </c>
      <c r="E597" s="18" t="s">
        <v>39</v>
      </c>
      <c r="F597" s="26" t="n">
        <v>51.75</v>
      </c>
      <c r="G597" s="20" t="s">
        <v>554</v>
      </c>
    </row>
    <row r="598" customFormat="false" ht="15" hidden="false" customHeight="true" outlineLevel="0" collapsed="false">
      <c r="B598" s="17" t="n">
        <v>46082</v>
      </c>
      <c r="C598" s="18" t="s">
        <v>908</v>
      </c>
      <c r="D598" s="18" t="s">
        <v>106</v>
      </c>
      <c r="E598" s="18" t="s">
        <v>41</v>
      </c>
      <c r="F598" s="26" t="n">
        <v>4089.36</v>
      </c>
      <c r="G598" s="20" t="s">
        <v>554</v>
      </c>
    </row>
    <row r="599" customFormat="false" ht="15" hidden="false" customHeight="true" outlineLevel="0" collapsed="false">
      <c r="B599" s="17" t="n">
        <v>46082</v>
      </c>
      <c r="C599" s="18" t="s">
        <v>573</v>
      </c>
      <c r="D599" s="18" t="s">
        <v>106</v>
      </c>
      <c r="E599" s="18" t="s">
        <v>60</v>
      </c>
      <c r="F599" s="26" t="n">
        <v>327.05</v>
      </c>
      <c r="G599" s="20" t="s">
        <v>554</v>
      </c>
    </row>
    <row r="600" customFormat="false" ht="15" hidden="false" customHeight="true" outlineLevel="0" collapsed="false">
      <c r="B600" s="17" t="n">
        <v>46082</v>
      </c>
      <c r="C600" s="18" t="s">
        <v>585</v>
      </c>
      <c r="D600" s="18" t="s">
        <v>106</v>
      </c>
      <c r="E600" s="18" t="s">
        <v>89</v>
      </c>
      <c r="F600" s="26" t="n">
        <v>2056</v>
      </c>
      <c r="G600" s="20" t="s">
        <v>554</v>
      </c>
    </row>
    <row r="601" customFormat="false" ht="15" hidden="false" customHeight="true" outlineLevel="0" collapsed="false">
      <c r="B601" s="17" t="n">
        <v>46082</v>
      </c>
      <c r="C601" s="18" t="s">
        <v>909</v>
      </c>
      <c r="D601" s="18" t="s">
        <v>106</v>
      </c>
      <c r="E601" s="18" t="s">
        <v>33</v>
      </c>
      <c r="F601" s="26" t="n">
        <v>6870</v>
      </c>
      <c r="G601" s="20" t="s">
        <v>554</v>
      </c>
    </row>
    <row r="602" customFormat="false" ht="15" hidden="false" customHeight="true" outlineLevel="0" collapsed="false">
      <c r="B602" s="17" t="n">
        <v>46082</v>
      </c>
      <c r="C602" s="18" t="s">
        <v>567</v>
      </c>
      <c r="D602" s="18" t="s">
        <v>106</v>
      </c>
      <c r="E602" s="18" t="s">
        <v>42</v>
      </c>
      <c r="F602" s="26" t="n">
        <v>1967.03</v>
      </c>
      <c r="G602" s="20" t="s">
        <v>554</v>
      </c>
    </row>
    <row r="603" customFormat="false" ht="15" hidden="false" customHeight="true" outlineLevel="0" collapsed="false">
      <c r="B603" s="17" t="n">
        <v>46082</v>
      </c>
      <c r="C603" s="18" t="s">
        <v>910</v>
      </c>
      <c r="D603" s="18" t="s">
        <v>106</v>
      </c>
      <c r="E603" s="18" t="s">
        <v>73</v>
      </c>
      <c r="F603" s="26" t="n">
        <v>9864.3</v>
      </c>
      <c r="G603" s="20" t="s">
        <v>554</v>
      </c>
    </row>
    <row r="604" customFormat="false" ht="15" hidden="false" customHeight="true" outlineLevel="0" collapsed="false">
      <c r="B604" s="17" t="n">
        <v>46082</v>
      </c>
      <c r="C604" s="18" t="s">
        <v>911</v>
      </c>
      <c r="D604" s="18" t="s">
        <v>106</v>
      </c>
      <c r="E604" s="18" t="s">
        <v>37</v>
      </c>
      <c r="F604" s="26" t="n">
        <v>1327.44</v>
      </c>
      <c r="G604" s="20" t="s">
        <v>554</v>
      </c>
    </row>
    <row r="605" customFormat="false" ht="15" hidden="false" customHeight="true" outlineLevel="0" collapsed="false">
      <c r="B605" s="17" t="n">
        <v>46082</v>
      </c>
      <c r="C605" s="18" t="s">
        <v>564</v>
      </c>
      <c r="D605" s="18" t="s">
        <v>106</v>
      </c>
      <c r="E605" s="18" t="s">
        <v>68</v>
      </c>
      <c r="F605" s="26" t="n">
        <v>163.62</v>
      </c>
      <c r="G605" s="20" t="s">
        <v>554</v>
      </c>
    </row>
    <row r="606" customFormat="false" ht="15" hidden="false" customHeight="true" outlineLevel="0" collapsed="false">
      <c r="B606" s="17" t="n">
        <v>46082</v>
      </c>
      <c r="C606" s="18" t="s">
        <v>912</v>
      </c>
      <c r="D606" s="18" t="s">
        <v>106</v>
      </c>
      <c r="E606" s="18" t="s">
        <v>35</v>
      </c>
      <c r="F606" s="26" t="n">
        <v>6489</v>
      </c>
      <c r="G606" s="20" t="s">
        <v>554</v>
      </c>
    </row>
    <row r="607" customFormat="false" ht="15" hidden="false" customHeight="true" outlineLevel="0" collapsed="false">
      <c r="B607" s="17" t="n">
        <v>46082</v>
      </c>
      <c r="C607" s="18" t="s">
        <v>913</v>
      </c>
      <c r="D607" s="18" t="s">
        <v>106</v>
      </c>
      <c r="E607" s="18" t="s">
        <v>30</v>
      </c>
      <c r="F607" s="26" t="n">
        <v>89680.5</v>
      </c>
      <c r="G607" s="20" t="s">
        <v>554</v>
      </c>
    </row>
    <row r="608" customFormat="false" ht="15" hidden="false" customHeight="true" outlineLevel="0" collapsed="false">
      <c r="B608" s="17" t="n">
        <v>46082</v>
      </c>
      <c r="C608" s="18" t="s">
        <v>578</v>
      </c>
      <c r="D608" s="18" t="s">
        <v>106</v>
      </c>
      <c r="E608" s="18" t="s">
        <v>85</v>
      </c>
      <c r="F608" s="26" t="n">
        <v>3373.29</v>
      </c>
      <c r="G608" s="20" t="s">
        <v>554</v>
      </c>
    </row>
    <row r="609" customFormat="false" ht="15" hidden="false" customHeight="true" outlineLevel="0" collapsed="false">
      <c r="B609" s="17" t="n">
        <v>46082</v>
      </c>
      <c r="C609" s="18" t="s">
        <v>559</v>
      </c>
      <c r="D609" s="18" t="s">
        <v>106</v>
      </c>
      <c r="E609" s="18" t="s">
        <v>61</v>
      </c>
      <c r="F609" s="26" t="n">
        <v>6370.18</v>
      </c>
      <c r="G609" s="20" t="s">
        <v>554</v>
      </c>
    </row>
    <row r="610" customFormat="false" ht="15" hidden="false" customHeight="true" outlineLevel="0" collapsed="false">
      <c r="B610" s="17" t="n">
        <v>46082</v>
      </c>
      <c r="C610" s="18" t="s">
        <v>558</v>
      </c>
      <c r="D610" s="18" t="s">
        <v>106</v>
      </c>
      <c r="E610" s="18" t="s">
        <v>87</v>
      </c>
      <c r="F610" s="26" t="n">
        <v>4763.35</v>
      </c>
      <c r="G610" s="20" t="s">
        <v>554</v>
      </c>
    </row>
    <row r="611" customFormat="false" ht="15" hidden="false" customHeight="true" outlineLevel="0" collapsed="false">
      <c r="B611" s="17" t="n">
        <v>46082</v>
      </c>
      <c r="C611" s="18" t="s">
        <v>581</v>
      </c>
      <c r="D611" s="18" t="s">
        <v>106</v>
      </c>
      <c r="E611" s="18" t="s">
        <v>70</v>
      </c>
      <c r="F611" s="26" t="n">
        <v>7750</v>
      </c>
      <c r="G611" s="20" t="s">
        <v>554</v>
      </c>
    </row>
    <row r="612" customFormat="false" ht="15" hidden="false" customHeight="true" outlineLevel="0" collapsed="false">
      <c r="B612" s="17" t="n">
        <v>46082</v>
      </c>
      <c r="C612" s="18" t="s">
        <v>914</v>
      </c>
      <c r="D612" s="18" t="s">
        <v>106</v>
      </c>
      <c r="E612" s="18" t="s">
        <v>28</v>
      </c>
      <c r="F612" s="26" t="n">
        <v>37534.5</v>
      </c>
      <c r="G612" s="20" t="s">
        <v>554</v>
      </c>
    </row>
    <row r="613" customFormat="false" ht="15" hidden="false" customHeight="true" outlineLevel="0" collapsed="false">
      <c r="B613" s="17" t="n">
        <v>46082</v>
      </c>
      <c r="C613" s="18" t="s">
        <v>577</v>
      </c>
      <c r="D613" s="18" t="s">
        <v>106</v>
      </c>
      <c r="E613" s="18" t="s">
        <v>90</v>
      </c>
      <c r="F613" s="26" t="n">
        <v>905</v>
      </c>
      <c r="G613" s="20" t="s">
        <v>554</v>
      </c>
    </row>
    <row r="614" customFormat="false" ht="15" hidden="false" customHeight="true" outlineLevel="0" collapsed="false">
      <c r="B614" s="17" t="n">
        <v>46082</v>
      </c>
      <c r="C614" s="18" t="s">
        <v>571</v>
      </c>
      <c r="D614" s="18" t="s">
        <v>106</v>
      </c>
      <c r="E614" s="18" t="s">
        <v>46</v>
      </c>
      <c r="F614" s="26" t="n">
        <v>140</v>
      </c>
      <c r="G614" s="20" t="s">
        <v>554</v>
      </c>
    </row>
    <row r="615" customFormat="false" ht="15" hidden="false" customHeight="true" outlineLevel="0" collapsed="false">
      <c r="B615" s="17" t="n">
        <v>46082</v>
      </c>
      <c r="C615" s="18" t="s">
        <v>580</v>
      </c>
      <c r="D615" s="18" t="s">
        <v>106</v>
      </c>
      <c r="E615" s="18" t="s">
        <v>57</v>
      </c>
      <c r="F615" s="26" t="n">
        <v>28</v>
      </c>
      <c r="G615" s="20" t="s">
        <v>554</v>
      </c>
    </row>
    <row r="616" customFormat="false" ht="15" hidden="false" customHeight="true" outlineLevel="0" collapsed="false">
      <c r="B616" s="17" t="n">
        <v>46082</v>
      </c>
      <c r="C616" s="18" t="s">
        <v>582</v>
      </c>
      <c r="D616" s="18" t="s">
        <v>106</v>
      </c>
      <c r="E616" s="18" t="s">
        <v>82</v>
      </c>
      <c r="F616" s="26" t="n">
        <v>22</v>
      </c>
      <c r="G616" s="20" t="s">
        <v>554</v>
      </c>
    </row>
    <row r="617" customFormat="false" ht="15" hidden="false" customHeight="true" outlineLevel="0" collapsed="false">
      <c r="B617" s="17" t="n">
        <v>46082</v>
      </c>
      <c r="C617" s="18" t="s">
        <v>574</v>
      </c>
      <c r="D617" s="18" t="s">
        <v>106</v>
      </c>
      <c r="E617" s="18" t="s">
        <v>72</v>
      </c>
      <c r="F617" s="26" t="n">
        <v>1508.5</v>
      </c>
      <c r="G617" s="20" t="s">
        <v>554</v>
      </c>
    </row>
    <row r="618" customFormat="false" ht="15" hidden="false" customHeight="true" outlineLevel="0" collapsed="false">
      <c r="B618" s="17" t="n">
        <v>46082</v>
      </c>
      <c r="C618" s="18" t="s">
        <v>915</v>
      </c>
      <c r="D618" s="18" t="s">
        <v>106</v>
      </c>
      <c r="E618" s="18" t="s">
        <v>88</v>
      </c>
      <c r="F618" s="26" t="n">
        <v>16133</v>
      </c>
      <c r="G618" s="20" t="s">
        <v>554</v>
      </c>
    </row>
    <row r="619" customFormat="false" ht="15" hidden="false" customHeight="true" outlineLevel="0" collapsed="false">
      <c r="B619" s="17" t="n">
        <v>46082</v>
      </c>
      <c r="C619" s="18" t="s">
        <v>563</v>
      </c>
      <c r="D619" s="18" t="s">
        <v>106</v>
      </c>
      <c r="E619" s="18" t="s">
        <v>50</v>
      </c>
      <c r="F619" s="26" t="n">
        <v>3950</v>
      </c>
      <c r="G619" s="20" t="s">
        <v>554</v>
      </c>
    </row>
    <row r="620" customFormat="false" ht="15" hidden="false" customHeight="true" outlineLevel="0" collapsed="false">
      <c r="B620" s="17" t="n">
        <v>46082</v>
      </c>
      <c r="C620" s="18" t="s">
        <v>556</v>
      </c>
      <c r="D620" s="18" t="s">
        <v>106</v>
      </c>
      <c r="E620" s="18" t="s">
        <v>51</v>
      </c>
      <c r="F620" s="26" t="n">
        <v>29875.95</v>
      </c>
      <c r="G620" s="20" t="s">
        <v>554</v>
      </c>
    </row>
    <row r="621" customFormat="false" ht="15" hidden="false" customHeight="true" outlineLevel="0" collapsed="false">
      <c r="B621" s="17" t="n">
        <v>46082</v>
      </c>
      <c r="C621" s="18" t="s">
        <v>561</v>
      </c>
      <c r="D621" s="18" t="s">
        <v>106</v>
      </c>
      <c r="E621" s="18" t="s">
        <v>62</v>
      </c>
      <c r="F621" s="26" t="n">
        <v>770.74</v>
      </c>
      <c r="G621" s="20" t="s">
        <v>554</v>
      </c>
    </row>
    <row r="622" customFormat="false" ht="15" hidden="false" customHeight="true" outlineLevel="0" collapsed="false">
      <c r="B622" s="17" t="n">
        <v>46082</v>
      </c>
      <c r="C622" s="18" t="s">
        <v>560</v>
      </c>
      <c r="D622" s="18" t="s">
        <v>106</v>
      </c>
      <c r="E622" s="18" t="s">
        <v>64</v>
      </c>
      <c r="F622" s="26" t="n">
        <v>928.23</v>
      </c>
      <c r="G622" s="20" t="s">
        <v>554</v>
      </c>
    </row>
    <row r="623" customFormat="false" ht="15" hidden="false" customHeight="true" outlineLevel="0" collapsed="false">
      <c r="B623" s="17" t="n">
        <v>46082</v>
      </c>
      <c r="C623" s="18" t="s">
        <v>916</v>
      </c>
      <c r="D623" s="18" t="s">
        <v>106</v>
      </c>
      <c r="E623" s="18" t="s">
        <v>36</v>
      </c>
      <c r="F623" s="26" t="n">
        <v>9082.96</v>
      </c>
      <c r="G623" s="20" t="s">
        <v>554</v>
      </c>
    </row>
    <row r="624" customFormat="false" ht="15" hidden="false" customHeight="true" outlineLevel="0" collapsed="false">
      <c r="B624" s="17" t="n">
        <v>46082</v>
      </c>
      <c r="C624" s="18" t="s">
        <v>917</v>
      </c>
      <c r="D624" s="18" t="s">
        <v>106</v>
      </c>
      <c r="E624" s="18" t="s">
        <v>26</v>
      </c>
      <c r="F624" s="26" t="n">
        <v>73606.6</v>
      </c>
      <c r="G624" s="20" t="s">
        <v>554</v>
      </c>
    </row>
    <row r="625" customFormat="false" ht="15" hidden="false" customHeight="true" outlineLevel="0" collapsed="false">
      <c r="B625" s="17" t="n">
        <v>46082</v>
      </c>
      <c r="C625" s="18" t="s">
        <v>572</v>
      </c>
      <c r="D625" s="18" t="s">
        <v>106</v>
      </c>
      <c r="E625" s="18" t="s">
        <v>65</v>
      </c>
      <c r="F625" s="26" t="n">
        <v>126.97</v>
      </c>
      <c r="G625" s="20" t="s">
        <v>554</v>
      </c>
    </row>
    <row r="626" customFormat="false" ht="15" hidden="false" customHeight="true" outlineLevel="0" collapsed="false">
      <c r="B626" s="17" t="n">
        <v>46082</v>
      </c>
      <c r="C626" s="18" t="s">
        <v>918</v>
      </c>
      <c r="D626" s="18" t="s">
        <v>106</v>
      </c>
      <c r="E626" s="18" t="s">
        <v>29</v>
      </c>
      <c r="F626" s="26" t="n">
        <v>5994.8</v>
      </c>
      <c r="G626" s="20" t="s">
        <v>554</v>
      </c>
    </row>
    <row r="627" customFormat="false" ht="15" hidden="false" customHeight="true" outlineLevel="0" collapsed="false">
      <c r="B627" s="17" t="n">
        <v>46082</v>
      </c>
      <c r="C627" s="18" t="s">
        <v>586</v>
      </c>
      <c r="D627" s="18" t="s">
        <v>106</v>
      </c>
      <c r="E627" s="18" t="s">
        <v>95</v>
      </c>
      <c r="F627" s="26" t="n">
        <v>1677.63</v>
      </c>
      <c r="G627" s="20" t="s">
        <v>554</v>
      </c>
    </row>
    <row r="628" customFormat="false" ht="15" hidden="false" customHeight="true" outlineLevel="0" collapsed="false">
      <c r="B628" s="17" t="n">
        <v>46082</v>
      </c>
      <c r="C628" s="18" t="s">
        <v>562</v>
      </c>
      <c r="D628" s="18" t="s">
        <v>106</v>
      </c>
      <c r="E628" s="18" t="s">
        <v>49</v>
      </c>
      <c r="F628" s="26" t="n">
        <v>2400</v>
      </c>
      <c r="G628" s="20" t="s">
        <v>554</v>
      </c>
    </row>
    <row r="629" customFormat="false" ht="15" hidden="false" customHeight="true" outlineLevel="0" collapsed="false">
      <c r="B629" s="17" t="n">
        <v>46082</v>
      </c>
      <c r="C629" s="18" t="s">
        <v>557</v>
      </c>
      <c r="D629" s="18" t="s">
        <v>106</v>
      </c>
      <c r="E629" s="18" t="s">
        <v>59</v>
      </c>
      <c r="F629" s="26" t="n">
        <v>3750.01</v>
      </c>
      <c r="G629" s="20" t="s">
        <v>554</v>
      </c>
    </row>
    <row r="630" customFormat="false" ht="15" hidden="false" customHeight="true" outlineLevel="0" collapsed="false">
      <c r="B630" s="17" t="n">
        <v>46082</v>
      </c>
      <c r="C630" s="18" t="s">
        <v>579</v>
      </c>
      <c r="D630" s="18" t="s">
        <v>106</v>
      </c>
      <c r="E630" s="18" t="s">
        <v>54</v>
      </c>
      <c r="F630" s="26" t="n">
        <v>1085</v>
      </c>
      <c r="G630" s="20" t="s">
        <v>554</v>
      </c>
    </row>
    <row r="631" customFormat="false" ht="15" hidden="false" customHeight="true" outlineLevel="0" collapsed="false">
      <c r="B631" s="17" t="n">
        <v>46082</v>
      </c>
      <c r="C631" s="18" t="s">
        <v>565</v>
      </c>
      <c r="D631" s="18" t="s">
        <v>106</v>
      </c>
      <c r="E631" s="18" t="s">
        <v>69</v>
      </c>
      <c r="F631" s="26" t="n">
        <v>203.75</v>
      </c>
      <c r="G631" s="20" t="s">
        <v>554</v>
      </c>
    </row>
    <row r="632" customFormat="false" ht="15" hidden="false" customHeight="true" outlineLevel="0" collapsed="false">
      <c r="B632" s="17" t="n">
        <v>46113</v>
      </c>
      <c r="C632" s="18" t="s">
        <v>919</v>
      </c>
      <c r="D632" s="18" t="s">
        <v>106</v>
      </c>
      <c r="E632" s="18" t="s">
        <v>31</v>
      </c>
      <c r="F632" s="26" t="n">
        <v>15915.1</v>
      </c>
      <c r="G632" s="20" t="s">
        <v>590</v>
      </c>
    </row>
    <row r="633" customFormat="false" ht="15" hidden="false" customHeight="true" outlineLevel="0" collapsed="false">
      <c r="B633" s="17" t="n">
        <v>46113</v>
      </c>
      <c r="C633" s="18" t="s">
        <v>616</v>
      </c>
      <c r="D633" s="18" t="s">
        <v>106</v>
      </c>
      <c r="E633" s="18" t="s">
        <v>84</v>
      </c>
      <c r="F633" s="26" t="n">
        <v>2500</v>
      </c>
      <c r="G633" s="20" t="s">
        <v>590</v>
      </c>
    </row>
    <row r="634" customFormat="false" ht="15" hidden="false" customHeight="true" outlineLevel="0" collapsed="false">
      <c r="B634" s="17" t="n">
        <v>46113</v>
      </c>
      <c r="C634" s="18" t="s">
        <v>591</v>
      </c>
      <c r="D634" s="18" t="s">
        <v>106</v>
      </c>
      <c r="E634" s="18" t="s">
        <v>52</v>
      </c>
      <c r="F634" s="26" t="n">
        <v>8100</v>
      </c>
      <c r="G634" s="20" t="s">
        <v>590</v>
      </c>
    </row>
    <row r="635" customFormat="false" ht="15" hidden="false" customHeight="true" outlineLevel="0" collapsed="false">
      <c r="B635" s="17" t="n">
        <v>46113</v>
      </c>
      <c r="C635" s="18" t="s">
        <v>617</v>
      </c>
      <c r="D635" s="18" t="s">
        <v>106</v>
      </c>
      <c r="E635" s="18" t="s">
        <v>81</v>
      </c>
      <c r="F635" s="26" t="n">
        <v>3500</v>
      </c>
      <c r="G635" s="20" t="s">
        <v>590</v>
      </c>
    </row>
    <row r="636" customFormat="false" ht="15" hidden="false" customHeight="true" outlineLevel="0" collapsed="false">
      <c r="B636" s="17" t="n">
        <v>46113</v>
      </c>
      <c r="C636" s="18" t="s">
        <v>920</v>
      </c>
      <c r="D636" s="18" t="s">
        <v>106</v>
      </c>
      <c r="E636" s="18" t="s">
        <v>34</v>
      </c>
      <c r="F636" s="26" t="n">
        <v>15995.79</v>
      </c>
      <c r="G636" s="20" t="s">
        <v>590</v>
      </c>
    </row>
    <row r="637" customFormat="false" ht="15" hidden="false" customHeight="true" outlineLevel="0" collapsed="false">
      <c r="B637" s="17" t="n">
        <v>46113</v>
      </c>
      <c r="C637" s="18" t="s">
        <v>921</v>
      </c>
      <c r="D637" s="18" t="s">
        <v>106</v>
      </c>
      <c r="E637" s="18" t="s">
        <v>38</v>
      </c>
      <c r="F637" s="26" t="n">
        <v>667.9</v>
      </c>
      <c r="G637" s="20" t="s">
        <v>590</v>
      </c>
    </row>
    <row r="638" customFormat="false" ht="15" hidden="false" customHeight="true" outlineLevel="0" collapsed="false">
      <c r="B638" s="17" t="n">
        <v>46113</v>
      </c>
      <c r="C638" s="18" t="s">
        <v>922</v>
      </c>
      <c r="D638" s="18" t="s">
        <v>106</v>
      </c>
      <c r="E638" s="18" t="s">
        <v>40</v>
      </c>
      <c r="F638" s="26" t="n">
        <v>1190</v>
      </c>
      <c r="G638" s="20" t="s">
        <v>590</v>
      </c>
    </row>
    <row r="639" customFormat="false" ht="15" hidden="false" customHeight="true" outlineLevel="0" collapsed="false">
      <c r="B639" s="17" t="n">
        <v>46113</v>
      </c>
      <c r="C639" s="18" t="s">
        <v>604</v>
      </c>
      <c r="D639" s="18" t="s">
        <v>106</v>
      </c>
      <c r="E639" s="18" t="s">
        <v>43</v>
      </c>
      <c r="F639" s="26" t="n">
        <v>1349.31</v>
      </c>
      <c r="G639" s="20" t="s">
        <v>590</v>
      </c>
    </row>
    <row r="640" customFormat="false" ht="15" hidden="false" customHeight="true" outlineLevel="0" collapsed="false">
      <c r="B640" s="17" t="n">
        <v>46113</v>
      </c>
      <c r="C640" s="18" t="s">
        <v>923</v>
      </c>
      <c r="D640" s="18" t="s">
        <v>106</v>
      </c>
      <c r="E640" s="18" t="s">
        <v>41</v>
      </c>
      <c r="F640" s="26" t="n">
        <v>6506.59</v>
      </c>
      <c r="G640" s="20" t="s">
        <v>590</v>
      </c>
    </row>
    <row r="641" customFormat="false" ht="15" hidden="false" customHeight="true" outlineLevel="0" collapsed="false">
      <c r="B641" s="17" t="n">
        <v>46113</v>
      </c>
      <c r="C641" s="18" t="s">
        <v>607</v>
      </c>
      <c r="D641" s="18" t="s">
        <v>106</v>
      </c>
      <c r="E641" s="18" t="s">
        <v>60</v>
      </c>
      <c r="F641" s="26" t="n">
        <v>327.05</v>
      </c>
      <c r="G641" s="20" t="s">
        <v>590</v>
      </c>
    </row>
    <row r="642" customFormat="false" ht="15" hidden="false" customHeight="true" outlineLevel="0" collapsed="false">
      <c r="B642" s="17" t="n">
        <v>46113</v>
      </c>
      <c r="C642" s="18" t="s">
        <v>618</v>
      </c>
      <c r="D642" s="18" t="s">
        <v>106</v>
      </c>
      <c r="E642" s="18" t="s">
        <v>89</v>
      </c>
      <c r="F642" s="26" t="n">
        <v>2055.6</v>
      </c>
      <c r="G642" s="20" t="s">
        <v>590</v>
      </c>
    </row>
    <row r="643" customFormat="false" ht="15" hidden="false" customHeight="true" outlineLevel="0" collapsed="false">
      <c r="B643" s="17" t="n">
        <v>46113</v>
      </c>
      <c r="C643" s="18" t="s">
        <v>924</v>
      </c>
      <c r="D643" s="18" t="s">
        <v>106</v>
      </c>
      <c r="E643" s="18" t="s">
        <v>33</v>
      </c>
      <c r="F643" s="26" t="n">
        <v>5960</v>
      </c>
      <c r="G643" s="20" t="s">
        <v>590</v>
      </c>
    </row>
    <row r="644" customFormat="false" ht="15" hidden="false" customHeight="true" outlineLevel="0" collapsed="false">
      <c r="B644" s="17" t="n">
        <v>46113</v>
      </c>
      <c r="C644" s="18" t="s">
        <v>602</v>
      </c>
      <c r="D644" s="18" t="s">
        <v>106</v>
      </c>
      <c r="E644" s="18" t="s">
        <v>42</v>
      </c>
      <c r="F644" s="26" t="n">
        <v>1927.86</v>
      </c>
      <c r="G644" s="20" t="s">
        <v>590</v>
      </c>
    </row>
    <row r="645" customFormat="false" ht="15" hidden="false" customHeight="true" outlineLevel="0" collapsed="false">
      <c r="B645" s="17" t="n">
        <v>46113</v>
      </c>
      <c r="C645" s="18" t="s">
        <v>925</v>
      </c>
      <c r="D645" s="18" t="s">
        <v>106</v>
      </c>
      <c r="E645" s="18" t="s">
        <v>73</v>
      </c>
      <c r="F645" s="26" t="n">
        <v>6309</v>
      </c>
      <c r="G645" s="20" t="s">
        <v>590</v>
      </c>
    </row>
    <row r="646" customFormat="false" ht="15" hidden="false" customHeight="true" outlineLevel="0" collapsed="false">
      <c r="B646" s="17" t="n">
        <v>46113</v>
      </c>
      <c r="C646" s="18" t="s">
        <v>926</v>
      </c>
      <c r="D646" s="18" t="s">
        <v>106</v>
      </c>
      <c r="E646" s="18" t="s">
        <v>37</v>
      </c>
      <c r="F646" s="26" t="n">
        <v>942</v>
      </c>
      <c r="G646" s="20" t="s">
        <v>590</v>
      </c>
    </row>
    <row r="647" customFormat="false" ht="15" hidden="false" customHeight="true" outlineLevel="0" collapsed="false">
      <c r="B647" s="17" t="n">
        <v>46113</v>
      </c>
      <c r="C647" s="18" t="s">
        <v>927</v>
      </c>
      <c r="D647" s="18" t="s">
        <v>106</v>
      </c>
      <c r="E647" s="18" t="s">
        <v>35</v>
      </c>
      <c r="F647" s="26" t="n">
        <v>4060</v>
      </c>
      <c r="G647" s="20" t="s">
        <v>590</v>
      </c>
    </row>
    <row r="648" customFormat="false" ht="15" hidden="false" customHeight="true" outlineLevel="0" collapsed="false">
      <c r="B648" s="17" t="n">
        <v>46113</v>
      </c>
      <c r="C648" s="18" t="s">
        <v>928</v>
      </c>
      <c r="D648" s="18" t="s">
        <v>106</v>
      </c>
      <c r="E648" s="18" t="s">
        <v>30</v>
      </c>
      <c r="F648" s="26" t="n">
        <v>50989</v>
      </c>
      <c r="G648" s="20" t="s">
        <v>590</v>
      </c>
    </row>
    <row r="649" customFormat="false" ht="15" hidden="false" customHeight="true" outlineLevel="0" collapsed="false">
      <c r="B649" s="17" t="n">
        <v>46113</v>
      </c>
      <c r="C649" s="18" t="s">
        <v>611</v>
      </c>
      <c r="D649" s="18" t="s">
        <v>106</v>
      </c>
      <c r="E649" s="18" t="s">
        <v>85</v>
      </c>
      <c r="F649" s="26" t="n">
        <v>3216.94</v>
      </c>
      <c r="G649" s="20" t="s">
        <v>590</v>
      </c>
    </row>
    <row r="650" customFormat="false" ht="15" hidden="false" customHeight="true" outlineLevel="0" collapsed="false">
      <c r="B650" s="17" t="n">
        <v>46113</v>
      </c>
      <c r="C650" s="18" t="s">
        <v>596</v>
      </c>
      <c r="D650" s="18" t="s">
        <v>106</v>
      </c>
      <c r="E650" s="18" t="s">
        <v>61</v>
      </c>
      <c r="F650" s="26" t="n">
        <v>6258.05</v>
      </c>
      <c r="G650" s="20" t="s">
        <v>590</v>
      </c>
    </row>
    <row r="651" customFormat="false" ht="15" hidden="false" customHeight="true" outlineLevel="0" collapsed="false">
      <c r="B651" s="17" t="n">
        <v>46113</v>
      </c>
      <c r="C651" s="18" t="s">
        <v>594</v>
      </c>
      <c r="D651" s="18" t="s">
        <v>106</v>
      </c>
      <c r="E651" s="18" t="s">
        <v>87</v>
      </c>
      <c r="F651" s="26" t="n">
        <v>2623.23</v>
      </c>
      <c r="G651" s="20" t="s">
        <v>590</v>
      </c>
    </row>
    <row r="652" customFormat="false" ht="15" hidden="false" customHeight="true" outlineLevel="0" collapsed="false">
      <c r="B652" s="17" t="n">
        <v>46113</v>
      </c>
      <c r="C652" s="18" t="s">
        <v>614</v>
      </c>
      <c r="D652" s="18" t="s">
        <v>106</v>
      </c>
      <c r="E652" s="18" t="s">
        <v>70</v>
      </c>
      <c r="F652" s="26" t="n">
        <v>7750</v>
      </c>
      <c r="G652" s="20" t="s">
        <v>590</v>
      </c>
    </row>
    <row r="653" customFormat="false" ht="15" hidden="false" customHeight="true" outlineLevel="0" collapsed="false">
      <c r="B653" s="17" t="n">
        <v>46113</v>
      </c>
      <c r="C653" s="18" t="s">
        <v>929</v>
      </c>
      <c r="D653" s="18" t="s">
        <v>106</v>
      </c>
      <c r="E653" s="18" t="s">
        <v>28</v>
      </c>
      <c r="F653" s="26" t="n">
        <v>25754.8</v>
      </c>
      <c r="G653" s="20" t="s">
        <v>590</v>
      </c>
    </row>
    <row r="654" customFormat="false" ht="15" hidden="false" customHeight="true" outlineLevel="0" collapsed="false">
      <c r="B654" s="17" t="n">
        <v>46113</v>
      </c>
      <c r="C654" s="18" t="s">
        <v>610</v>
      </c>
      <c r="D654" s="18" t="s">
        <v>106</v>
      </c>
      <c r="E654" s="18" t="s">
        <v>90</v>
      </c>
      <c r="F654" s="26" t="n">
        <v>28.5</v>
      </c>
      <c r="G654" s="20" t="s">
        <v>590</v>
      </c>
    </row>
    <row r="655" customFormat="false" ht="15" hidden="false" customHeight="true" outlineLevel="0" collapsed="false">
      <c r="B655" s="17" t="n">
        <v>46113</v>
      </c>
      <c r="C655" s="18" t="s">
        <v>605</v>
      </c>
      <c r="D655" s="18" t="s">
        <v>106</v>
      </c>
      <c r="E655" s="18" t="s">
        <v>46</v>
      </c>
      <c r="F655" s="26" t="n">
        <v>150</v>
      </c>
      <c r="G655" s="20" t="s">
        <v>590</v>
      </c>
    </row>
    <row r="656" customFormat="false" ht="15" hidden="false" customHeight="true" outlineLevel="0" collapsed="false">
      <c r="B656" s="17" t="n">
        <v>46113</v>
      </c>
      <c r="C656" s="18" t="s">
        <v>613</v>
      </c>
      <c r="D656" s="18" t="s">
        <v>106</v>
      </c>
      <c r="E656" s="18" t="s">
        <v>57</v>
      </c>
      <c r="F656" s="26" t="n">
        <v>13.74</v>
      </c>
      <c r="G656" s="20" t="s">
        <v>590</v>
      </c>
    </row>
    <row r="657" customFormat="false" ht="15" hidden="false" customHeight="true" outlineLevel="0" collapsed="false">
      <c r="B657" s="17" t="n">
        <v>46113</v>
      </c>
      <c r="C657" s="18" t="s">
        <v>595</v>
      </c>
      <c r="D657" s="18" t="s">
        <v>106</v>
      </c>
      <c r="E657" s="18" t="s">
        <v>67</v>
      </c>
      <c r="F657" s="26" t="n">
        <v>168.44</v>
      </c>
      <c r="G657" s="20" t="s">
        <v>590</v>
      </c>
    </row>
    <row r="658" customFormat="false" ht="15" hidden="false" customHeight="true" outlineLevel="0" collapsed="false">
      <c r="B658" s="17" t="n">
        <v>46113</v>
      </c>
      <c r="C658" s="18" t="s">
        <v>615</v>
      </c>
      <c r="D658" s="18" t="s">
        <v>106</v>
      </c>
      <c r="E658" s="18" t="s">
        <v>82</v>
      </c>
      <c r="F658" s="26" t="n">
        <v>89.29</v>
      </c>
      <c r="G658" s="20" t="s">
        <v>590</v>
      </c>
    </row>
    <row r="659" customFormat="false" ht="15" hidden="false" customHeight="true" outlineLevel="0" collapsed="false">
      <c r="B659" s="17" t="n">
        <v>46113</v>
      </c>
      <c r="C659" s="18" t="s">
        <v>592</v>
      </c>
      <c r="D659" s="18" t="s">
        <v>106</v>
      </c>
      <c r="E659" s="18" t="s">
        <v>51</v>
      </c>
      <c r="F659" s="26" t="n">
        <v>30658.57</v>
      </c>
      <c r="G659" s="20" t="s">
        <v>590</v>
      </c>
    </row>
    <row r="660" customFormat="false" ht="15" hidden="false" customHeight="true" outlineLevel="0" collapsed="false">
      <c r="B660" s="17" t="n">
        <v>46113</v>
      </c>
      <c r="C660" s="18" t="s">
        <v>598</v>
      </c>
      <c r="D660" s="18" t="s">
        <v>106</v>
      </c>
      <c r="E660" s="18" t="s">
        <v>62</v>
      </c>
      <c r="F660" s="26" t="n">
        <v>508.74</v>
      </c>
      <c r="G660" s="20" t="s">
        <v>590</v>
      </c>
    </row>
    <row r="661" customFormat="false" ht="15" hidden="false" customHeight="true" outlineLevel="0" collapsed="false">
      <c r="B661" s="17" t="n">
        <v>46113</v>
      </c>
      <c r="C661" s="18" t="s">
        <v>597</v>
      </c>
      <c r="D661" s="18" t="s">
        <v>106</v>
      </c>
      <c r="E661" s="18" t="s">
        <v>64</v>
      </c>
      <c r="F661" s="26" t="n">
        <v>1198.14</v>
      </c>
      <c r="G661" s="20" t="s">
        <v>590</v>
      </c>
    </row>
    <row r="662" customFormat="false" ht="15" hidden="false" customHeight="true" outlineLevel="0" collapsed="false">
      <c r="B662" s="17" t="n">
        <v>46113</v>
      </c>
      <c r="C662" s="18" t="s">
        <v>930</v>
      </c>
      <c r="D662" s="18" t="s">
        <v>106</v>
      </c>
      <c r="E662" s="18" t="s">
        <v>36</v>
      </c>
      <c r="F662" s="26" t="n">
        <v>1312.53</v>
      </c>
      <c r="G662" s="20" t="s">
        <v>590</v>
      </c>
    </row>
    <row r="663" customFormat="false" ht="15" hidden="false" customHeight="true" outlineLevel="0" collapsed="false">
      <c r="B663" s="17" t="n">
        <v>46113</v>
      </c>
      <c r="C663" s="18" t="s">
        <v>931</v>
      </c>
      <c r="D663" s="18" t="s">
        <v>106</v>
      </c>
      <c r="E663" s="18" t="s">
        <v>26</v>
      </c>
      <c r="F663" s="26" t="n">
        <v>73274.79</v>
      </c>
      <c r="G663" s="20" t="s">
        <v>590</v>
      </c>
    </row>
    <row r="664" customFormat="false" ht="15" hidden="false" customHeight="true" outlineLevel="0" collapsed="false">
      <c r="B664" s="17" t="n">
        <v>46113</v>
      </c>
      <c r="C664" s="18" t="s">
        <v>606</v>
      </c>
      <c r="D664" s="18" t="s">
        <v>106</v>
      </c>
      <c r="E664" s="18" t="s">
        <v>65</v>
      </c>
      <c r="F664" s="26" t="n">
        <v>130</v>
      </c>
      <c r="G664" s="20" t="s">
        <v>590</v>
      </c>
    </row>
    <row r="665" customFormat="false" ht="15" hidden="false" customHeight="true" outlineLevel="0" collapsed="false">
      <c r="B665" s="17" t="n">
        <v>46113</v>
      </c>
      <c r="C665" s="18" t="s">
        <v>932</v>
      </c>
      <c r="D665" s="18" t="s">
        <v>106</v>
      </c>
      <c r="E665" s="18" t="s">
        <v>29</v>
      </c>
      <c r="F665" s="26" t="n">
        <v>5834.3</v>
      </c>
      <c r="G665" s="20" t="s">
        <v>590</v>
      </c>
    </row>
    <row r="666" customFormat="false" ht="15" hidden="false" customHeight="true" outlineLevel="0" collapsed="false">
      <c r="B666" s="17" t="n">
        <v>46113</v>
      </c>
      <c r="C666" s="18" t="s">
        <v>619</v>
      </c>
      <c r="D666" s="18" t="s">
        <v>106</v>
      </c>
      <c r="E666" s="18" t="s">
        <v>95</v>
      </c>
      <c r="F666" s="26" t="n">
        <v>2147</v>
      </c>
      <c r="G666" s="20" t="s">
        <v>590</v>
      </c>
    </row>
    <row r="667" customFormat="false" ht="15" hidden="false" customHeight="true" outlineLevel="0" collapsed="false">
      <c r="B667" s="17" t="n">
        <v>46113</v>
      </c>
      <c r="C667" s="18" t="s">
        <v>599</v>
      </c>
      <c r="D667" s="18" t="s">
        <v>106</v>
      </c>
      <c r="E667" s="18" t="s">
        <v>49</v>
      </c>
      <c r="F667" s="26" t="n">
        <v>1640</v>
      </c>
      <c r="G667" s="20" t="s">
        <v>590</v>
      </c>
    </row>
    <row r="668" customFormat="false" ht="15" hidden="false" customHeight="true" outlineLevel="0" collapsed="false">
      <c r="B668" s="17" t="n">
        <v>46113</v>
      </c>
      <c r="C668" s="18" t="s">
        <v>593</v>
      </c>
      <c r="D668" s="18" t="s">
        <v>106</v>
      </c>
      <c r="E668" s="18" t="s">
        <v>59</v>
      </c>
      <c r="F668" s="26" t="n">
        <v>3650</v>
      </c>
      <c r="G668" s="20" t="s">
        <v>590</v>
      </c>
    </row>
    <row r="669" customFormat="false" ht="15" hidden="false" customHeight="true" outlineLevel="0" collapsed="false">
      <c r="B669" s="17" t="n">
        <v>46113</v>
      </c>
      <c r="C669" s="18" t="s">
        <v>612</v>
      </c>
      <c r="D669" s="18" t="s">
        <v>106</v>
      </c>
      <c r="E669" s="18" t="s">
        <v>54</v>
      </c>
      <c r="F669" s="26" t="n">
        <v>957</v>
      </c>
      <c r="G669" s="20" t="s">
        <v>590</v>
      </c>
    </row>
    <row r="670" customFormat="false" ht="15" hidden="false" customHeight="true" outlineLevel="0" collapsed="false">
      <c r="B670" s="17" t="n">
        <v>46143</v>
      </c>
      <c r="C670" s="18" t="s">
        <v>933</v>
      </c>
      <c r="D670" s="18" t="s">
        <v>106</v>
      </c>
      <c r="E670" s="18" t="s">
        <v>31</v>
      </c>
      <c r="F670" s="26" t="n">
        <v>9031.2</v>
      </c>
      <c r="G670" s="20" t="s">
        <v>623</v>
      </c>
    </row>
    <row r="671" customFormat="false" ht="15" hidden="false" customHeight="true" outlineLevel="0" collapsed="false">
      <c r="B671" s="17" t="n">
        <v>46143</v>
      </c>
      <c r="C671" s="18" t="s">
        <v>653</v>
      </c>
      <c r="D671" s="18" t="s">
        <v>106</v>
      </c>
      <c r="E671" s="18" t="s">
        <v>84</v>
      </c>
      <c r="F671" s="26" t="n">
        <v>2500</v>
      </c>
      <c r="G671" s="20" t="s">
        <v>623</v>
      </c>
    </row>
    <row r="672" customFormat="false" ht="15" hidden="false" customHeight="true" outlineLevel="0" collapsed="false">
      <c r="B672" s="17" t="n">
        <v>46143</v>
      </c>
      <c r="C672" s="18" t="s">
        <v>639</v>
      </c>
      <c r="D672" s="18" t="s">
        <v>106</v>
      </c>
      <c r="E672" s="18" t="s">
        <v>45</v>
      </c>
      <c r="F672" s="26" t="n">
        <v>202</v>
      </c>
      <c r="G672" s="20" t="s">
        <v>623</v>
      </c>
    </row>
    <row r="673" customFormat="false" ht="15" hidden="false" customHeight="true" outlineLevel="0" collapsed="false">
      <c r="B673" s="17" t="n">
        <v>46143</v>
      </c>
      <c r="C673" s="18" t="s">
        <v>624</v>
      </c>
      <c r="D673" s="18" t="s">
        <v>106</v>
      </c>
      <c r="E673" s="18" t="s">
        <v>52</v>
      </c>
      <c r="F673" s="26" t="n">
        <v>8100</v>
      </c>
      <c r="G673" s="20" t="s">
        <v>623</v>
      </c>
    </row>
    <row r="674" customFormat="false" ht="15" hidden="false" customHeight="true" outlineLevel="0" collapsed="false">
      <c r="B674" s="17" t="n">
        <v>46143</v>
      </c>
      <c r="C674" s="18" t="s">
        <v>654</v>
      </c>
      <c r="D674" s="18" t="s">
        <v>106</v>
      </c>
      <c r="E674" s="18" t="s">
        <v>81</v>
      </c>
      <c r="F674" s="26" t="n">
        <v>3500</v>
      </c>
      <c r="G674" s="20" t="s">
        <v>623</v>
      </c>
    </row>
    <row r="675" customFormat="false" ht="15" hidden="false" customHeight="true" outlineLevel="0" collapsed="false">
      <c r="B675" s="17" t="n">
        <v>46143</v>
      </c>
      <c r="C675" s="18" t="s">
        <v>934</v>
      </c>
      <c r="D675" s="18" t="s">
        <v>106</v>
      </c>
      <c r="E675" s="18" t="s">
        <v>34</v>
      </c>
      <c r="F675" s="26" t="n">
        <v>20369.8</v>
      </c>
      <c r="G675" s="20" t="s">
        <v>623</v>
      </c>
    </row>
    <row r="676" customFormat="false" ht="15" hidden="false" customHeight="true" outlineLevel="0" collapsed="false">
      <c r="B676" s="17" t="n">
        <v>46143</v>
      </c>
      <c r="C676" s="18" t="s">
        <v>935</v>
      </c>
      <c r="D676" s="18" t="s">
        <v>106</v>
      </c>
      <c r="E676" s="18" t="s">
        <v>38</v>
      </c>
      <c r="F676" s="26" t="n">
        <v>384.7</v>
      </c>
      <c r="G676" s="20" t="s">
        <v>623</v>
      </c>
    </row>
    <row r="677" customFormat="false" ht="15" hidden="false" customHeight="true" outlineLevel="0" collapsed="false">
      <c r="B677" s="17" t="n">
        <v>46143</v>
      </c>
      <c r="C677" s="18" t="s">
        <v>936</v>
      </c>
      <c r="D677" s="18" t="s">
        <v>106</v>
      </c>
      <c r="E677" s="18" t="s">
        <v>937</v>
      </c>
      <c r="F677" s="26" t="n">
        <v>100</v>
      </c>
      <c r="G677" s="20" t="s">
        <v>623</v>
      </c>
    </row>
    <row r="678" customFormat="false" ht="15" hidden="false" customHeight="true" outlineLevel="0" collapsed="false">
      <c r="B678" s="17" t="n">
        <v>46143</v>
      </c>
      <c r="C678" s="18" t="s">
        <v>640</v>
      </c>
      <c r="D678" s="18" t="s">
        <v>106</v>
      </c>
      <c r="E678" s="18" t="s">
        <v>43</v>
      </c>
      <c r="F678" s="26" t="n">
        <v>967.75</v>
      </c>
      <c r="G678" s="20" t="s">
        <v>623</v>
      </c>
    </row>
    <row r="679" customFormat="false" ht="15" hidden="false" customHeight="true" outlineLevel="0" collapsed="false">
      <c r="B679" s="17" t="n">
        <v>46143</v>
      </c>
      <c r="C679" s="18" t="s">
        <v>938</v>
      </c>
      <c r="D679" s="18" t="s">
        <v>106</v>
      </c>
      <c r="E679" s="18" t="s">
        <v>39</v>
      </c>
      <c r="F679" s="26" t="n">
        <v>73</v>
      </c>
      <c r="G679" s="20" t="s">
        <v>623</v>
      </c>
    </row>
    <row r="680" customFormat="false" ht="15" hidden="false" customHeight="true" outlineLevel="0" collapsed="false">
      <c r="B680" s="17" t="n">
        <v>46143</v>
      </c>
      <c r="C680" s="18" t="s">
        <v>939</v>
      </c>
      <c r="D680" s="18" t="s">
        <v>106</v>
      </c>
      <c r="E680" s="18" t="s">
        <v>41</v>
      </c>
      <c r="F680" s="26" t="n">
        <v>8976.75</v>
      </c>
      <c r="G680" s="20" t="s">
        <v>623</v>
      </c>
    </row>
    <row r="681" customFormat="false" ht="15" hidden="false" customHeight="true" outlineLevel="0" collapsed="false">
      <c r="B681" s="17" t="n">
        <v>46143</v>
      </c>
      <c r="C681" s="18" t="s">
        <v>644</v>
      </c>
      <c r="D681" s="18" t="s">
        <v>106</v>
      </c>
      <c r="E681" s="18" t="s">
        <v>60</v>
      </c>
      <c r="F681" s="26" t="n">
        <v>404.49</v>
      </c>
      <c r="G681" s="20" t="s">
        <v>623</v>
      </c>
    </row>
    <row r="682" customFormat="false" ht="15" hidden="false" customHeight="true" outlineLevel="0" collapsed="false">
      <c r="B682" s="17" t="n">
        <v>46143</v>
      </c>
      <c r="C682" s="18" t="s">
        <v>655</v>
      </c>
      <c r="D682" s="18" t="s">
        <v>106</v>
      </c>
      <c r="E682" s="18" t="s">
        <v>89</v>
      </c>
      <c r="F682" s="26" t="n">
        <v>2077.21</v>
      </c>
      <c r="G682" s="20" t="s">
        <v>623</v>
      </c>
    </row>
    <row r="683" customFormat="false" ht="15" hidden="false" customHeight="true" outlineLevel="0" collapsed="false">
      <c r="B683" s="17" t="n">
        <v>46143</v>
      </c>
      <c r="C683" s="18" t="s">
        <v>940</v>
      </c>
      <c r="D683" s="18" t="s">
        <v>106</v>
      </c>
      <c r="E683" s="18" t="s">
        <v>33</v>
      </c>
      <c r="F683" s="26" t="n">
        <v>2200</v>
      </c>
      <c r="G683" s="20" t="s">
        <v>623</v>
      </c>
    </row>
    <row r="684" customFormat="false" ht="15" hidden="false" customHeight="true" outlineLevel="0" collapsed="false">
      <c r="B684" s="17" t="n">
        <v>46143</v>
      </c>
      <c r="C684" s="18" t="s">
        <v>636</v>
      </c>
      <c r="D684" s="18" t="s">
        <v>106</v>
      </c>
      <c r="E684" s="18" t="s">
        <v>42</v>
      </c>
      <c r="F684" s="26" t="n">
        <v>1153.94</v>
      </c>
      <c r="G684" s="20" t="s">
        <v>623</v>
      </c>
    </row>
    <row r="685" customFormat="false" ht="15" hidden="false" customHeight="true" outlineLevel="0" collapsed="false">
      <c r="B685" s="17" t="n">
        <v>46143</v>
      </c>
      <c r="C685" s="18" t="s">
        <v>941</v>
      </c>
      <c r="D685" s="18" t="s">
        <v>106</v>
      </c>
      <c r="E685" s="18" t="s">
        <v>73</v>
      </c>
      <c r="F685" s="26" t="n">
        <v>6520.7</v>
      </c>
      <c r="G685" s="20" t="s">
        <v>623</v>
      </c>
    </row>
    <row r="686" customFormat="false" ht="15" hidden="false" customHeight="true" outlineLevel="0" collapsed="false">
      <c r="B686" s="17" t="n">
        <v>46143</v>
      </c>
      <c r="C686" s="18" t="s">
        <v>942</v>
      </c>
      <c r="D686" s="18" t="s">
        <v>106</v>
      </c>
      <c r="E686" s="18" t="s">
        <v>37</v>
      </c>
      <c r="F686" s="26" t="n">
        <v>1183.41</v>
      </c>
      <c r="G686" s="20" t="s">
        <v>623</v>
      </c>
    </row>
    <row r="687" customFormat="false" ht="15" hidden="false" customHeight="true" outlineLevel="0" collapsed="false">
      <c r="B687" s="17" t="n">
        <v>46143</v>
      </c>
      <c r="C687" s="18" t="s">
        <v>659</v>
      </c>
      <c r="D687" s="18" t="s">
        <v>106</v>
      </c>
      <c r="E687" s="18" t="s">
        <v>660</v>
      </c>
      <c r="F687" s="26" t="n">
        <v>7750</v>
      </c>
      <c r="G687" s="20" t="s">
        <v>623</v>
      </c>
    </row>
    <row r="688" customFormat="false" ht="15" hidden="false" customHeight="true" outlineLevel="0" collapsed="false">
      <c r="B688" s="17" t="n">
        <v>46143</v>
      </c>
      <c r="C688" s="18" t="s">
        <v>633</v>
      </c>
      <c r="D688" s="18" t="s">
        <v>106</v>
      </c>
      <c r="E688" s="18" t="s">
        <v>68</v>
      </c>
      <c r="F688" s="26" t="n">
        <v>268.34</v>
      </c>
      <c r="G688" s="20" t="s">
        <v>623</v>
      </c>
    </row>
    <row r="689" customFormat="false" ht="15" hidden="false" customHeight="true" outlineLevel="0" collapsed="false">
      <c r="B689" s="17" t="n">
        <v>46143</v>
      </c>
      <c r="C689" s="18" t="s">
        <v>943</v>
      </c>
      <c r="D689" s="18" t="s">
        <v>106</v>
      </c>
      <c r="E689" s="18" t="s">
        <v>35</v>
      </c>
      <c r="F689" s="26" t="n">
        <v>9598.33</v>
      </c>
      <c r="G689" s="20" t="s">
        <v>623</v>
      </c>
    </row>
    <row r="690" customFormat="false" ht="15" hidden="false" customHeight="true" outlineLevel="0" collapsed="false">
      <c r="B690" s="17" t="n">
        <v>46143</v>
      </c>
      <c r="C690" s="18" t="s">
        <v>944</v>
      </c>
      <c r="D690" s="18" t="s">
        <v>106</v>
      </c>
      <c r="E690" s="18" t="s">
        <v>30</v>
      </c>
      <c r="F690" s="26" t="n">
        <v>33658</v>
      </c>
      <c r="G690" s="20" t="s">
        <v>623</v>
      </c>
    </row>
    <row r="691" customFormat="false" ht="15" hidden="false" customHeight="true" outlineLevel="0" collapsed="false">
      <c r="B691" s="17" t="n">
        <v>46143</v>
      </c>
      <c r="C691" s="18" t="s">
        <v>649</v>
      </c>
      <c r="D691" s="18" t="s">
        <v>106</v>
      </c>
      <c r="E691" s="18" t="s">
        <v>85</v>
      </c>
      <c r="F691" s="26" t="n">
        <v>3992.67</v>
      </c>
      <c r="G691" s="20" t="s">
        <v>623</v>
      </c>
    </row>
    <row r="692" customFormat="false" ht="15" hidden="false" customHeight="true" outlineLevel="0" collapsed="false">
      <c r="B692" s="17" t="n">
        <v>46143</v>
      </c>
      <c r="C692" s="18" t="s">
        <v>628</v>
      </c>
      <c r="D692" s="18" t="s">
        <v>106</v>
      </c>
      <c r="E692" s="18" t="s">
        <v>61</v>
      </c>
      <c r="F692" s="26" t="n">
        <v>5873.77</v>
      </c>
      <c r="G692" s="20" t="s">
        <v>623</v>
      </c>
    </row>
    <row r="693" customFormat="false" ht="15" hidden="false" customHeight="true" outlineLevel="0" collapsed="false">
      <c r="B693" s="17" t="n">
        <v>46143</v>
      </c>
      <c r="C693" s="18" t="s">
        <v>627</v>
      </c>
      <c r="D693" s="18" t="s">
        <v>106</v>
      </c>
      <c r="E693" s="18" t="s">
        <v>87</v>
      </c>
      <c r="F693" s="26" t="n">
        <v>2903.47</v>
      </c>
      <c r="G693" s="20" t="s">
        <v>623</v>
      </c>
    </row>
    <row r="694" customFormat="false" ht="15" hidden="false" customHeight="true" outlineLevel="0" collapsed="false">
      <c r="B694" s="17" t="n">
        <v>46143</v>
      </c>
      <c r="C694" s="18" t="s">
        <v>650</v>
      </c>
      <c r="D694" s="18" t="s">
        <v>106</v>
      </c>
      <c r="E694" s="18" t="s">
        <v>94</v>
      </c>
      <c r="F694" s="26" t="n">
        <v>495</v>
      </c>
      <c r="G694" s="20" t="s">
        <v>623</v>
      </c>
    </row>
    <row r="695" customFormat="false" ht="15" hidden="false" customHeight="true" outlineLevel="0" collapsed="false">
      <c r="B695" s="17" t="n">
        <v>46143</v>
      </c>
      <c r="C695" s="18" t="s">
        <v>637</v>
      </c>
      <c r="D695" s="18" t="s">
        <v>106</v>
      </c>
      <c r="E695" s="18" t="s">
        <v>76</v>
      </c>
      <c r="F695" s="26" t="n">
        <v>3300</v>
      </c>
      <c r="G695" s="20" t="s">
        <v>623</v>
      </c>
    </row>
    <row r="696" customFormat="false" ht="15" hidden="false" customHeight="true" outlineLevel="0" collapsed="false">
      <c r="B696" s="17" t="n">
        <v>46143</v>
      </c>
      <c r="C696" s="18" t="s">
        <v>657</v>
      </c>
      <c r="D696" s="18" t="s">
        <v>106</v>
      </c>
      <c r="E696" s="18" t="s">
        <v>658</v>
      </c>
      <c r="F696" s="26" t="n">
        <v>130.21</v>
      </c>
      <c r="G696" s="20" t="s">
        <v>623</v>
      </c>
    </row>
    <row r="697" customFormat="false" ht="15" hidden="false" customHeight="true" outlineLevel="0" collapsed="false">
      <c r="B697" s="17" t="n">
        <v>46143</v>
      </c>
      <c r="C697" s="18" t="s">
        <v>945</v>
      </c>
      <c r="D697" s="18" t="s">
        <v>106</v>
      </c>
      <c r="E697" s="18" t="s">
        <v>28</v>
      </c>
      <c r="F697" s="26" t="n">
        <v>24505.32</v>
      </c>
      <c r="G697" s="20" t="s">
        <v>623</v>
      </c>
    </row>
    <row r="698" customFormat="false" ht="15" hidden="false" customHeight="true" outlineLevel="0" collapsed="false">
      <c r="B698" s="17" t="n">
        <v>46143</v>
      </c>
      <c r="C698" s="18" t="s">
        <v>648</v>
      </c>
      <c r="D698" s="18" t="s">
        <v>106</v>
      </c>
      <c r="E698" s="18" t="s">
        <v>90</v>
      </c>
      <c r="F698" s="26" t="n">
        <v>1905</v>
      </c>
      <c r="G698" s="20" t="s">
        <v>623</v>
      </c>
    </row>
    <row r="699" customFormat="false" ht="15" hidden="false" customHeight="true" outlineLevel="0" collapsed="false">
      <c r="B699" s="17" t="n">
        <v>46143</v>
      </c>
      <c r="C699" s="18" t="s">
        <v>641</v>
      </c>
      <c r="D699" s="18" t="s">
        <v>106</v>
      </c>
      <c r="E699" s="18" t="s">
        <v>44</v>
      </c>
      <c r="F699" s="26" t="n">
        <v>600</v>
      </c>
      <c r="G699" s="20" t="s">
        <v>623</v>
      </c>
    </row>
    <row r="700" customFormat="false" ht="15" hidden="false" customHeight="true" outlineLevel="0" collapsed="false">
      <c r="B700" s="17" t="n">
        <v>46143</v>
      </c>
      <c r="C700" s="18" t="s">
        <v>642</v>
      </c>
      <c r="D700" s="18" t="s">
        <v>106</v>
      </c>
      <c r="E700" s="18" t="s">
        <v>46</v>
      </c>
      <c r="F700" s="26" t="n">
        <v>155</v>
      </c>
      <c r="G700" s="20" t="s">
        <v>623</v>
      </c>
    </row>
    <row r="701" customFormat="false" ht="15" hidden="false" customHeight="true" outlineLevel="0" collapsed="false">
      <c r="B701" s="17" t="n">
        <v>46143</v>
      </c>
      <c r="C701" s="18" t="s">
        <v>647</v>
      </c>
      <c r="D701" s="18" t="s">
        <v>106</v>
      </c>
      <c r="E701" s="18" t="s">
        <v>74</v>
      </c>
      <c r="F701" s="26" t="n">
        <v>243.88</v>
      </c>
      <c r="G701" s="20" t="s">
        <v>623</v>
      </c>
    </row>
    <row r="702" customFormat="false" ht="15" hidden="false" customHeight="true" outlineLevel="0" collapsed="false">
      <c r="B702" s="17" t="n">
        <v>46143</v>
      </c>
      <c r="C702" s="18" t="s">
        <v>652</v>
      </c>
      <c r="D702" s="18" t="s">
        <v>106</v>
      </c>
      <c r="E702" s="18" t="s">
        <v>82</v>
      </c>
      <c r="F702" s="26" t="n">
        <v>24.22</v>
      </c>
      <c r="G702" s="20" t="s">
        <v>623</v>
      </c>
    </row>
    <row r="703" customFormat="false" ht="15" hidden="false" customHeight="true" outlineLevel="0" collapsed="false">
      <c r="B703" s="17" t="n">
        <v>46143</v>
      </c>
      <c r="C703" s="18" t="s">
        <v>946</v>
      </c>
      <c r="D703" s="18" t="s">
        <v>106</v>
      </c>
      <c r="E703" s="18" t="s">
        <v>88</v>
      </c>
      <c r="F703" s="26" t="n">
        <v>17752</v>
      </c>
      <c r="G703" s="20" t="s">
        <v>623</v>
      </c>
    </row>
    <row r="704" customFormat="false" ht="15" hidden="false" customHeight="true" outlineLevel="0" collapsed="false">
      <c r="B704" s="17" t="n">
        <v>46143</v>
      </c>
      <c r="C704" s="18" t="s">
        <v>632</v>
      </c>
      <c r="D704" s="18" t="s">
        <v>106</v>
      </c>
      <c r="E704" s="18" t="s">
        <v>50</v>
      </c>
      <c r="F704" s="26" t="n">
        <v>3300</v>
      </c>
      <c r="G704" s="20" t="s">
        <v>623</v>
      </c>
    </row>
    <row r="705" customFormat="false" ht="15" hidden="false" customHeight="true" outlineLevel="0" collapsed="false">
      <c r="B705" s="17" t="n">
        <v>46143</v>
      </c>
      <c r="C705" s="18" t="s">
        <v>947</v>
      </c>
      <c r="D705" s="18" t="s">
        <v>106</v>
      </c>
      <c r="E705" s="18" t="s">
        <v>948</v>
      </c>
      <c r="F705" s="26" t="n">
        <v>499.4</v>
      </c>
      <c r="G705" s="20" t="s">
        <v>623</v>
      </c>
    </row>
    <row r="706" customFormat="false" ht="15" hidden="false" customHeight="true" outlineLevel="0" collapsed="false">
      <c r="B706" s="17" t="n">
        <v>46143</v>
      </c>
      <c r="C706" s="18" t="s">
        <v>625</v>
      </c>
      <c r="D706" s="18" t="s">
        <v>106</v>
      </c>
      <c r="E706" s="18" t="s">
        <v>51</v>
      </c>
      <c r="F706" s="26" t="n">
        <v>27195.99</v>
      </c>
      <c r="G706" s="20" t="s">
        <v>623</v>
      </c>
    </row>
    <row r="707" customFormat="false" ht="15" hidden="false" customHeight="true" outlineLevel="0" collapsed="false">
      <c r="B707" s="17" t="n">
        <v>46143</v>
      </c>
      <c r="C707" s="18" t="s">
        <v>630</v>
      </c>
      <c r="D707" s="18" t="s">
        <v>106</v>
      </c>
      <c r="E707" s="18" t="s">
        <v>62</v>
      </c>
      <c r="F707" s="26" t="n">
        <v>248</v>
      </c>
      <c r="G707" s="20" t="s">
        <v>623</v>
      </c>
    </row>
    <row r="708" customFormat="false" ht="15" hidden="false" customHeight="true" outlineLevel="0" collapsed="false">
      <c r="B708" s="17" t="n">
        <v>46143</v>
      </c>
      <c r="C708" s="18" t="s">
        <v>629</v>
      </c>
      <c r="D708" s="18" t="s">
        <v>106</v>
      </c>
      <c r="E708" s="18" t="s">
        <v>64</v>
      </c>
      <c r="F708" s="26" t="n">
        <v>1198.14</v>
      </c>
      <c r="G708" s="20" t="s">
        <v>623</v>
      </c>
    </row>
    <row r="709" customFormat="false" ht="15" hidden="false" customHeight="true" outlineLevel="0" collapsed="false">
      <c r="B709" s="17" t="n">
        <v>46143</v>
      </c>
      <c r="C709" s="18" t="s">
        <v>949</v>
      </c>
      <c r="D709" s="18" t="s">
        <v>106</v>
      </c>
      <c r="E709" s="18" t="s">
        <v>36</v>
      </c>
      <c r="F709" s="26" t="n">
        <v>13507.51</v>
      </c>
      <c r="G709" s="20" t="s">
        <v>623</v>
      </c>
    </row>
    <row r="710" customFormat="false" ht="15" hidden="false" customHeight="true" outlineLevel="0" collapsed="false">
      <c r="B710" s="17" t="n">
        <v>46143</v>
      </c>
      <c r="C710" s="18" t="s">
        <v>950</v>
      </c>
      <c r="D710" s="18" t="s">
        <v>106</v>
      </c>
      <c r="E710" s="18" t="s">
        <v>26</v>
      </c>
      <c r="F710" s="26" t="n">
        <v>85398.92</v>
      </c>
      <c r="G710" s="20" t="s">
        <v>623</v>
      </c>
    </row>
    <row r="711" customFormat="false" ht="15" hidden="false" customHeight="true" outlineLevel="0" collapsed="false">
      <c r="B711" s="17" t="n">
        <v>46143</v>
      </c>
      <c r="C711" s="18" t="s">
        <v>643</v>
      </c>
      <c r="D711" s="18" t="s">
        <v>106</v>
      </c>
      <c r="E711" s="18" t="s">
        <v>65</v>
      </c>
      <c r="F711" s="26" t="n">
        <v>130</v>
      </c>
      <c r="G711" s="20" t="s">
        <v>623</v>
      </c>
    </row>
    <row r="712" customFormat="false" ht="15" hidden="false" customHeight="true" outlineLevel="0" collapsed="false">
      <c r="B712" s="17" t="n">
        <v>46143</v>
      </c>
      <c r="C712" s="18" t="s">
        <v>951</v>
      </c>
      <c r="D712" s="18" t="s">
        <v>106</v>
      </c>
      <c r="E712" s="18" t="s">
        <v>29</v>
      </c>
      <c r="F712" s="26" t="n">
        <v>4681</v>
      </c>
      <c r="G712" s="20" t="s">
        <v>623</v>
      </c>
    </row>
    <row r="713" customFormat="false" ht="15" hidden="false" customHeight="true" outlineLevel="0" collapsed="false">
      <c r="B713" s="17" t="n">
        <v>46143</v>
      </c>
      <c r="C713" s="18" t="s">
        <v>656</v>
      </c>
      <c r="D713" s="18" t="s">
        <v>106</v>
      </c>
      <c r="E713" s="18" t="s">
        <v>95</v>
      </c>
      <c r="F713" s="26" t="n">
        <v>6721.75</v>
      </c>
      <c r="G713" s="20" t="s">
        <v>623</v>
      </c>
    </row>
    <row r="714" customFormat="false" ht="15" hidden="false" customHeight="true" outlineLevel="0" collapsed="false">
      <c r="B714" s="17" t="n">
        <v>46143</v>
      </c>
      <c r="C714" s="18" t="s">
        <v>631</v>
      </c>
      <c r="D714" s="18" t="s">
        <v>106</v>
      </c>
      <c r="E714" s="18" t="s">
        <v>49</v>
      </c>
      <c r="F714" s="26" t="n">
        <v>2000</v>
      </c>
      <c r="G714" s="20" t="s">
        <v>623</v>
      </c>
    </row>
    <row r="715" customFormat="false" ht="15" hidden="false" customHeight="true" outlineLevel="0" collapsed="false">
      <c r="B715" s="17" t="n">
        <v>46143</v>
      </c>
      <c r="C715" s="18" t="s">
        <v>626</v>
      </c>
      <c r="D715" s="18" t="s">
        <v>106</v>
      </c>
      <c r="E715" s="18" t="s">
        <v>59</v>
      </c>
      <c r="F715" s="26" t="n">
        <v>2850.01</v>
      </c>
      <c r="G715" s="20" t="s">
        <v>623</v>
      </c>
    </row>
    <row r="716" customFormat="false" ht="15" hidden="false" customHeight="true" outlineLevel="0" collapsed="false">
      <c r="B716" s="17" t="n">
        <v>46143</v>
      </c>
      <c r="C716" s="18" t="s">
        <v>651</v>
      </c>
      <c r="D716" s="18" t="s">
        <v>106</v>
      </c>
      <c r="E716" s="18" t="s">
        <v>54</v>
      </c>
      <c r="F716" s="26" t="n">
        <v>985.54</v>
      </c>
      <c r="G716" s="20" t="s">
        <v>623</v>
      </c>
    </row>
    <row r="717" customFormat="false" ht="15" hidden="false" customHeight="true" outlineLevel="0" collapsed="false">
      <c r="B717" s="17" t="n">
        <v>46143</v>
      </c>
      <c r="C717" s="18" t="s">
        <v>634</v>
      </c>
      <c r="D717" s="18" t="s">
        <v>106</v>
      </c>
      <c r="E717" s="18" t="s">
        <v>69</v>
      </c>
      <c r="F717" s="26" t="n">
        <v>504.74</v>
      </c>
      <c r="G717" s="20" t="s">
        <v>623</v>
      </c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2"/>
  </cols>
  <sheetData>
    <row r="2" customFormat="false" ht="19.7" hidden="false" customHeight="false" outlineLevel="0" collapsed="false">
      <c r="B2" s="27" t="s">
        <v>952</v>
      </c>
      <c r="C2" s="27"/>
      <c r="D2" s="27"/>
      <c r="E2" s="27"/>
      <c r="F2" s="27"/>
      <c r="G2" s="27"/>
    </row>
    <row r="3" customFormat="false" ht="15" hidden="false" customHeight="false" outlineLevel="0" collapsed="false">
      <c r="B3" s="28" t="s">
        <v>953</v>
      </c>
      <c r="C3" s="28"/>
      <c r="D3" s="28"/>
      <c r="E3" s="28"/>
      <c r="F3" s="28"/>
      <c r="G3" s="28"/>
    </row>
    <row r="5" customFormat="false" ht="15" hidden="false" customHeight="false" outlineLevel="0" collapsed="false">
      <c r="B5" s="29" t="s">
        <v>954</v>
      </c>
      <c r="C5" s="29" t="s">
        <v>955</v>
      </c>
      <c r="D5" s="29" t="s">
        <v>956</v>
      </c>
      <c r="E5" s="29" t="s">
        <v>103</v>
      </c>
      <c r="F5" s="29" t="s">
        <v>101</v>
      </c>
      <c r="G5" s="29" t="s">
        <v>957</v>
      </c>
    </row>
    <row r="6" customFormat="false" ht="15" hidden="false" customHeight="false" outlineLevel="0" collapsed="false">
      <c r="B6" s="30" t="s">
        <v>958</v>
      </c>
      <c r="C6" s="31" t="n">
        <v>45545</v>
      </c>
      <c r="D6" s="30" t="s">
        <v>959</v>
      </c>
      <c r="E6" s="32" t="n">
        <v>3885</v>
      </c>
      <c r="F6" s="30" t="s">
        <v>52</v>
      </c>
      <c r="G6" s="30" t="s">
        <v>960</v>
      </c>
    </row>
    <row r="7" customFormat="false" ht="15" hidden="false" customHeight="false" outlineLevel="0" collapsed="false">
      <c r="B7" s="30" t="s">
        <v>961</v>
      </c>
      <c r="C7" s="31" t="n">
        <v>45807</v>
      </c>
      <c r="D7" s="30" t="s">
        <v>962</v>
      </c>
      <c r="E7" s="32" t="n">
        <v>50000</v>
      </c>
      <c r="F7" s="30" t="s">
        <v>97</v>
      </c>
      <c r="G7" s="30" t="s">
        <v>960</v>
      </c>
    </row>
    <row r="8" customFormat="false" ht="15" hidden="false" customHeight="false" outlineLevel="0" collapsed="false">
      <c r="B8" s="30" t="s">
        <v>963</v>
      </c>
      <c r="C8" s="31" t="n">
        <v>45823</v>
      </c>
      <c r="D8" s="30" t="s">
        <v>964</v>
      </c>
      <c r="E8" s="32" t="n">
        <v>2020</v>
      </c>
      <c r="F8" s="30" t="s">
        <v>26</v>
      </c>
      <c r="G8" s="30" t="s">
        <v>960</v>
      </c>
    </row>
    <row r="9" customFormat="false" ht="15" hidden="false" customHeight="false" outlineLevel="0" collapsed="false">
      <c r="B9" s="30" t="s">
        <v>965</v>
      </c>
      <c r="C9" s="31" t="n">
        <v>45823</v>
      </c>
      <c r="D9" s="30" t="s">
        <v>964</v>
      </c>
      <c r="E9" s="32" t="n">
        <v>2088</v>
      </c>
      <c r="F9" s="30" t="s">
        <v>35</v>
      </c>
      <c r="G9" s="30" t="s">
        <v>960</v>
      </c>
    </row>
    <row r="10" customFormat="false" ht="15" hidden="false" customHeight="false" outlineLevel="0" collapsed="false">
      <c r="B10" s="30" t="s">
        <v>965</v>
      </c>
      <c r="C10" s="31" t="n">
        <v>45823</v>
      </c>
      <c r="D10" s="30" t="s">
        <v>964</v>
      </c>
      <c r="E10" s="32" t="n">
        <v>3327.5</v>
      </c>
      <c r="F10" s="30" t="s">
        <v>35</v>
      </c>
      <c r="G10" s="30" t="s">
        <v>960</v>
      </c>
    </row>
    <row r="11" customFormat="false" ht="15" hidden="false" customHeight="false" outlineLevel="0" collapsed="false">
      <c r="B11" s="30" t="s">
        <v>966</v>
      </c>
      <c r="C11" s="31" t="n">
        <v>45823</v>
      </c>
      <c r="D11" s="30" t="s">
        <v>964</v>
      </c>
      <c r="E11" s="32" t="n">
        <v>963</v>
      </c>
      <c r="F11" s="30" t="s">
        <v>26</v>
      </c>
      <c r="G11" s="30" t="s">
        <v>960</v>
      </c>
    </row>
    <row r="12" customFormat="false" ht="15" hidden="false" customHeight="false" outlineLevel="0" collapsed="false">
      <c r="B12" s="30" t="s">
        <v>967</v>
      </c>
      <c r="C12" s="31" t="n">
        <v>45823</v>
      </c>
      <c r="D12" s="30" t="s">
        <v>968</v>
      </c>
      <c r="E12" s="32" t="n">
        <v>2370</v>
      </c>
      <c r="F12" s="30" t="s">
        <v>38</v>
      </c>
      <c r="G12" s="30" t="s">
        <v>960</v>
      </c>
    </row>
    <row r="13" customFormat="false" ht="15" hidden="false" customHeight="false" outlineLevel="0" collapsed="false">
      <c r="B13" s="30" t="s">
        <v>969</v>
      </c>
      <c r="C13" s="31" t="n">
        <v>45823</v>
      </c>
      <c r="D13" s="30" t="s">
        <v>964</v>
      </c>
      <c r="E13" s="32" t="n">
        <v>631.25</v>
      </c>
      <c r="F13" s="30" t="s">
        <v>28</v>
      </c>
      <c r="G13" s="30" t="s">
        <v>960</v>
      </c>
    </row>
    <row r="14" customFormat="false" ht="15" hidden="false" customHeight="false" outlineLevel="0" collapsed="false">
      <c r="B14" s="30" t="s">
        <v>970</v>
      </c>
      <c r="C14" s="31" t="n">
        <v>45825</v>
      </c>
      <c r="D14" s="30" t="s">
        <v>964</v>
      </c>
      <c r="E14" s="32" t="n">
        <v>2400</v>
      </c>
      <c r="F14" s="30" t="s">
        <v>28</v>
      </c>
      <c r="G14" s="30" t="s">
        <v>960</v>
      </c>
    </row>
    <row r="15" customFormat="false" ht="15" hidden="false" customHeight="false" outlineLevel="0" collapsed="false">
      <c r="B15" s="30" t="s">
        <v>966</v>
      </c>
      <c r="C15" s="31" t="n">
        <v>45826</v>
      </c>
      <c r="D15" s="30" t="s">
        <v>964</v>
      </c>
      <c r="E15" s="32" t="n">
        <v>1726.66</v>
      </c>
      <c r="F15" s="30" t="s">
        <v>26</v>
      </c>
      <c r="G15" s="30" t="s">
        <v>960</v>
      </c>
    </row>
    <row r="16" customFormat="false" ht="15" hidden="false" customHeight="false" outlineLevel="0" collapsed="false">
      <c r="B16" s="30" t="s">
        <v>963</v>
      </c>
      <c r="C16" s="31" t="n">
        <v>45828</v>
      </c>
      <c r="D16" s="30" t="s">
        <v>964</v>
      </c>
      <c r="E16" s="32" t="n">
        <v>870</v>
      </c>
      <c r="F16" s="30" t="s">
        <v>26</v>
      </c>
      <c r="G16" s="30" t="s">
        <v>960</v>
      </c>
    </row>
    <row r="17" customFormat="false" ht="15" hidden="false" customHeight="false" outlineLevel="0" collapsed="false">
      <c r="B17" s="30" t="s">
        <v>966</v>
      </c>
      <c r="C17" s="31" t="n">
        <v>45832</v>
      </c>
      <c r="D17" s="30" t="s">
        <v>964</v>
      </c>
      <c r="E17" s="32" t="n">
        <v>963</v>
      </c>
      <c r="F17" s="30" t="s">
        <v>26</v>
      </c>
      <c r="G17" s="30" t="s">
        <v>960</v>
      </c>
    </row>
    <row r="18" customFormat="false" ht="15" hidden="false" customHeight="false" outlineLevel="0" collapsed="false">
      <c r="B18" s="30" t="s">
        <v>969</v>
      </c>
      <c r="C18" s="31" t="n">
        <v>45833</v>
      </c>
      <c r="D18" s="30" t="s">
        <v>964</v>
      </c>
      <c r="E18" s="32" t="n">
        <v>1200</v>
      </c>
      <c r="F18" s="30" t="s">
        <v>28</v>
      </c>
      <c r="G18" s="30" t="s">
        <v>960</v>
      </c>
    </row>
    <row r="19" customFormat="false" ht="15" hidden="false" customHeight="false" outlineLevel="0" collapsed="false">
      <c r="B19" s="30" t="s">
        <v>965</v>
      </c>
      <c r="C19" s="31" t="n">
        <v>45833</v>
      </c>
      <c r="D19" s="30" t="s">
        <v>964</v>
      </c>
      <c r="E19" s="32" t="n">
        <v>1500</v>
      </c>
      <c r="F19" s="30" t="s">
        <v>28</v>
      </c>
      <c r="G19" s="30" t="s">
        <v>960</v>
      </c>
    </row>
    <row r="20" customFormat="false" ht="15" hidden="false" customHeight="false" outlineLevel="0" collapsed="false">
      <c r="B20" s="30" t="s">
        <v>963</v>
      </c>
      <c r="C20" s="31" t="n">
        <v>45836</v>
      </c>
      <c r="D20" s="30" t="s">
        <v>964</v>
      </c>
      <c r="E20" s="32" t="n">
        <v>870</v>
      </c>
      <c r="F20" s="30" t="s">
        <v>26</v>
      </c>
      <c r="G20" s="30" t="s">
        <v>960</v>
      </c>
    </row>
    <row r="21" customFormat="false" ht="15" hidden="false" customHeight="false" outlineLevel="0" collapsed="false">
      <c r="B21" s="30" t="s">
        <v>961</v>
      </c>
      <c r="C21" s="31" t="n">
        <v>45838</v>
      </c>
      <c r="D21" s="30" t="s">
        <v>962</v>
      </c>
      <c r="E21" s="32" t="n">
        <v>50000</v>
      </c>
      <c r="F21" s="30" t="s">
        <v>97</v>
      </c>
      <c r="G21" s="30" t="s">
        <v>960</v>
      </c>
    </row>
    <row r="22" customFormat="false" ht="15" hidden="false" customHeight="false" outlineLevel="0" collapsed="false">
      <c r="B22" s="30" t="s">
        <v>963</v>
      </c>
      <c r="C22" s="31" t="n">
        <v>45853</v>
      </c>
      <c r="D22" s="30" t="s">
        <v>964</v>
      </c>
      <c r="E22" s="32" t="n">
        <v>2020</v>
      </c>
      <c r="F22" s="30" t="s">
        <v>26</v>
      </c>
      <c r="G22" s="30" t="s">
        <v>960</v>
      </c>
    </row>
    <row r="23" customFormat="false" ht="15" hidden="false" customHeight="false" outlineLevel="0" collapsed="false">
      <c r="B23" s="30" t="s">
        <v>965</v>
      </c>
      <c r="C23" s="31" t="n">
        <v>45853</v>
      </c>
      <c r="D23" s="30" t="s">
        <v>964</v>
      </c>
      <c r="E23" s="32" t="n">
        <v>2088</v>
      </c>
      <c r="F23" s="30" t="s">
        <v>35</v>
      </c>
      <c r="G23" s="30" t="s">
        <v>960</v>
      </c>
    </row>
    <row r="24" customFormat="false" ht="15" hidden="false" customHeight="false" outlineLevel="0" collapsed="false">
      <c r="B24" s="30" t="s">
        <v>971</v>
      </c>
      <c r="C24" s="31" t="n">
        <v>45853</v>
      </c>
      <c r="D24" s="30" t="s">
        <v>964</v>
      </c>
      <c r="E24" s="32" t="n">
        <v>631.25</v>
      </c>
      <c r="F24" s="30" t="s">
        <v>28</v>
      </c>
      <c r="G24" s="30" t="s">
        <v>960</v>
      </c>
    </row>
    <row r="25" customFormat="false" ht="15" hidden="false" customHeight="false" outlineLevel="0" collapsed="false">
      <c r="B25" s="30" t="s">
        <v>970</v>
      </c>
      <c r="C25" s="31" t="n">
        <v>45853</v>
      </c>
      <c r="D25" s="30" t="s">
        <v>964</v>
      </c>
      <c r="E25" s="32" t="n">
        <v>330</v>
      </c>
      <c r="F25" s="30" t="s">
        <v>28</v>
      </c>
      <c r="G25" s="30" t="s">
        <v>960</v>
      </c>
    </row>
    <row r="26" customFormat="false" ht="15" hidden="false" customHeight="false" outlineLevel="0" collapsed="false">
      <c r="B26" s="30" t="s">
        <v>965</v>
      </c>
      <c r="C26" s="31" t="n">
        <v>45853</v>
      </c>
      <c r="D26" s="30" t="s">
        <v>964</v>
      </c>
      <c r="E26" s="32" t="n">
        <v>3327.5</v>
      </c>
      <c r="F26" s="30" t="s">
        <v>35</v>
      </c>
      <c r="G26" s="30" t="s">
        <v>960</v>
      </c>
    </row>
    <row r="27" customFormat="false" ht="15" hidden="false" customHeight="false" outlineLevel="0" collapsed="false">
      <c r="B27" s="30" t="s">
        <v>969</v>
      </c>
      <c r="C27" s="31" t="n">
        <v>45855</v>
      </c>
      <c r="D27" s="30" t="s">
        <v>964</v>
      </c>
      <c r="E27" s="32" t="n">
        <v>2470</v>
      </c>
      <c r="F27" s="30" t="s">
        <v>28</v>
      </c>
      <c r="G27" s="30" t="s">
        <v>960</v>
      </c>
    </row>
    <row r="28" customFormat="false" ht="15" hidden="false" customHeight="false" outlineLevel="0" collapsed="false">
      <c r="B28" s="30" t="s">
        <v>966</v>
      </c>
      <c r="C28" s="31" t="n">
        <v>45856</v>
      </c>
      <c r="D28" s="30" t="s">
        <v>964</v>
      </c>
      <c r="E28" s="32" t="n">
        <v>1726.66</v>
      </c>
      <c r="F28" s="30" t="s">
        <v>26</v>
      </c>
      <c r="G28" s="30" t="s">
        <v>960</v>
      </c>
    </row>
    <row r="29" customFormat="false" ht="15" hidden="false" customHeight="false" outlineLevel="0" collapsed="false">
      <c r="B29" s="30" t="s">
        <v>969</v>
      </c>
      <c r="C29" s="31" t="n">
        <v>45863</v>
      </c>
      <c r="D29" s="30" t="s">
        <v>964</v>
      </c>
      <c r="E29" s="32" t="n">
        <v>1200</v>
      </c>
      <c r="F29" s="30" t="s">
        <v>28</v>
      </c>
      <c r="G29" s="30" t="s">
        <v>960</v>
      </c>
    </row>
    <row r="30" customFormat="false" ht="15" hidden="false" customHeight="false" outlineLevel="0" collapsed="false">
      <c r="B30" s="30" t="s">
        <v>970</v>
      </c>
      <c r="C30" s="31" t="n">
        <v>45863</v>
      </c>
      <c r="D30" s="30" t="s">
        <v>964</v>
      </c>
      <c r="E30" s="32" t="n">
        <v>1500</v>
      </c>
      <c r="F30" s="30" t="s">
        <v>28</v>
      </c>
      <c r="G30" s="30" t="s">
        <v>960</v>
      </c>
    </row>
    <row r="31" customFormat="false" ht="15" hidden="false" customHeight="false" outlineLevel="0" collapsed="false">
      <c r="B31" s="30" t="s">
        <v>972</v>
      </c>
      <c r="C31" s="31" t="n">
        <v>45866</v>
      </c>
      <c r="D31" s="30" t="s">
        <v>973</v>
      </c>
      <c r="E31" s="32" t="n">
        <v>0.5</v>
      </c>
      <c r="F31" s="30" t="s">
        <v>32</v>
      </c>
      <c r="G31" s="30" t="s">
        <v>960</v>
      </c>
    </row>
    <row r="32" customFormat="false" ht="15" hidden="false" customHeight="false" outlineLevel="0" collapsed="false">
      <c r="B32" s="30" t="s">
        <v>970</v>
      </c>
      <c r="C32" s="31" t="n">
        <v>45866</v>
      </c>
      <c r="D32" s="30" t="s">
        <v>964</v>
      </c>
      <c r="E32" s="32" t="n">
        <v>3065</v>
      </c>
      <c r="F32" s="30" t="s">
        <v>28</v>
      </c>
      <c r="G32" s="30" t="s">
        <v>960</v>
      </c>
    </row>
    <row r="33" customFormat="false" ht="15" hidden="false" customHeight="false" outlineLevel="0" collapsed="false">
      <c r="B33" s="30" t="s">
        <v>961</v>
      </c>
      <c r="C33" s="31" t="n">
        <v>45869</v>
      </c>
      <c r="D33" s="30" t="s">
        <v>962</v>
      </c>
      <c r="E33" s="32" t="n">
        <v>50000</v>
      </c>
      <c r="F33" s="30" t="s">
        <v>97</v>
      </c>
      <c r="G33" s="30" t="s">
        <v>960</v>
      </c>
    </row>
    <row r="34" customFormat="false" ht="15" hidden="false" customHeight="false" outlineLevel="0" collapsed="false">
      <c r="B34" s="30" t="s">
        <v>966</v>
      </c>
      <c r="C34" s="31" t="n">
        <v>45869</v>
      </c>
      <c r="D34" s="30" t="s">
        <v>964</v>
      </c>
      <c r="E34" s="32" t="n">
        <v>964</v>
      </c>
      <c r="F34" s="30" t="s">
        <v>26</v>
      </c>
      <c r="G34" s="30" t="s">
        <v>960</v>
      </c>
    </row>
    <row r="35" customFormat="false" ht="15" hidden="false" customHeight="false" outlineLevel="0" collapsed="false">
      <c r="B35" s="30" t="s">
        <v>974</v>
      </c>
      <c r="C35" s="31" t="n">
        <v>45873</v>
      </c>
      <c r="D35" s="30" t="s">
        <v>962</v>
      </c>
      <c r="E35" s="32" t="n">
        <v>3080</v>
      </c>
      <c r="F35" s="30" t="s">
        <v>30</v>
      </c>
      <c r="G35" s="30" t="s">
        <v>960</v>
      </c>
    </row>
    <row r="36" customFormat="false" ht="15" hidden="false" customHeight="false" outlineLevel="0" collapsed="false">
      <c r="B36" s="30" t="s">
        <v>975</v>
      </c>
      <c r="C36" s="31" t="n">
        <v>45873</v>
      </c>
      <c r="D36" s="30" t="s">
        <v>962</v>
      </c>
      <c r="E36" s="32" t="n">
        <v>160</v>
      </c>
      <c r="F36" s="30" t="s">
        <v>29</v>
      </c>
      <c r="G36" s="30" t="s">
        <v>960</v>
      </c>
    </row>
    <row r="37" customFormat="false" ht="15" hidden="false" customHeight="false" outlineLevel="0" collapsed="false">
      <c r="B37" s="30" t="s">
        <v>976</v>
      </c>
      <c r="C37" s="31" t="n">
        <v>45874</v>
      </c>
      <c r="D37" s="30" t="s">
        <v>962</v>
      </c>
      <c r="E37" s="32" t="n">
        <v>350</v>
      </c>
      <c r="F37" s="30" t="s">
        <v>29</v>
      </c>
      <c r="G37" s="30" t="s">
        <v>960</v>
      </c>
    </row>
    <row r="38" customFormat="false" ht="15" hidden="false" customHeight="false" outlineLevel="0" collapsed="false">
      <c r="B38" s="30" t="s">
        <v>976</v>
      </c>
      <c r="C38" s="31" t="n">
        <v>45874</v>
      </c>
      <c r="D38" s="30" t="s">
        <v>962</v>
      </c>
      <c r="E38" s="32" t="n">
        <v>624</v>
      </c>
      <c r="F38" s="30" t="s">
        <v>29</v>
      </c>
      <c r="G38" s="30" t="s">
        <v>960</v>
      </c>
    </row>
    <row r="39" customFormat="false" ht="15" hidden="false" customHeight="false" outlineLevel="0" collapsed="false">
      <c r="B39" s="30" t="s">
        <v>977</v>
      </c>
      <c r="C39" s="31" t="n">
        <v>45879</v>
      </c>
      <c r="D39" s="30" t="s">
        <v>962</v>
      </c>
      <c r="E39" s="32" t="n">
        <v>1100</v>
      </c>
      <c r="F39" s="30" t="s">
        <v>76</v>
      </c>
      <c r="G39" s="30" t="s">
        <v>960</v>
      </c>
    </row>
    <row r="40" customFormat="false" ht="15" hidden="false" customHeight="false" outlineLevel="0" collapsed="false">
      <c r="B40" s="30" t="s">
        <v>978</v>
      </c>
      <c r="C40" s="31" t="n">
        <v>45880</v>
      </c>
      <c r="D40" s="30" t="s">
        <v>962</v>
      </c>
      <c r="E40" s="32" t="n">
        <v>2520</v>
      </c>
      <c r="F40" s="30" t="s">
        <v>30</v>
      </c>
      <c r="G40" s="30" t="s">
        <v>960</v>
      </c>
    </row>
    <row r="41" customFormat="false" ht="15" hidden="false" customHeight="false" outlineLevel="0" collapsed="false">
      <c r="B41" s="30" t="s">
        <v>963</v>
      </c>
      <c r="C41" s="31" t="n">
        <v>45884</v>
      </c>
      <c r="D41" s="30" t="s">
        <v>964</v>
      </c>
      <c r="E41" s="32" t="n">
        <v>3327.5</v>
      </c>
      <c r="F41" s="30" t="s">
        <v>26</v>
      </c>
      <c r="G41" s="30" t="s">
        <v>960</v>
      </c>
    </row>
    <row r="42" customFormat="false" ht="15" hidden="false" customHeight="false" outlineLevel="0" collapsed="false">
      <c r="B42" s="30" t="s">
        <v>963</v>
      </c>
      <c r="C42" s="31" t="n">
        <v>45884</v>
      </c>
      <c r="D42" s="30" t="s">
        <v>964</v>
      </c>
      <c r="E42" s="32" t="n">
        <v>2020</v>
      </c>
      <c r="F42" s="30" t="s">
        <v>26</v>
      </c>
      <c r="G42" s="30" t="s">
        <v>960</v>
      </c>
    </row>
    <row r="43" customFormat="false" ht="15" hidden="false" customHeight="false" outlineLevel="0" collapsed="false">
      <c r="B43" s="30" t="s">
        <v>970</v>
      </c>
      <c r="C43" s="31" t="n">
        <v>45884</v>
      </c>
      <c r="D43" s="30" t="s">
        <v>964</v>
      </c>
      <c r="E43" s="32" t="n">
        <v>330</v>
      </c>
      <c r="F43" s="30" t="s">
        <v>28</v>
      </c>
      <c r="G43" s="30" t="s">
        <v>960</v>
      </c>
    </row>
    <row r="44" customFormat="false" ht="15" hidden="false" customHeight="false" outlineLevel="0" collapsed="false">
      <c r="B44" s="30" t="s">
        <v>969</v>
      </c>
      <c r="C44" s="31" t="n">
        <v>45884</v>
      </c>
      <c r="D44" s="30" t="s">
        <v>964</v>
      </c>
      <c r="E44" s="32" t="n">
        <v>631.25</v>
      </c>
      <c r="F44" s="30" t="s">
        <v>28</v>
      </c>
      <c r="G44" s="30" t="s">
        <v>960</v>
      </c>
    </row>
    <row r="45" customFormat="false" ht="15" hidden="false" customHeight="false" outlineLevel="0" collapsed="false">
      <c r="B45" s="30" t="s">
        <v>970</v>
      </c>
      <c r="C45" s="31" t="n">
        <v>45884</v>
      </c>
      <c r="D45" s="30" t="s">
        <v>964</v>
      </c>
      <c r="E45" s="32" t="n">
        <v>2400</v>
      </c>
      <c r="F45" s="30" t="s">
        <v>28</v>
      </c>
      <c r="G45" s="30" t="s">
        <v>960</v>
      </c>
    </row>
    <row r="46" customFormat="false" ht="15" hidden="false" customHeight="false" outlineLevel="0" collapsed="false">
      <c r="B46" s="30" t="s">
        <v>966</v>
      </c>
      <c r="C46" s="31" t="n">
        <v>45887</v>
      </c>
      <c r="D46" s="30" t="s">
        <v>964</v>
      </c>
      <c r="E46" s="32" t="n">
        <v>1726.66</v>
      </c>
      <c r="F46" s="30" t="s">
        <v>26</v>
      </c>
      <c r="G46" s="30" t="s">
        <v>960</v>
      </c>
    </row>
    <row r="47" customFormat="false" ht="15" hidden="false" customHeight="false" outlineLevel="0" collapsed="false">
      <c r="B47" s="30" t="s">
        <v>963</v>
      </c>
      <c r="C47" s="31" t="n">
        <v>45894</v>
      </c>
      <c r="D47" s="30" t="s">
        <v>964</v>
      </c>
      <c r="E47" s="32" t="n">
        <v>1215</v>
      </c>
      <c r="F47" s="30" t="s">
        <v>26</v>
      </c>
      <c r="G47" s="30" t="s">
        <v>960</v>
      </c>
    </row>
    <row r="48" customFormat="false" ht="15" hidden="false" customHeight="false" outlineLevel="0" collapsed="false">
      <c r="B48" s="30" t="s">
        <v>965</v>
      </c>
      <c r="C48" s="31" t="n">
        <v>45894</v>
      </c>
      <c r="D48" s="30" t="s">
        <v>964</v>
      </c>
      <c r="E48" s="32" t="n">
        <v>1500</v>
      </c>
      <c r="F48" s="30" t="s">
        <v>28</v>
      </c>
      <c r="G48" s="30" t="s">
        <v>960</v>
      </c>
    </row>
    <row r="49" customFormat="false" ht="15" hidden="false" customHeight="false" outlineLevel="0" collapsed="false">
      <c r="B49" s="30" t="s">
        <v>963</v>
      </c>
      <c r="C49" s="31" t="n">
        <v>45896</v>
      </c>
      <c r="D49" s="30" t="s">
        <v>964</v>
      </c>
      <c r="E49" s="32" t="n">
        <v>1648.33</v>
      </c>
      <c r="F49" s="30" t="s">
        <v>26</v>
      </c>
      <c r="G49" s="30" t="s">
        <v>960</v>
      </c>
    </row>
    <row r="50" customFormat="false" ht="15" hidden="false" customHeight="false" outlineLevel="0" collapsed="false">
      <c r="B50" s="30" t="s">
        <v>965</v>
      </c>
      <c r="C50" s="31" t="n">
        <v>45897</v>
      </c>
      <c r="D50" s="30" t="s">
        <v>964</v>
      </c>
      <c r="E50" s="32" t="n">
        <v>3065</v>
      </c>
      <c r="F50" s="30" t="s">
        <v>35</v>
      </c>
      <c r="G50" s="30" t="s">
        <v>960</v>
      </c>
    </row>
    <row r="51" customFormat="false" ht="15" hidden="false" customHeight="false" outlineLevel="0" collapsed="false">
      <c r="B51" s="30" t="s">
        <v>963</v>
      </c>
      <c r="C51" s="31" t="n">
        <v>45897</v>
      </c>
      <c r="D51" s="30" t="s">
        <v>964</v>
      </c>
      <c r="E51" s="32" t="n">
        <v>1742.5</v>
      </c>
      <c r="F51" s="30" t="s">
        <v>26</v>
      </c>
      <c r="G51" s="30" t="s">
        <v>960</v>
      </c>
    </row>
    <row r="52" customFormat="false" ht="15" hidden="false" customHeight="false" outlineLevel="0" collapsed="false">
      <c r="B52" s="30" t="s">
        <v>961</v>
      </c>
      <c r="C52" s="31" t="n">
        <v>45900</v>
      </c>
      <c r="D52" s="30" t="s">
        <v>962</v>
      </c>
      <c r="E52" s="32" t="n">
        <v>50000</v>
      </c>
      <c r="F52" s="30" t="s">
        <v>97</v>
      </c>
      <c r="G52" s="30" t="s">
        <v>960</v>
      </c>
    </row>
    <row r="53" customFormat="false" ht="15" hidden="false" customHeight="false" outlineLevel="0" collapsed="false">
      <c r="B53" s="30" t="s">
        <v>979</v>
      </c>
      <c r="C53" s="31" t="n">
        <v>45901</v>
      </c>
      <c r="D53" s="30" t="s">
        <v>962</v>
      </c>
      <c r="E53" s="32" t="n">
        <v>1210</v>
      </c>
      <c r="F53" s="30" t="s">
        <v>30</v>
      </c>
      <c r="G53" s="30" t="s">
        <v>960</v>
      </c>
    </row>
    <row r="54" customFormat="false" ht="15" hidden="false" customHeight="false" outlineLevel="0" collapsed="false">
      <c r="B54" s="30" t="s">
        <v>967</v>
      </c>
      <c r="C54" s="31" t="n">
        <v>45911</v>
      </c>
      <c r="D54" s="30" t="s">
        <v>964</v>
      </c>
      <c r="E54" s="32" t="n">
        <v>2083.75</v>
      </c>
      <c r="F54" s="30" t="s">
        <v>38</v>
      </c>
      <c r="G54" s="30" t="s">
        <v>960</v>
      </c>
    </row>
    <row r="55" customFormat="false" ht="15" hidden="false" customHeight="false" outlineLevel="0" collapsed="false">
      <c r="B55" s="30" t="s">
        <v>963</v>
      </c>
      <c r="C55" s="31" t="n">
        <v>45912</v>
      </c>
      <c r="D55" s="30" t="s">
        <v>964</v>
      </c>
      <c r="E55" s="32" t="n">
        <v>1465</v>
      </c>
      <c r="F55" s="30" t="s">
        <v>34</v>
      </c>
      <c r="G55" s="30" t="s">
        <v>960</v>
      </c>
    </row>
    <row r="56" customFormat="false" ht="15" hidden="false" customHeight="false" outlineLevel="0" collapsed="false">
      <c r="B56" s="30" t="s">
        <v>970</v>
      </c>
      <c r="C56" s="31" t="n">
        <v>45915</v>
      </c>
      <c r="D56" s="30" t="s">
        <v>964</v>
      </c>
      <c r="E56" s="32" t="n">
        <v>631.25</v>
      </c>
      <c r="F56" s="30" t="s">
        <v>28</v>
      </c>
      <c r="G56" s="30" t="s">
        <v>960</v>
      </c>
    </row>
    <row r="57" customFormat="false" ht="15" hidden="false" customHeight="false" outlineLevel="0" collapsed="false">
      <c r="B57" s="30" t="s">
        <v>963</v>
      </c>
      <c r="C57" s="31" t="n">
        <v>45915</v>
      </c>
      <c r="D57" s="30" t="s">
        <v>964</v>
      </c>
      <c r="E57" s="32" t="n">
        <v>3327.5</v>
      </c>
      <c r="F57" s="30" t="s">
        <v>26</v>
      </c>
      <c r="G57" s="30" t="s">
        <v>960</v>
      </c>
    </row>
    <row r="58" customFormat="false" ht="15" hidden="false" customHeight="false" outlineLevel="0" collapsed="false">
      <c r="B58" s="30" t="s">
        <v>965</v>
      </c>
      <c r="C58" s="31" t="n">
        <v>45915</v>
      </c>
      <c r="D58" s="30" t="s">
        <v>964</v>
      </c>
      <c r="E58" s="32" t="n">
        <v>1880</v>
      </c>
      <c r="F58" s="30" t="s">
        <v>35</v>
      </c>
      <c r="G58" s="30" t="s">
        <v>960</v>
      </c>
    </row>
    <row r="59" customFormat="false" ht="15" hidden="false" customHeight="false" outlineLevel="0" collapsed="false">
      <c r="B59" s="30" t="s">
        <v>970</v>
      </c>
      <c r="C59" s="31" t="n">
        <v>45915</v>
      </c>
      <c r="D59" s="30" t="s">
        <v>964</v>
      </c>
      <c r="E59" s="32" t="n">
        <v>330</v>
      </c>
      <c r="F59" s="30" t="s">
        <v>28</v>
      </c>
      <c r="G59" s="30" t="s">
        <v>960</v>
      </c>
    </row>
    <row r="60" customFormat="false" ht="15" hidden="false" customHeight="false" outlineLevel="0" collapsed="false">
      <c r="B60" s="30" t="s">
        <v>980</v>
      </c>
      <c r="C60" s="31" t="n">
        <v>45915</v>
      </c>
      <c r="D60" s="30" t="s">
        <v>962</v>
      </c>
      <c r="E60" s="32" t="n">
        <v>1870</v>
      </c>
      <c r="F60" s="30" t="s">
        <v>30</v>
      </c>
      <c r="G60" s="30" t="s">
        <v>960</v>
      </c>
    </row>
    <row r="61" customFormat="false" ht="15" hidden="false" customHeight="false" outlineLevel="0" collapsed="false">
      <c r="B61" s="30" t="s">
        <v>963</v>
      </c>
      <c r="C61" s="31" t="n">
        <v>45920</v>
      </c>
      <c r="D61" s="30" t="s">
        <v>964</v>
      </c>
      <c r="E61" s="32" t="n">
        <v>2151</v>
      </c>
      <c r="F61" s="30" t="s">
        <v>26</v>
      </c>
      <c r="G61" s="30" t="s">
        <v>960</v>
      </c>
    </row>
    <row r="62" customFormat="false" ht="15" hidden="false" customHeight="false" outlineLevel="0" collapsed="false">
      <c r="B62" s="30" t="s">
        <v>963</v>
      </c>
      <c r="C62" s="31" t="n">
        <v>45922</v>
      </c>
      <c r="D62" s="30" t="s">
        <v>964</v>
      </c>
      <c r="E62" s="32" t="n">
        <v>1742.5</v>
      </c>
      <c r="F62" s="30" t="s">
        <v>26</v>
      </c>
      <c r="G62" s="30" t="s">
        <v>960</v>
      </c>
    </row>
    <row r="63" customFormat="false" ht="15" hidden="false" customHeight="false" outlineLevel="0" collapsed="false">
      <c r="B63" s="30" t="s">
        <v>969</v>
      </c>
      <c r="C63" s="31" t="n">
        <v>45925</v>
      </c>
      <c r="D63" s="30" t="s">
        <v>964</v>
      </c>
      <c r="E63" s="32" t="n">
        <v>2500</v>
      </c>
      <c r="F63" s="30" t="s">
        <v>28</v>
      </c>
      <c r="G63" s="30" t="s">
        <v>960</v>
      </c>
    </row>
    <row r="64" customFormat="false" ht="15" hidden="false" customHeight="false" outlineLevel="0" collapsed="false">
      <c r="B64" s="30" t="s">
        <v>967</v>
      </c>
      <c r="C64" s="31" t="n">
        <v>45925</v>
      </c>
      <c r="D64" s="30" t="s">
        <v>964</v>
      </c>
      <c r="E64" s="32" t="n">
        <v>3250</v>
      </c>
      <c r="F64" s="30" t="s">
        <v>38</v>
      </c>
      <c r="G64" s="30" t="s">
        <v>960</v>
      </c>
    </row>
    <row r="65" customFormat="false" ht="15" hidden="false" customHeight="false" outlineLevel="0" collapsed="false">
      <c r="B65" s="30" t="s">
        <v>967</v>
      </c>
      <c r="C65" s="31" t="n">
        <v>45926</v>
      </c>
      <c r="D65" s="30" t="s">
        <v>964</v>
      </c>
      <c r="E65" s="32" t="n">
        <v>692</v>
      </c>
      <c r="F65" s="30" t="s">
        <v>38</v>
      </c>
      <c r="G65" s="30" t="s">
        <v>960</v>
      </c>
    </row>
    <row r="66" customFormat="false" ht="15" hidden="false" customHeight="false" outlineLevel="0" collapsed="false">
      <c r="B66" s="30" t="s">
        <v>963</v>
      </c>
      <c r="C66" s="31" t="n">
        <v>45927</v>
      </c>
      <c r="D66" s="30" t="s">
        <v>964</v>
      </c>
      <c r="E66" s="32" t="n">
        <v>1648.33</v>
      </c>
      <c r="F66" s="30" t="s">
        <v>26</v>
      </c>
      <c r="G66" s="30" t="s">
        <v>960</v>
      </c>
    </row>
    <row r="67" customFormat="false" ht="15" hidden="false" customHeight="false" outlineLevel="0" collapsed="false">
      <c r="B67" s="30" t="s">
        <v>970</v>
      </c>
      <c r="C67" s="31" t="n">
        <v>45928</v>
      </c>
      <c r="D67" s="30" t="s">
        <v>964</v>
      </c>
      <c r="E67" s="32" t="n">
        <v>3065</v>
      </c>
      <c r="F67" s="30" t="s">
        <v>28</v>
      </c>
      <c r="G67" s="30" t="s">
        <v>960</v>
      </c>
    </row>
    <row r="68" customFormat="false" ht="15" hidden="false" customHeight="false" outlineLevel="0" collapsed="false">
      <c r="B68" s="30" t="s">
        <v>965</v>
      </c>
      <c r="C68" s="31" t="n">
        <v>45929</v>
      </c>
      <c r="D68" s="30" t="s">
        <v>964</v>
      </c>
      <c r="E68" s="32" t="n">
        <v>1333</v>
      </c>
      <c r="F68" s="30" t="s">
        <v>35</v>
      </c>
      <c r="G68" s="30" t="s">
        <v>960</v>
      </c>
    </row>
    <row r="69" customFormat="false" ht="15" hidden="false" customHeight="false" outlineLevel="0" collapsed="false">
      <c r="B69" s="30" t="s">
        <v>971</v>
      </c>
      <c r="C69" s="31" t="n">
        <v>45929</v>
      </c>
      <c r="D69" s="30" t="s">
        <v>964</v>
      </c>
      <c r="E69" s="32" t="n">
        <v>1465</v>
      </c>
      <c r="F69" s="30" t="s">
        <v>28</v>
      </c>
      <c r="G69" s="30" t="s">
        <v>960</v>
      </c>
    </row>
    <row r="70" customFormat="false" ht="15" hidden="false" customHeight="false" outlineLevel="0" collapsed="false">
      <c r="B70" s="30" t="s">
        <v>965</v>
      </c>
      <c r="C70" s="31" t="n">
        <v>45930</v>
      </c>
      <c r="D70" s="30" t="s">
        <v>964</v>
      </c>
      <c r="E70" s="32" t="n">
        <v>1490</v>
      </c>
      <c r="F70" s="30" t="s">
        <v>35</v>
      </c>
      <c r="G70" s="30" t="s">
        <v>960</v>
      </c>
    </row>
    <row r="71" customFormat="false" ht="15" hidden="false" customHeight="false" outlineLevel="0" collapsed="false">
      <c r="B71" s="30" t="s">
        <v>981</v>
      </c>
      <c r="C71" s="31" t="n">
        <v>45930</v>
      </c>
      <c r="D71" s="30" t="s">
        <v>964</v>
      </c>
      <c r="E71" s="32" t="n">
        <v>1101</v>
      </c>
      <c r="F71" s="30" t="s">
        <v>28</v>
      </c>
      <c r="G71" s="30" t="s">
        <v>960</v>
      </c>
    </row>
    <row r="72" customFormat="false" ht="15" hidden="false" customHeight="false" outlineLevel="0" collapsed="false">
      <c r="B72" s="30" t="s">
        <v>961</v>
      </c>
      <c r="C72" s="31" t="n">
        <v>45930</v>
      </c>
      <c r="D72" s="30" t="s">
        <v>962</v>
      </c>
      <c r="E72" s="32" t="n">
        <v>50000</v>
      </c>
      <c r="F72" s="30" t="s">
        <v>97</v>
      </c>
      <c r="G72" s="30" t="s">
        <v>960</v>
      </c>
    </row>
    <row r="73" customFormat="false" ht="15" hidden="false" customHeight="false" outlineLevel="0" collapsed="false">
      <c r="B73" s="30" t="s">
        <v>965</v>
      </c>
      <c r="C73" s="31" t="n">
        <v>45930</v>
      </c>
      <c r="D73" s="30" t="s">
        <v>964</v>
      </c>
      <c r="E73" s="32" t="n">
        <v>714</v>
      </c>
      <c r="F73" s="30" t="s">
        <v>35</v>
      </c>
      <c r="G73" s="30" t="s">
        <v>960</v>
      </c>
    </row>
    <row r="74" customFormat="false" ht="15" hidden="false" customHeight="false" outlineLevel="0" collapsed="false">
      <c r="B74" s="30" t="s">
        <v>970</v>
      </c>
      <c r="C74" s="31" t="n">
        <v>45930</v>
      </c>
      <c r="D74" s="30" t="s">
        <v>964</v>
      </c>
      <c r="E74" s="32" t="n">
        <v>3350</v>
      </c>
      <c r="F74" s="30" t="s">
        <v>28</v>
      </c>
      <c r="G74" s="30" t="s">
        <v>960</v>
      </c>
    </row>
    <row r="75" customFormat="false" ht="15" hidden="false" customHeight="false" outlineLevel="0" collapsed="false">
      <c r="B75" s="30" t="s">
        <v>982</v>
      </c>
      <c r="C75" s="31" t="n">
        <v>45936</v>
      </c>
      <c r="D75" s="30" t="s">
        <v>962</v>
      </c>
      <c r="E75" s="32" t="n">
        <v>121</v>
      </c>
      <c r="F75" s="30" t="s">
        <v>29</v>
      </c>
      <c r="G75" s="30" t="s">
        <v>960</v>
      </c>
    </row>
    <row r="76" customFormat="false" ht="15" hidden="false" customHeight="false" outlineLevel="0" collapsed="false">
      <c r="B76" s="30" t="s">
        <v>983</v>
      </c>
      <c r="C76" s="31" t="n">
        <v>45936</v>
      </c>
      <c r="D76" s="30" t="s">
        <v>962</v>
      </c>
      <c r="E76" s="32" t="n">
        <v>9868.4</v>
      </c>
      <c r="F76" s="30" t="s">
        <v>26</v>
      </c>
      <c r="G76" s="30" t="s">
        <v>960</v>
      </c>
    </row>
    <row r="77" customFormat="false" ht="15" hidden="false" customHeight="false" outlineLevel="0" collapsed="false">
      <c r="B77" s="30" t="s">
        <v>984</v>
      </c>
      <c r="C77" s="31" t="n">
        <v>45937</v>
      </c>
      <c r="D77" s="30" t="s">
        <v>962</v>
      </c>
      <c r="E77" s="32" t="n">
        <v>26.59</v>
      </c>
      <c r="F77" s="30" t="s">
        <v>45</v>
      </c>
      <c r="G77" s="30" t="s">
        <v>960</v>
      </c>
    </row>
    <row r="78" customFormat="false" ht="15" hidden="false" customHeight="false" outlineLevel="0" collapsed="false">
      <c r="B78" s="30" t="s">
        <v>967</v>
      </c>
      <c r="C78" s="31" t="n">
        <v>45940</v>
      </c>
      <c r="D78" s="30" t="s">
        <v>964</v>
      </c>
      <c r="E78" s="32" t="n">
        <v>1465</v>
      </c>
      <c r="F78" s="30" t="s">
        <v>38</v>
      </c>
      <c r="G78" s="30" t="s">
        <v>960</v>
      </c>
    </row>
    <row r="79" customFormat="false" ht="15" hidden="false" customHeight="false" outlineLevel="0" collapsed="false">
      <c r="B79" s="30" t="s">
        <v>977</v>
      </c>
      <c r="C79" s="31" t="n">
        <v>45940</v>
      </c>
      <c r="D79" s="30" t="s">
        <v>962</v>
      </c>
      <c r="E79" s="32" t="n">
        <v>1100</v>
      </c>
      <c r="F79" s="30" t="s">
        <v>76</v>
      </c>
      <c r="G79" s="30" t="s">
        <v>960</v>
      </c>
    </row>
    <row r="80" customFormat="false" ht="15" hidden="false" customHeight="false" outlineLevel="0" collapsed="false">
      <c r="B80" s="30" t="s">
        <v>985</v>
      </c>
      <c r="C80" s="31" t="n">
        <v>45940</v>
      </c>
      <c r="D80" s="30" t="s">
        <v>962</v>
      </c>
      <c r="E80" s="32" t="n">
        <v>2500</v>
      </c>
      <c r="F80" s="30" t="s">
        <v>84</v>
      </c>
      <c r="G80" s="30" t="s">
        <v>960</v>
      </c>
    </row>
    <row r="81" customFormat="false" ht="15" hidden="false" customHeight="false" outlineLevel="0" collapsed="false">
      <c r="B81" s="30" t="s">
        <v>970</v>
      </c>
      <c r="C81" s="31" t="n">
        <v>45940</v>
      </c>
      <c r="D81" s="30" t="s">
        <v>964</v>
      </c>
      <c r="E81" s="32" t="n">
        <v>2083.75</v>
      </c>
      <c r="F81" s="30" t="s">
        <v>28</v>
      </c>
      <c r="G81" s="30" t="s">
        <v>960</v>
      </c>
    </row>
    <row r="82" customFormat="false" ht="15" hidden="false" customHeight="false" outlineLevel="0" collapsed="false">
      <c r="B82" s="30" t="s">
        <v>986</v>
      </c>
      <c r="C82" s="31" t="n">
        <v>45943</v>
      </c>
      <c r="D82" s="30" t="s">
        <v>959</v>
      </c>
      <c r="E82" s="32" t="n">
        <v>1292.51</v>
      </c>
      <c r="F82" s="30" t="s">
        <v>26</v>
      </c>
      <c r="G82" s="30" t="s">
        <v>960</v>
      </c>
    </row>
    <row r="83" customFormat="false" ht="15" hidden="false" customHeight="false" outlineLevel="0" collapsed="false">
      <c r="B83" s="30" t="s">
        <v>986</v>
      </c>
      <c r="C83" s="31" t="n">
        <v>45943</v>
      </c>
      <c r="D83" s="30" t="s">
        <v>959</v>
      </c>
      <c r="E83" s="32" t="n">
        <v>8746.36</v>
      </c>
      <c r="F83" s="30" t="s">
        <v>26</v>
      </c>
      <c r="G83" s="30" t="s">
        <v>960</v>
      </c>
    </row>
    <row r="84" customFormat="false" ht="15" hidden="false" customHeight="false" outlineLevel="0" collapsed="false">
      <c r="B84" s="30" t="s">
        <v>986</v>
      </c>
      <c r="C84" s="31" t="n">
        <v>45943</v>
      </c>
      <c r="D84" s="30" t="s">
        <v>959</v>
      </c>
      <c r="E84" s="32" t="n">
        <v>2998.98</v>
      </c>
      <c r="F84" s="30" t="s">
        <v>26</v>
      </c>
      <c r="G84" s="30" t="s">
        <v>960</v>
      </c>
    </row>
    <row r="85" customFormat="false" ht="15" hidden="false" customHeight="false" outlineLevel="0" collapsed="false">
      <c r="B85" s="30" t="s">
        <v>986</v>
      </c>
      <c r="C85" s="31" t="n">
        <v>45943</v>
      </c>
      <c r="D85" s="30" t="s">
        <v>959</v>
      </c>
      <c r="E85" s="32" t="n">
        <v>4309.03</v>
      </c>
      <c r="F85" s="30" t="s">
        <v>26</v>
      </c>
      <c r="G85" s="30" t="s">
        <v>960</v>
      </c>
    </row>
    <row r="86" customFormat="false" ht="15" hidden="false" customHeight="false" outlineLevel="0" collapsed="false">
      <c r="B86" s="30" t="s">
        <v>986</v>
      </c>
      <c r="C86" s="31" t="n">
        <v>45943</v>
      </c>
      <c r="D86" s="30" t="s">
        <v>959</v>
      </c>
      <c r="E86" s="32" t="n">
        <v>4648.27</v>
      </c>
      <c r="F86" s="30" t="s">
        <v>26</v>
      </c>
      <c r="G86" s="30" t="s">
        <v>960</v>
      </c>
    </row>
    <row r="87" customFormat="false" ht="15" hidden="false" customHeight="false" outlineLevel="0" collapsed="false">
      <c r="B87" s="30" t="s">
        <v>986</v>
      </c>
      <c r="C87" s="31" t="n">
        <v>45943</v>
      </c>
      <c r="D87" s="30" t="s">
        <v>959</v>
      </c>
      <c r="E87" s="32" t="n">
        <v>2827.49</v>
      </c>
      <c r="F87" s="30" t="s">
        <v>26</v>
      </c>
      <c r="G87" s="30" t="s">
        <v>960</v>
      </c>
    </row>
    <row r="88" customFormat="false" ht="15" hidden="false" customHeight="false" outlineLevel="0" collapsed="false">
      <c r="B88" s="30" t="s">
        <v>986</v>
      </c>
      <c r="C88" s="31" t="n">
        <v>45943</v>
      </c>
      <c r="D88" s="30" t="s">
        <v>959</v>
      </c>
      <c r="E88" s="32" t="n">
        <v>3621.1</v>
      </c>
      <c r="F88" s="30" t="s">
        <v>26</v>
      </c>
      <c r="G88" s="30" t="s">
        <v>960</v>
      </c>
    </row>
    <row r="89" customFormat="false" ht="15" hidden="false" customHeight="false" outlineLevel="0" collapsed="false">
      <c r="B89" s="30" t="s">
        <v>986</v>
      </c>
      <c r="C89" s="31" t="n">
        <v>45943</v>
      </c>
      <c r="D89" s="30" t="s">
        <v>959</v>
      </c>
      <c r="E89" s="32" t="n">
        <v>10574.02</v>
      </c>
      <c r="F89" s="30" t="s">
        <v>26</v>
      </c>
      <c r="G89" s="30" t="s">
        <v>960</v>
      </c>
    </row>
    <row r="90" customFormat="false" ht="15" hidden="false" customHeight="false" outlineLevel="0" collapsed="false">
      <c r="B90" s="30" t="s">
        <v>986</v>
      </c>
      <c r="C90" s="31" t="n">
        <v>45943</v>
      </c>
      <c r="D90" s="30" t="s">
        <v>959</v>
      </c>
      <c r="E90" s="32" t="n">
        <v>4277.13</v>
      </c>
      <c r="F90" s="30" t="s">
        <v>26</v>
      </c>
      <c r="G90" s="30" t="s">
        <v>960</v>
      </c>
    </row>
    <row r="91" customFormat="false" ht="15" hidden="false" customHeight="false" outlineLevel="0" collapsed="false">
      <c r="B91" s="30" t="s">
        <v>971</v>
      </c>
      <c r="C91" s="31" t="n">
        <v>45945</v>
      </c>
      <c r="D91" s="30" t="s">
        <v>964</v>
      </c>
      <c r="E91" s="32" t="n">
        <v>330</v>
      </c>
      <c r="F91" s="30" t="s">
        <v>28</v>
      </c>
      <c r="G91" s="30" t="s">
        <v>960</v>
      </c>
    </row>
    <row r="92" customFormat="false" ht="15" hidden="false" customHeight="false" outlineLevel="0" collapsed="false">
      <c r="B92" s="30" t="s">
        <v>971</v>
      </c>
      <c r="C92" s="31" t="n">
        <v>45945</v>
      </c>
      <c r="D92" s="30" t="s">
        <v>964</v>
      </c>
      <c r="E92" s="32" t="n">
        <v>1880</v>
      </c>
      <c r="F92" s="30" t="s">
        <v>28</v>
      </c>
      <c r="G92" s="30" t="s">
        <v>960</v>
      </c>
    </row>
    <row r="93" customFormat="false" ht="15" hidden="false" customHeight="false" outlineLevel="0" collapsed="false">
      <c r="B93" s="30" t="s">
        <v>986</v>
      </c>
      <c r="C93" s="31" t="n">
        <v>45950</v>
      </c>
      <c r="D93" s="30" t="s">
        <v>959</v>
      </c>
      <c r="E93" s="32" t="n">
        <v>4465.88</v>
      </c>
      <c r="F93" s="30" t="s">
        <v>26</v>
      </c>
      <c r="G93" s="30" t="s">
        <v>960</v>
      </c>
    </row>
    <row r="94" customFormat="false" ht="15" hidden="false" customHeight="false" outlineLevel="0" collapsed="false">
      <c r="B94" s="30" t="s">
        <v>986</v>
      </c>
      <c r="C94" s="31" t="n">
        <v>45950</v>
      </c>
      <c r="D94" s="30" t="s">
        <v>959</v>
      </c>
      <c r="E94" s="32" t="n">
        <v>3335.38</v>
      </c>
      <c r="F94" s="30" t="s">
        <v>26</v>
      </c>
      <c r="G94" s="30" t="s">
        <v>960</v>
      </c>
    </row>
    <row r="95" customFormat="false" ht="15" hidden="false" customHeight="false" outlineLevel="0" collapsed="false">
      <c r="B95" s="30" t="s">
        <v>986</v>
      </c>
      <c r="C95" s="31" t="n">
        <v>45950</v>
      </c>
      <c r="D95" s="30" t="s">
        <v>959</v>
      </c>
      <c r="E95" s="32" t="n">
        <v>9357.74</v>
      </c>
      <c r="F95" s="30" t="s">
        <v>26</v>
      </c>
      <c r="G95" s="30" t="s">
        <v>960</v>
      </c>
    </row>
    <row r="96" customFormat="false" ht="15" hidden="false" customHeight="false" outlineLevel="0" collapsed="false">
      <c r="B96" s="30" t="s">
        <v>963</v>
      </c>
      <c r="C96" s="31" t="n">
        <v>45950</v>
      </c>
      <c r="D96" s="30" t="s">
        <v>964</v>
      </c>
      <c r="E96" s="32" t="n">
        <v>2512</v>
      </c>
      <c r="F96" s="30" t="s">
        <v>26</v>
      </c>
      <c r="G96" s="30" t="s">
        <v>960</v>
      </c>
    </row>
    <row r="97" customFormat="false" ht="15" hidden="false" customHeight="false" outlineLevel="0" collapsed="false">
      <c r="B97" s="30" t="s">
        <v>981</v>
      </c>
      <c r="C97" s="31" t="n">
        <v>45950</v>
      </c>
      <c r="D97" s="30" t="s">
        <v>964</v>
      </c>
      <c r="E97" s="32" t="n">
        <v>1465</v>
      </c>
      <c r="F97" s="30" t="s">
        <v>28</v>
      </c>
      <c r="G97" s="30" t="s">
        <v>960</v>
      </c>
    </row>
    <row r="98" customFormat="false" ht="15" hidden="false" customHeight="false" outlineLevel="0" collapsed="false">
      <c r="B98" s="30" t="s">
        <v>970</v>
      </c>
      <c r="C98" s="31" t="n">
        <v>45950</v>
      </c>
      <c r="D98" s="30" t="s">
        <v>964</v>
      </c>
      <c r="E98" s="32" t="n">
        <v>2155.5</v>
      </c>
      <c r="F98" s="30" t="s">
        <v>28</v>
      </c>
      <c r="G98" s="30" t="s">
        <v>960</v>
      </c>
    </row>
    <row r="99" customFormat="false" ht="15" hidden="false" customHeight="false" outlineLevel="0" collapsed="false">
      <c r="B99" s="30" t="s">
        <v>987</v>
      </c>
      <c r="C99" s="31" t="n">
        <v>45950</v>
      </c>
      <c r="D99" s="30" t="s">
        <v>988</v>
      </c>
      <c r="E99" s="32" t="n">
        <v>2088</v>
      </c>
      <c r="F99" s="30" t="s">
        <v>58</v>
      </c>
      <c r="G99" s="30" t="s">
        <v>960</v>
      </c>
    </row>
    <row r="100" customFormat="false" ht="15" hidden="false" customHeight="false" outlineLevel="0" collapsed="false">
      <c r="B100" s="30" t="s">
        <v>963</v>
      </c>
      <c r="C100" s="31" t="n">
        <v>45951</v>
      </c>
      <c r="D100" s="30" t="s">
        <v>964</v>
      </c>
      <c r="E100" s="32" t="n">
        <v>2000</v>
      </c>
      <c r="F100" s="30" t="s">
        <v>34</v>
      </c>
      <c r="G100" s="30" t="s">
        <v>960</v>
      </c>
    </row>
    <row r="101" customFormat="false" ht="15" hidden="false" customHeight="false" outlineLevel="0" collapsed="false">
      <c r="B101" s="30" t="s">
        <v>989</v>
      </c>
      <c r="C101" s="31" t="n">
        <v>45951</v>
      </c>
      <c r="D101" s="30" t="s">
        <v>988</v>
      </c>
      <c r="E101" s="32" t="n">
        <v>120</v>
      </c>
      <c r="F101" s="30" t="s">
        <v>65</v>
      </c>
      <c r="G101" s="30" t="s">
        <v>960</v>
      </c>
    </row>
    <row r="102" customFormat="false" ht="15" hidden="false" customHeight="false" outlineLevel="0" collapsed="false">
      <c r="B102" s="30" t="s">
        <v>990</v>
      </c>
      <c r="C102" s="31" t="n">
        <v>45951</v>
      </c>
      <c r="D102" s="30" t="s">
        <v>988</v>
      </c>
      <c r="E102" s="32" t="n">
        <v>42329</v>
      </c>
      <c r="F102" s="30" t="s">
        <v>58</v>
      </c>
      <c r="G102" s="30" t="s">
        <v>960</v>
      </c>
    </row>
    <row r="103" customFormat="false" ht="15" hidden="false" customHeight="false" outlineLevel="0" collapsed="false">
      <c r="B103" s="30" t="s">
        <v>984</v>
      </c>
      <c r="C103" s="31" t="n">
        <v>45952</v>
      </c>
      <c r="D103" s="30" t="s">
        <v>991</v>
      </c>
      <c r="E103" s="32" t="n">
        <v>100</v>
      </c>
      <c r="F103" s="30" t="s">
        <v>78</v>
      </c>
      <c r="G103" s="30" t="s">
        <v>960</v>
      </c>
    </row>
    <row r="104" customFormat="false" ht="15" hidden="false" customHeight="false" outlineLevel="0" collapsed="false">
      <c r="B104" s="30" t="s">
        <v>992</v>
      </c>
      <c r="C104" s="31" t="n">
        <v>45952</v>
      </c>
      <c r="D104" s="30" t="s">
        <v>988</v>
      </c>
      <c r="E104" s="32" t="n">
        <v>12013.66</v>
      </c>
      <c r="F104" s="30" t="s">
        <v>63</v>
      </c>
      <c r="G104" s="30" t="s">
        <v>960</v>
      </c>
    </row>
    <row r="105" customFormat="false" ht="15" hidden="false" customHeight="false" outlineLevel="0" collapsed="false">
      <c r="B105" s="30" t="s">
        <v>987</v>
      </c>
      <c r="C105" s="31" t="n">
        <v>45952</v>
      </c>
      <c r="D105" s="30" t="s">
        <v>988</v>
      </c>
      <c r="E105" s="32" t="n">
        <v>3127.85</v>
      </c>
      <c r="F105" s="30" t="s">
        <v>58</v>
      </c>
      <c r="G105" s="30" t="s">
        <v>960</v>
      </c>
    </row>
    <row r="106" customFormat="false" ht="15" hidden="false" customHeight="false" outlineLevel="0" collapsed="false">
      <c r="B106" s="30" t="s">
        <v>993</v>
      </c>
      <c r="C106" s="31" t="n">
        <v>45953</v>
      </c>
      <c r="D106" s="30" t="s">
        <v>988</v>
      </c>
      <c r="E106" s="32" t="n">
        <v>12445.02</v>
      </c>
      <c r="F106" s="30" t="s">
        <v>58</v>
      </c>
      <c r="G106" s="30" t="s">
        <v>960</v>
      </c>
    </row>
    <row r="107" customFormat="false" ht="15" hidden="false" customHeight="false" outlineLevel="0" collapsed="false">
      <c r="B107" s="30" t="s">
        <v>963</v>
      </c>
      <c r="C107" s="31" t="n">
        <v>45954</v>
      </c>
      <c r="D107" s="30" t="s">
        <v>964</v>
      </c>
      <c r="E107" s="32" t="n">
        <v>3250</v>
      </c>
      <c r="F107" s="30" t="s">
        <v>34</v>
      </c>
      <c r="G107" s="30" t="s">
        <v>960</v>
      </c>
    </row>
    <row r="108" customFormat="false" ht="15" hidden="false" customHeight="false" outlineLevel="0" collapsed="false">
      <c r="B108" s="30" t="s">
        <v>963</v>
      </c>
      <c r="C108" s="31" t="n">
        <v>45957</v>
      </c>
      <c r="D108" s="30" t="s">
        <v>964</v>
      </c>
      <c r="E108" s="32" t="n">
        <v>1648.33</v>
      </c>
      <c r="F108" s="30" t="s">
        <v>26</v>
      </c>
      <c r="G108" s="30" t="s">
        <v>960</v>
      </c>
    </row>
    <row r="109" customFormat="false" ht="15" hidden="false" customHeight="false" outlineLevel="0" collapsed="false">
      <c r="B109" s="30" t="s">
        <v>986</v>
      </c>
      <c r="C109" s="31" t="n">
        <v>45958</v>
      </c>
      <c r="D109" s="30" t="s">
        <v>959</v>
      </c>
      <c r="E109" s="32" t="n">
        <v>2998.98</v>
      </c>
      <c r="F109" s="30" t="s">
        <v>26</v>
      </c>
      <c r="G109" s="30" t="s">
        <v>960</v>
      </c>
    </row>
    <row r="110" customFormat="false" ht="15" hidden="false" customHeight="false" outlineLevel="0" collapsed="false">
      <c r="B110" s="30" t="s">
        <v>986</v>
      </c>
      <c r="C110" s="31" t="n">
        <v>45958</v>
      </c>
      <c r="D110" s="30" t="s">
        <v>959</v>
      </c>
      <c r="E110" s="32" t="n">
        <v>8746.36</v>
      </c>
      <c r="F110" s="30" t="s">
        <v>26</v>
      </c>
      <c r="G110" s="30" t="s">
        <v>960</v>
      </c>
    </row>
    <row r="111" customFormat="false" ht="15" hidden="false" customHeight="false" outlineLevel="0" collapsed="false">
      <c r="B111" s="30" t="s">
        <v>986</v>
      </c>
      <c r="C111" s="31" t="n">
        <v>45958</v>
      </c>
      <c r="D111" s="30" t="s">
        <v>959</v>
      </c>
      <c r="E111" s="32" t="n">
        <v>4040.78</v>
      </c>
      <c r="F111" s="30" t="s">
        <v>26</v>
      </c>
      <c r="G111" s="30" t="s">
        <v>960</v>
      </c>
    </row>
    <row r="112" customFormat="false" ht="15" hidden="false" customHeight="false" outlineLevel="0" collapsed="false">
      <c r="B112" s="30" t="s">
        <v>994</v>
      </c>
      <c r="C112" s="31" t="n">
        <v>45958</v>
      </c>
      <c r="D112" s="30" t="s">
        <v>988</v>
      </c>
      <c r="E112" s="32" t="n">
        <v>15436.91</v>
      </c>
      <c r="F112" s="30" t="s">
        <v>58</v>
      </c>
      <c r="G112" s="30" t="s">
        <v>960</v>
      </c>
    </row>
    <row r="113" customFormat="false" ht="15" hidden="false" customHeight="false" outlineLevel="0" collapsed="false">
      <c r="B113" s="30" t="s">
        <v>986</v>
      </c>
      <c r="C113" s="31" t="n">
        <v>45958</v>
      </c>
      <c r="D113" s="30" t="s">
        <v>959</v>
      </c>
      <c r="E113" s="32" t="n">
        <v>1292.49</v>
      </c>
      <c r="F113" s="30" t="s">
        <v>26</v>
      </c>
      <c r="G113" s="30" t="s">
        <v>960</v>
      </c>
    </row>
    <row r="114" customFormat="false" ht="15" hidden="false" customHeight="false" outlineLevel="0" collapsed="false">
      <c r="B114" s="30" t="s">
        <v>986</v>
      </c>
      <c r="C114" s="31" t="n">
        <v>45958</v>
      </c>
      <c r="D114" s="30" t="s">
        <v>959</v>
      </c>
      <c r="E114" s="32" t="n">
        <v>4648.28</v>
      </c>
      <c r="F114" s="30" t="s">
        <v>26</v>
      </c>
      <c r="G114" s="30" t="s">
        <v>960</v>
      </c>
    </row>
    <row r="115" customFormat="false" ht="15" hidden="false" customHeight="false" outlineLevel="0" collapsed="false">
      <c r="B115" s="30" t="s">
        <v>986</v>
      </c>
      <c r="C115" s="31" t="n">
        <v>45958</v>
      </c>
      <c r="D115" s="30" t="s">
        <v>959</v>
      </c>
      <c r="E115" s="32" t="n">
        <v>10574.02</v>
      </c>
      <c r="F115" s="30" t="s">
        <v>26</v>
      </c>
      <c r="G115" s="30" t="s">
        <v>960</v>
      </c>
    </row>
    <row r="116" customFormat="false" ht="15" hidden="false" customHeight="false" outlineLevel="0" collapsed="false">
      <c r="B116" s="30" t="s">
        <v>986</v>
      </c>
      <c r="C116" s="31" t="n">
        <v>45958</v>
      </c>
      <c r="D116" s="30" t="s">
        <v>959</v>
      </c>
      <c r="E116" s="32" t="n">
        <v>2827.5</v>
      </c>
      <c r="F116" s="30" t="s">
        <v>26</v>
      </c>
      <c r="G116" s="30" t="s">
        <v>960</v>
      </c>
    </row>
    <row r="117" customFormat="false" ht="15" hidden="false" customHeight="false" outlineLevel="0" collapsed="false">
      <c r="B117" s="30" t="s">
        <v>971</v>
      </c>
      <c r="C117" s="31" t="n">
        <v>45958</v>
      </c>
      <c r="D117" s="30" t="s">
        <v>964</v>
      </c>
      <c r="E117" s="32" t="n">
        <v>3065</v>
      </c>
      <c r="F117" s="30" t="s">
        <v>28</v>
      </c>
      <c r="G117" s="30" t="s">
        <v>960</v>
      </c>
    </row>
    <row r="118" customFormat="false" ht="15" hidden="false" customHeight="false" outlineLevel="0" collapsed="false">
      <c r="B118" s="30" t="s">
        <v>986</v>
      </c>
      <c r="C118" s="31" t="n">
        <v>45958</v>
      </c>
      <c r="D118" s="30" t="s">
        <v>959</v>
      </c>
      <c r="E118" s="32" t="n">
        <v>3621.12</v>
      </c>
      <c r="F118" s="30" t="s">
        <v>26</v>
      </c>
      <c r="G118" s="30" t="s">
        <v>960</v>
      </c>
    </row>
    <row r="119" customFormat="false" ht="15" hidden="false" customHeight="false" outlineLevel="0" collapsed="false">
      <c r="B119" s="30" t="s">
        <v>986</v>
      </c>
      <c r="C119" s="31" t="n">
        <v>45958</v>
      </c>
      <c r="D119" s="30" t="s">
        <v>959</v>
      </c>
      <c r="E119" s="32" t="n">
        <v>6315.81</v>
      </c>
      <c r="F119" s="30" t="s">
        <v>26</v>
      </c>
      <c r="G119" s="30" t="s">
        <v>960</v>
      </c>
    </row>
    <row r="120" customFormat="false" ht="15" hidden="false" customHeight="false" outlineLevel="0" collapsed="false">
      <c r="B120" s="30" t="s">
        <v>986</v>
      </c>
      <c r="C120" s="31" t="n">
        <v>45959</v>
      </c>
      <c r="D120" s="30" t="s">
        <v>959</v>
      </c>
      <c r="E120" s="32" t="n">
        <v>12292.25</v>
      </c>
      <c r="F120" s="30" t="s">
        <v>26</v>
      </c>
      <c r="G120" s="30" t="s">
        <v>960</v>
      </c>
    </row>
    <row r="121" customFormat="false" ht="15" hidden="false" customHeight="false" outlineLevel="0" collapsed="false">
      <c r="B121" s="30" t="s">
        <v>995</v>
      </c>
      <c r="C121" s="31" t="n">
        <v>45959</v>
      </c>
      <c r="D121" s="30" t="s">
        <v>959</v>
      </c>
      <c r="E121" s="32" t="n">
        <v>6015.52</v>
      </c>
      <c r="F121" s="30" t="s">
        <v>26</v>
      </c>
      <c r="G121" s="30" t="s">
        <v>960</v>
      </c>
    </row>
    <row r="122" customFormat="false" ht="15" hidden="false" customHeight="false" outlineLevel="0" collapsed="false">
      <c r="B122" s="30" t="s">
        <v>986</v>
      </c>
      <c r="C122" s="31" t="n">
        <v>45959</v>
      </c>
      <c r="D122" s="30" t="s">
        <v>959</v>
      </c>
      <c r="E122" s="32" t="n">
        <v>1791.81</v>
      </c>
      <c r="F122" s="30" t="s">
        <v>26</v>
      </c>
      <c r="G122" s="30" t="s">
        <v>960</v>
      </c>
    </row>
    <row r="123" customFormat="false" ht="15" hidden="false" customHeight="false" outlineLevel="0" collapsed="false">
      <c r="B123" s="30" t="s">
        <v>986</v>
      </c>
      <c r="C123" s="31" t="n">
        <v>45959</v>
      </c>
      <c r="D123" s="30" t="s">
        <v>959</v>
      </c>
      <c r="E123" s="32" t="n">
        <v>9456.34</v>
      </c>
      <c r="F123" s="30" t="s">
        <v>26</v>
      </c>
      <c r="G123" s="30" t="s">
        <v>960</v>
      </c>
    </row>
    <row r="124" customFormat="false" ht="15" hidden="false" customHeight="false" outlineLevel="0" collapsed="false">
      <c r="B124" s="30" t="s">
        <v>986</v>
      </c>
      <c r="C124" s="31" t="n">
        <v>45959</v>
      </c>
      <c r="D124" s="30" t="s">
        <v>959</v>
      </c>
      <c r="E124" s="32" t="n">
        <v>1678.95</v>
      </c>
      <c r="F124" s="30" t="s">
        <v>26</v>
      </c>
      <c r="G124" s="30" t="s">
        <v>960</v>
      </c>
    </row>
    <row r="125" customFormat="false" ht="15" hidden="false" customHeight="false" outlineLevel="0" collapsed="false">
      <c r="B125" s="30" t="s">
        <v>986</v>
      </c>
      <c r="C125" s="31" t="n">
        <v>45959</v>
      </c>
      <c r="D125" s="30" t="s">
        <v>959</v>
      </c>
      <c r="E125" s="32" t="n">
        <v>3538.55</v>
      </c>
      <c r="F125" s="30" t="s">
        <v>26</v>
      </c>
      <c r="G125" s="30" t="s">
        <v>960</v>
      </c>
    </row>
    <row r="126" customFormat="false" ht="15" hidden="false" customHeight="false" outlineLevel="0" collapsed="false">
      <c r="B126" s="30" t="s">
        <v>965</v>
      </c>
      <c r="C126" s="31" t="n">
        <v>45959</v>
      </c>
      <c r="D126" s="30" t="s">
        <v>964</v>
      </c>
      <c r="E126" s="32" t="n">
        <v>5294</v>
      </c>
      <c r="F126" s="30" t="s">
        <v>35</v>
      </c>
      <c r="G126" s="30" t="s">
        <v>960</v>
      </c>
    </row>
    <row r="127" customFormat="false" ht="15" hidden="false" customHeight="false" outlineLevel="0" collapsed="false">
      <c r="B127" s="30" t="s">
        <v>981</v>
      </c>
      <c r="C127" s="31" t="n">
        <v>45960</v>
      </c>
      <c r="D127" s="30" t="s">
        <v>964</v>
      </c>
      <c r="E127" s="32" t="n">
        <v>3365</v>
      </c>
      <c r="F127" s="30" t="s">
        <v>28</v>
      </c>
      <c r="G127" s="30" t="s">
        <v>960</v>
      </c>
    </row>
    <row r="128" customFormat="false" ht="15" hidden="false" customHeight="false" outlineLevel="0" collapsed="false">
      <c r="B128" s="30" t="s">
        <v>961</v>
      </c>
      <c r="C128" s="31" t="n">
        <v>45961</v>
      </c>
      <c r="D128" s="30" t="s">
        <v>962</v>
      </c>
      <c r="E128" s="32" t="n">
        <v>50000</v>
      </c>
      <c r="F128" s="30" t="s">
        <v>97</v>
      </c>
      <c r="G128" s="30" t="s">
        <v>960</v>
      </c>
    </row>
    <row r="129" customFormat="false" ht="15" hidden="false" customHeight="false" outlineLevel="0" collapsed="false">
      <c r="B129" s="30" t="s">
        <v>986</v>
      </c>
      <c r="C129" s="31" t="n">
        <v>45965</v>
      </c>
      <c r="D129" s="30" t="s">
        <v>959</v>
      </c>
      <c r="E129" s="32" t="n">
        <v>9357.74</v>
      </c>
      <c r="F129" s="30" t="s">
        <v>26</v>
      </c>
      <c r="G129" s="30" t="s">
        <v>960</v>
      </c>
    </row>
    <row r="130" customFormat="false" ht="15" hidden="false" customHeight="false" outlineLevel="0" collapsed="false">
      <c r="B130" s="30" t="s">
        <v>986</v>
      </c>
      <c r="C130" s="31" t="n">
        <v>45965</v>
      </c>
      <c r="D130" s="30" t="s">
        <v>959</v>
      </c>
      <c r="E130" s="32" t="n">
        <v>3335.37</v>
      </c>
      <c r="F130" s="30" t="s">
        <v>26</v>
      </c>
      <c r="G130" s="30" t="s">
        <v>960</v>
      </c>
    </row>
    <row r="131" customFormat="false" ht="15" hidden="false" customHeight="false" outlineLevel="0" collapsed="false">
      <c r="B131" s="30" t="s">
        <v>986</v>
      </c>
      <c r="C131" s="31" t="n">
        <v>45965</v>
      </c>
      <c r="D131" s="30" t="s">
        <v>959</v>
      </c>
      <c r="E131" s="32" t="n">
        <v>4465.86</v>
      </c>
      <c r="F131" s="30" t="s">
        <v>26</v>
      </c>
      <c r="G131" s="30" t="s">
        <v>960</v>
      </c>
    </row>
    <row r="132" customFormat="false" ht="15" hidden="false" customHeight="false" outlineLevel="0" collapsed="false">
      <c r="B132" s="30" t="s">
        <v>986</v>
      </c>
      <c r="C132" s="31" t="n">
        <v>45968</v>
      </c>
      <c r="D132" s="30" t="s">
        <v>959</v>
      </c>
      <c r="E132" s="32" t="n">
        <v>1519.86</v>
      </c>
      <c r="F132" s="30" t="s">
        <v>26</v>
      </c>
      <c r="G132" s="30" t="s">
        <v>960</v>
      </c>
    </row>
    <row r="133" customFormat="false" ht="15" hidden="false" customHeight="false" outlineLevel="0" collapsed="false">
      <c r="B133" s="30" t="s">
        <v>981</v>
      </c>
      <c r="C133" s="31" t="n">
        <v>45968</v>
      </c>
      <c r="D133" s="30" t="s">
        <v>964</v>
      </c>
      <c r="E133" s="32" t="n">
        <v>1465</v>
      </c>
      <c r="F133" s="30" t="s">
        <v>28</v>
      </c>
      <c r="G133" s="30" t="s">
        <v>960</v>
      </c>
    </row>
    <row r="134" customFormat="false" ht="15" hidden="false" customHeight="false" outlineLevel="0" collapsed="false">
      <c r="B134" s="30" t="s">
        <v>986</v>
      </c>
      <c r="C134" s="31" t="n">
        <v>45969</v>
      </c>
      <c r="D134" s="30" t="s">
        <v>959</v>
      </c>
      <c r="E134" s="32" t="n">
        <v>824.79</v>
      </c>
      <c r="F134" s="30" t="s">
        <v>26</v>
      </c>
      <c r="G134" s="30" t="s">
        <v>960</v>
      </c>
    </row>
    <row r="135" customFormat="false" ht="15" hidden="false" customHeight="false" outlineLevel="0" collapsed="false">
      <c r="B135" s="30" t="s">
        <v>981</v>
      </c>
      <c r="C135" s="31" t="n">
        <v>45970</v>
      </c>
      <c r="D135" s="30" t="s">
        <v>964</v>
      </c>
      <c r="E135" s="32" t="n">
        <v>2083.75</v>
      </c>
      <c r="F135" s="30" t="s">
        <v>28</v>
      </c>
      <c r="G135" s="30" t="s">
        <v>960</v>
      </c>
    </row>
    <row r="136" customFormat="false" ht="15" hidden="false" customHeight="false" outlineLevel="0" collapsed="false">
      <c r="B136" s="30" t="s">
        <v>996</v>
      </c>
      <c r="C136" s="31" t="n">
        <v>45971</v>
      </c>
      <c r="D136" s="30" t="s">
        <v>962</v>
      </c>
      <c r="E136" s="32" t="n">
        <v>4080</v>
      </c>
      <c r="F136" s="30" t="s">
        <v>30</v>
      </c>
      <c r="G136" s="30" t="s">
        <v>960</v>
      </c>
    </row>
    <row r="137" customFormat="false" ht="15" hidden="false" customHeight="false" outlineLevel="0" collapsed="false">
      <c r="B137" s="30" t="s">
        <v>963</v>
      </c>
      <c r="C137" s="31" t="n">
        <v>45972</v>
      </c>
      <c r="D137" s="30" t="s">
        <v>964</v>
      </c>
      <c r="E137" s="32" t="n">
        <v>2155</v>
      </c>
      <c r="F137" s="30" t="s">
        <v>34</v>
      </c>
      <c r="G137" s="30" t="s">
        <v>960</v>
      </c>
    </row>
    <row r="138" customFormat="false" ht="15" hidden="false" customHeight="false" outlineLevel="0" collapsed="false">
      <c r="B138" s="30" t="s">
        <v>986</v>
      </c>
      <c r="C138" s="31" t="n">
        <v>45973</v>
      </c>
      <c r="D138" s="30" t="s">
        <v>959</v>
      </c>
      <c r="E138" s="32" t="n">
        <v>4458.26</v>
      </c>
      <c r="F138" s="30" t="s">
        <v>26</v>
      </c>
      <c r="G138" s="30" t="s">
        <v>960</v>
      </c>
    </row>
    <row r="139" customFormat="false" ht="15" hidden="false" customHeight="false" outlineLevel="0" collapsed="false">
      <c r="B139" s="30" t="s">
        <v>986</v>
      </c>
      <c r="C139" s="31" t="n">
        <v>45973</v>
      </c>
      <c r="D139" s="30" t="s">
        <v>959</v>
      </c>
      <c r="E139" s="32" t="n">
        <v>2998.98</v>
      </c>
      <c r="F139" s="30" t="s">
        <v>26</v>
      </c>
      <c r="G139" s="30" t="s">
        <v>960</v>
      </c>
    </row>
    <row r="140" customFormat="false" ht="15" hidden="false" customHeight="false" outlineLevel="0" collapsed="false">
      <c r="B140" s="30" t="s">
        <v>986</v>
      </c>
      <c r="C140" s="31" t="n">
        <v>45973</v>
      </c>
      <c r="D140" s="30" t="s">
        <v>959</v>
      </c>
      <c r="E140" s="32" t="n">
        <v>8746.34</v>
      </c>
      <c r="F140" s="30" t="s">
        <v>26</v>
      </c>
      <c r="G140" s="30" t="s">
        <v>960</v>
      </c>
    </row>
    <row r="141" customFormat="false" ht="15" hidden="false" customHeight="false" outlineLevel="0" collapsed="false">
      <c r="B141" s="30" t="s">
        <v>995</v>
      </c>
      <c r="C141" s="31" t="n">
        <v>45974</v>
      </c>
      <c r="D141" s="30" t="s">
        <v>959</v>
      </c>
      <c r="E141" s="32" t="n">
        <v>6015.52</v>
      </c>
      <c r="F141" s="30" t="s">
        <v>26</v>
      </c>
      <c r="G141" s="30" t="s">
        <v>960</v>
      </c>
    </row>
    <row r="142" customFormat="false" ht="15" hidden="false" customHeight="false" outlineLevel="0" collapsed="false">
      <c r="B142" s="30" t="s">
        <v>986</v>
      </c>
      <c r="C142" s="31" t="n">
        <v>45974</v>
      </c>
      <c r="D142" s="30" t="s">
        <v>959</v>
      </c>
      <c r="E142" s="32" t="n">
        <v>9456.34</v>
      </c>
      <c r="F142" s="30" t="s">
        <v>26</v>
      </c>
      <c r="G142" s="30" t="s">
        <v>960</v>
      </c>
    </row>
    <row r="143" customFormat="false" ht="15" hidden="false" customHeight="false" outlineLevel="0" collapsed="false">
      <c r="B143" s="30" t="s">
        <v>986</v>
      </c>
      <c r="C143" s="31" t="n">
        <v>45974</v>
      </c>
      <c r="D143" s="30" t="s">
        <v>959</v>
      </c>
      <c r="E143" s="32" t="n">
        <v>3538.55</v>
      </c>
      <c r="F143" s="30" t="s">
        <v>26</v>
      </c>
      <c r="G143" s="30" t="s">
        <v>960</v>
      </c>
    </row>
    <row r="144" customFormat="false" ht="15" hidden="false" customHeight="false" outlineLevel="0" collapsed="false">
      <c r="B144" s="30" t="s">
        <v>986</v>
      </c>
      <c r="C144" s="31" t="n">
        <v>45974</v>
      </c>
      <c r="D144" s="30" t="s">
        <v>959</v>
      </c>
      <c r="E144" s="32" t="n">
        <v>3675.62</v>
      </c>
      <c r="F144" s="30" t="s">
        <v>26</v>
      </c>
      <c r="G144" s="30" t="s">
        <v>960</v>
      </c>
    </row>
    <row r="145" customFormat="false" ht="15" hidden="false" customHeight="false" outlineLevel="0" collapsed="false">
      <c r="B145" s="30" t="s">
        <v>963</v>
      </c>
      <c r="C145" s="31" t="n">
        <v>45974</v>
      </c>
      <c r="D145" s="30" t="s">
        <v>964</v>
      </c>
      <c r="E145" s="32" t="n">
        <v>1880</v>
      </c>
      <c r="F145" s="30" t="s">
        <v>34</v>
      </c>
      <c r="G145" s="30" t="s">
        <v>960</v>
      </c>
    </row>
    <row r="146" customFormat="false" ht="15" hidden="false" customHeight="false" outlineLevel="0" collapsed="false">
      <c r="B146" s="30" t="s">
        <v>986</v>
      </c>
      <c r="C146" s="31" t="n">
        <v>45974</v>
      </c>
      <c r="D146" s="30" t="s">
        <v>959</v>
      </c>
      <c r="E146" s="32" t="n">
        <v>12292.25</v>
      </c>
      <c r="F146" s="30" t="s">
        <v>26</v>
      </c>
      <c r="G146" s="30" t="s">
        <v>960</v>
      </c>
    </row>
    <row r="147" customFormat="false" ht="15" hidden="false" customHeight="false" outlineLevel="0" collapsed="false">
      <c r="B147" s="30" t="s">
        <v>986</v>
      </c>
      <c r="C147" s="31" t="n">
        <v>45974</v>
      </c>
      <c r="D147" s="30" t="s">
        <v>959</v>
      </c>
      <c r="E147" s="32" t="n">
        <v>1678.95</v>
      </c>
      <c r="F147" s="30" t="s">
        <v>26</v>
      </c>
      <c r="G147" s="30" t="s">
        <v>960</v>
      </c>
    </row>
    <row r="148" customFormat="false" ht="15" hidden="false" customHeight="false" outlineLevel="0" collapsed="false">
      <c r="B148" s="30" t="s">
        <v>986</v>
      </c>
      <c r="C148" s="31" t="n">
        <v>45974</v>
      </c>
      <c r="D148" s="30" t="s">
        <v>959</v>
      </c>
      <c r="E148" s="32" t="n">
        <v>1791.81</v>
      </c>
      <c r="F148" s="30" t="s">
        <v>26</v>
      </c>
      <c r="G148" s="30" t="s">
        <v>960</v>
      </c>
    </row>
    <row r="149" customFormat="false" ht="15" hidden="false" customHeight="false" outlineLevel="0" collapsed="false">
      <c r="B149" s="30" t="s">
        <v>970</v>
      </c>
      <c r="C149" s="31" t="n">
        <v>45976</v>
      </c>
      <c r="D149" s="30" t="s">
        <v>964</v>
      </c>
      <c r="E149" s="32" t="n">
        <v>1179</v>
      </c>
      <c r="F149" s="30" t="s">
        <v>28</v>
      </c>
      <c r="G149" s="30" t="s">
        <v>960</v>
      </c>
    </row>
    <row r="150" customFormat="false" ht="15" hidden="false" customHeight="false" outlineLevel="0" collapsed="false">
      <c r="B150" s="30" t="s">
        <v>971</v>
      </c>
      <c r="C150" s="31" t="n">
        <v>45976</v>
      </c>
      <c r="D150" s="30" t="s">
        <v>964</v>
      </c>
      <c r="E150" s="32" t="n">
        <v>330</v>
      </c>
      <c r="F150" s="30" t="s">
        <v>28</v>
      </c>
      <c r="G150" s="30" t="s">
        <v>960</v>
      </c>
    </row>
    <row r="151" customFormat="false" ht="15" hidden="false" customHeight="false" outlineLevel="0" collapsed="false">
      <c r="B151" s="30" t="s">
        <v>970</v>
      </c>
      <c r="C151" s="31" t="n">
        <v>45976</v>
      </c>
      <c r="D151" s="30" t="s">
        <v>964</v>
      </c>
      <c r="E151" s="32" t="n">
        <v>845</v>
      </c>
      <c r="F151" s="30" t="s">
        <v>28</v>
      </c>
      <c r="G151" s="30" t="s">
        <v>960</v>
      </c>
    </row>
    <row r="152" customFormat="false" ht="15" hidden="false" customHeight="false" outlineLevel="0" collapsed="false">
      <c r="B152" s="30" t="s">
        <v>970</v>
      </c>
      <c r="C152" s="31" t="n">
        <v>45978</v>
      </c>
      <c r="D152" s="30" t="s">
        <v>964</v>
      </c>
      <c r="E152" s="32" t="n">
        <v>940</v>
      </c>
      <c r="F152" s="30" t="s">
        <v>28</v>
      </c>
      <c r="G152" s="30" t="s">
        <v>960</v>
      </c>
    </row>
    <row r="153" customFormat="false" ht="15" hidden="false" customHeight="false" outlineLevel="0" collapsed="false">
      <c r="B153" s="30" t="s">
        <v>963</v>
      </c>
      <c r="C153" s="31" t="n">
        <v>45980</v>
      </c>
      <c r="D153" s="30" t="s">
        <v>964</v>
      </c>
      <c r="E153" s="32" t="n">
        <v>2910</v>
      </c>
      <c r="F153" s="30" t="s">
        <v>34</v>
      </c>
      <c r="G153" s="30" t="s">
        <v>960</v>
      </c>
    </row>
    <row r="154" customFormat="false" ht="15" hidden="false" customHeight="false" outlineLevel="0" collapsed="false">
      <c r="B154" s="30" t="s">
        <v>987</v>
      </c>
      <c r="C154" s="31" t="n">
        <v>45981</v>
      </c>
      <c r="D154" s="30" t="s">
        <v>988</v>
      </c>
      <c r="E154" s="32" t="n">
        <v>2088</v>
      </c>
      <c r="F154" s="30" t="s">
        <v>58</v>
      </c>
      <c r="G154" s="30" t="s">
        <v>960</v>
      </c>
    </row>
    <row r="155" customFormat="false" ht="15" hidden="false" customHeight="false" outlineLevel="0" collapsed="false">
      <c r="B155" s="30" t="s">
        <v>997</v>
      </c>
      <c r="C155" s="31" t="n">
        <v>45981</v>
      </c>
      <c r="D155" s="30" t="s">
        <v>973</v>
      </c>
      <c r="E155" s="32" t="n">
        <v>216.67</v>
      </c>
      <c r="F155" s="30" t="s">
        <v>43</v>
      </c>
      <c r="G155" s="30" t="s">
        <v>960</v>
      </c>
    </row>
    <row r="156" customFormat="false" ht="15" hidden="false" customHeight="false" outlineLevel="0" collapsed="false">
      <c r="B156" s="30" t="s">
        <v>963</v>
      </c>
      <c r="C156" s="31" t="n">
        <v>45981</v>
      </c>
      <c r="D156" s="30" t="s">
        <v>964</v>
      </c>
      <c r="E156" s="32" t="n">
        <v>2882</v>
      </c>
      <c r="F156" s="30" t="s">
        <v>26</v>
      </c>
      <c r="G156" s="30" t="s">
        <v>960</v>
      </c>
    </row>
    <row r="157" customFormat="false" ht="15" hidden="false" customHeight="false" outlineLevel="0" collapsed="false">
      <c r="B157" s="30" t="s">
        <v>998</v>
      </c>
      <c r="C157" s="31" t="n">
        <v>45982</v>
      </c>
      <c r="D157" s="30" t="s">
        <v>959</v>
      </c>
      <c r="E157" s="32" t="n">
        <v>20374.46</v>
      </c>
      <c r="F157" s="30" t="s">
        <v>36</v>
      </c>
      <c r="G157" s="30" t="s">
        <v>960</v>
      </c>
    </row>
    <row r="158" customFormat="false" ht="15" hidden="false" customHeight="false" outlineLevel="0" collapsed="false">
      <c r="B158" s="30" t="s">
        <v>990</v>
      </c>
      <c r="C158" s="31" t="n">
        <v>45982</v>
      </c>
      <c r="D158" s="30" t="s">
        <v>988</v>
      </c>
      <c r="E158" s="32" t="n">
        <v>42329</v>
      </c>
      <c r="F158" s="30" t="s">
        <v>58</v>
      </c>
      <c r="G158" s="30" t="s">
        <v>960</v>
      </c>
    </row>
    <row r="159" customFormat="false" ht="15" hidden="false" customHeight="false" outlineLevel="0" collapsed="false">
      <c r="B159" s="30" t="s">
        <v>989</v>
      </c>
      <c r="C159" s="31" t="n">
        <v>45982</v>
      </c>
      <c r="D159" s="30" t="s">
        <v>988</v>
      </c>
      <c r="E159" s="32" t="n">
        <v>120</v>
      </c>
      <c r="F159" s="30" t="s">
        <v>65</v>
      </c>
      <c r="G159" s="30" t="s">
        <v>960</v>
      </c>
    </row>
    <row r="160" customFormat="false" ht="15" hidden="false" customHeight="false" outlineLevel="0" collapsed="false">
      <c r="B160" s="30" t="s">
        <v>963</v>
      </c>
      <c r="C160" s="31" t="n">
        <v>45982</v>
      </c>
      <c r="D160" s="30" t="s">
        <v>964</v>
      </c>
      <c r="E160" s="32" t="n">
        <v>2000</v>
      </c>
      <c r="F160" s="30" t="s">
        <v>34</v>
      </c>
      <c r="G160" s="30" t="s">
        <v>960</v>
      </c>
    </row>
    <row r="161" customFormat="false" ht="15" hidden="false" customHeight="false" outlineLevel="0" collapsed="false">
      <c r="B161" s="30" t="s">
        <v>987</v>
      </c>
      <c r="C161" s="31" t="n">
        <v>45983</v>
      </c>
      <c r="D161" s="30" t="s">
        <v>988</v>
      </c>
      <c r="E161" s="32" t="n">
        <v>3127.85</v>
      </c>
      <c r="F161" s="30" t="s">
        <v>58</v>
      </c>
      <c r="G161" s="30" t="s">
        <v>960</v>
      </c>
    </row>
    <row r="162" customFormat="false" ht="15" hidden="false" customHeight="false" outlineLevel="0" collapsed="false">
      <c r="B162" s="30" t="s">
        <v>986</v>
      </c>
      <c r="C162" s="31" t="n">
        <v>45983</v>
      </c>
      <c r="D162" s="30" t="s">
        <v>959</v>
      </c>
      <c r="E162" s="32" t="n">
        <v>1519.86</v>
      </c>
      <c r="F162" s="30" t="s">
        <v>26</v>
      </c>
      <c r="G162" s="30" t="s">
        <v>960</v>
      </c>
    </row>
    <row r="163" customFormat="false" ht="15" hidden="false" customHeight="false" outlineLevel="0" collapsed="false">
      <c r="B163" s="30" t="s">
        <v>992</v>
      </c>
      <c r="C163" s="31" t="n">
        <v>45983</v>
      </c>
      <c r="D163" s="30" t="s">
        <v>988</v>
      </c>
      <c r="E163" s="32" t="n">
        <v>12013.66</v>
      </c>
      <c r="F163" s="30" t="s">
        <v>63</v>
      </c>
      <c r="G163" s="30" t="s">
        <v>960</v>
      </c>
    </row>
    <row r="164" customFormat="false" ht="15" hidden="false" customHeight="false" outlineLevel="0" collapsed="false">
      <c r="B164" s="30" t="s">
        <v>986</v>
      </c>
      <c r="C164" s="31" t="n">
        <v>45984</v>
      </c>
      <c r="D164" s="30" t="s">
        <v>959</v>
      </c>
      <c r="E164" s="32" t="n">
        <v>824.79</v>
      </c>
      <c r="F164" s="30" t="s">
        <v>26</v>
      </c>
      <c r="G164" s="30" t="s">
        <v>960</v>
      </c>
    </row>
    <row r="165" customFormat="false" ht="15" hidden="false" customHeight="false" outlineLevel="0" collapsed="false">
      <c r="B165" s="30" t="s">
        <v>993</v>
      </c>
      <c r="C165" s="31" t="n">
        <v>45984</v>
      </c>
      <c r="D165" s="30" t="s">
        <v>988</v>
      </c>
      <c r="E165" s="32" t="n">
        <v>12445.02</v>
      </c>
      <c r="F165" s="30" t="s">
        <v>58</v>
      </c>
      <c r="G165" s="30" t="s">
        <v>960</v>
      </c>
    </row>
    <row r="166" customFormat="false" ht="15" hidden="false" customHeight="false" outlineLevel="0" collapsed="false">
      <c r="B166" s="30" t="s">
        <v>971</v>
      </c>
      <c r="C166" s="31" t="n">
        <v>45986</v>
      </c>
      <c r="D166" s="30" t="s">
        <v>964</v>
      </c>
      <c r="E166" s="32" t="n">
        <v>3250</v>
      </c>
      <c r="F166" s="30" t="s">
        <v>28</v>
      </c>
      <c r="G166" s="30" t="s">
        <v>960</v>
      </c>
    </row>
    <row r="167" customFormat="false" ht="15" hidden="false" customHeight="false" outlineLevel="0" collapsed="false">
      <c r="B167" s="30" t="s">
        <v>986</v>
      </c>
      <c r="C167" s="31" t="n">
        <v>45988</v>
      </c>
      <c r="D167" s="30" t="s">
        <v>959</v>
      </c>
      <c r="E167" s="32" t="n">
        <v>4040.9</v>
      </c>
      <c r="F167" s="30" t="s">
        <v>26</v>
      </c>
      <c r="G167" s="30" t="s">
        <v>960</v>
      </c>
    </row>
    <row r="168" customFormat="false" ht="15" hidden="false" customHeight="false" outlineLevel="0" collapsed="false">
      <c r="B168" s="30" t="s">
        <v>986</v>
      </c>
      <c r="C168" s="31" t="n">
        <v>45988</v>
      </c>
      <c r="D168" s="30" t="s">
        <v>959</v>
      </c>
      <c r="E168" s="32" t="n">
        <v>2998.96</v>
      </c>
      <c r="F168" s="30" t="s">
        <v>26</v>
      </c>
      <c r="G168" s="30" t="s">
        <v>960</v>
      </c>
    </row>
    <row r="169" customFormat="false" ht="15" hidden="false" customHeight="false" outlineLevel="0" collapsed="false">
      <c r="B169" s="30" t="s">
        <v>986</v>
      </c>
      <c r="C169" s="31" t="n">
        <v>45989</v>
      </c>
      <c r="D169" s="30" t="s">
        <v>959</v>
      </c>
      <c r="E169" s="32" t="n">
        <v>3538.55</v>
      </c>
      <c r="F169" s="30" t="s">
        <v>26</v>
      </c>
      <c r="G169" s="30" t="s">
        <v>960</v>
      </c>
    </row>
    <row r="170" customFormat="false" ht="15" hidden="false" customHeight="false" outlineLevel="0" collapsed="false">
      <c r="B170" s="30" t="s">
        <v>994</v>
      </c>
      <c r="C170" s="31" t="n">
        <v>45989</v>
      </c>
      <c r="D170" s="30" t="s">
        <v>988</v>
      </c>
      <c r="E170" s="32" t="n">
        <v>15436.91</v>
      </c>
      <c r="F170" s="30" t="s">
        <v>58</v>
      </c>
      <c r="G170" s="30" t="s">
        <v>960</v>
      </c>
    </row>
    <row r="171" customFormat="false" ht="15" hidden="false" customHeight="false" outlineLevel="0" collapsed="false">
      <c r="B171" s="30" t="s">
        <v>986</v>
      </c>
      <c r="C171" s="31" t="n">
        <v>45989</v>
      </c>
      <c r="D171" s="30" t="s">
        <v>959</v>
      </c>
      <c r="E171" s="32" t="n">
        <v>9456.34</v>
      </c>
      <c r="F171" s="30" t="s">
        <v>26</v>
      </c>
      <c r="G171" s="30" t="s">
        <v>960</v>
      </c>
    </row>
    <row r="172" customFormat="false" ht="15" hidden="false" customHeight="false" outlineLevel="0" collapsed="false">
      <c r="B172" s="30" t="s">
        <v>972</v>
      </c>
      <c r="C172" s="31" t="n">
        <v>45989</v>
      </c>
      <c r="D172" s="30" t="s">
        <v>973</v>
      </c>
      <c r="E172" s="32" t="n">
        <v>0.5</v>
      </c>
      <c r="F172" s="30" t="s">
        <v>32</v>
      </c>
      <c r="G172" s="30" t="s">
        <v>960</v>
      </c>
    </row>
    <row r="173" customFormat="false" ht="15" hidden="false" customHeight="false" outlineLevel="0" collapsed="false">
      <c r="B173" s="30" t="s">
        <v>986</v>
      </c>
      <c r="C173" s="31" t="n">
        <v>45989</v>
      </c>
      <c r="D173" s="30" t="s">
        <v>959</v>
      </c>
      <c r="E173" s="32" t="n">
        <v>12292.25</v>
      </c>
      <c r="F173" s="30" t="s">
        <v>26</v>
      </c>
      <c r="G173" s="30" t="s">
        <v>960</v>
      </c>
    </row>
    <row r="174" customFormat="false" ht="15" hidden="false" customHeight="false" outlineLevel="0" collapsed="false">
      <c r="B174" s="30" t="s">
        <v>986</v>
      </c>
      <c r="C174" s="31" t="n">
        <v>45989</v>
      </c>
      <c r="D174" s="30" t="s">
        <v>959</v>
      </c>
      <c r="E174" s="32" t="n">
        <v>1791.81</v>
      </c>
      <c r="F174" s="30" t="s">
        <v>26</v>
      </c>
      <c r="G174" s="30" t="s">
        <v>960</v>
      </c>
    </row>
    <row r="175" customFormat="false" ht="15" hidden="false" customHeight="false" outlineLevel="0" collapsed="false">
      <c r="B175" s="30" t="s">
        <v>969</v>
      </c>
      <c r="C175" s="31" t="n">
        <v>45989</v>
      </c>
      <c r="D175" s="30" t="s">
        <v>964</v>
      </c>
      <c r="E175" s="32" t="n">
        <v>1179</v>
      </c>
      <c r="F175" s="30" t="s">
        <v>28</v>
      </c>
      <c r="G175" s="30" t="s">
        <v>960</v>
      </c>
    </row>
    <row r="176" customFormat="false" ht="15" hidden="false" customHeight="false" outlineLevel="0" collapsed="false">
      <c r="B176" s="30" t="s">
        <v>995</v>
      </c>
      <c r="C176" s="31" t="n">
        <v>45989</v>
      </c>
      <c r="D176" s="30" t="s">
        <v>959</v>
      </c>
      <c r="E176" s="32" t="n">
        <v>6015.52</v>
      </c>
      <c r="F176" s="30" t="s">
        <v>26</v>
      </c>
      <c r="G176" s="30" t="s">
        <v>960</v>
      </c>
    </row>
    <row r="177" customFormat="false" ht="15" hidden="false" customHeight="false" outlineLevel="0" collapsed="false">
      <c r="B177" s="30" t="s">
        <v>986</v>
      </c>
      <c r="C177" s="31" t="n">
        <v>45989</v>
      </c>
      <c r="D177" s="30" t="s">
        <v>959</v>
      </c>
      <c r="E177" s="32" t="n">
        <v>1678.95</v>
      </c>
      <c r="F177" s="30" t="s">
        <v>26</v>
      </c>
      <c r="G177" s="30" t="s">
        <v>960</v>
      </c>
    </row>
    <row r="178" customFormat="false" ht="15" hidden="false" customHeight="false" outlineLevel="0" collapsed="false">
      <c r="B178" s="30" t="s">
        <v>965</v>
      </c>
      <c r="C178" s="31" t="n">
        <v>45990</v>
      </c>
      <c r="D178" s="30" t="s">
        <v>964</v>
      </c>
      <c r="E178" s="32" t="n">
        <v>5294</v>
      </c>
      <c r="F178" s="30" t="s">
        <v>35</v>
      </c>
      <c r="G178" s="30" t="s">
        <v>960</v>
      </c>
    </row>
    <row r="179" customFormat="false" ht="15" hidden="false" customHeight="false" outlineLevel="0" collapsed="false">
      <c r="B179" s="30" t="s">
        <v>961</v>
      </c>
      <c r="C179" s="31" t="n">
        <v>45991</v>
      </c>
      <c r="D179" s="30" t="s">
        <v>991</v>
      </c>
      <c r="E179" s="32" t="n">
        <v>0.01</v>
      </c>
      <c r="F179" s="30" t="s">
        <v>97</v>
      </c>
      <c r="G179" s="30" t="s">
        <v>960</v>
      </c>
    </row>
    <row r="180" customFormat="false" ht="15" hidden="false" customHeight="false" outlineLevel="0" collapsed="false">
      <c r="B180" s="30" t="s">
        <v>963</v>
      </c>
      <c r="C180" s="31" t="n">
        <v>45991</v>
      </c>
      <c r="D180" s="30" t="s">
        <v>964</v>
      </c>
      <c r="E180" s="32" t="n">
        <v>3185</v>
      </c>
      <c r="F180" s="30" t="s">
        <v>34</v>
      </c>
      <c r="G180" s="30" t="s">
        <v>960</v>
      </c>
    </row>
    <row r="181" customFormat="false" ht="15" hidden="false" customHeight="false" outlineLevel="0" collapsed="false">
      <c r="B181" s="30" t="s">
        <v>963</v>
      </c>
      <c r="C181" s="31" t="n">
        <v>45991</v>
      </c>
      <c r="D181" s="30" t="s">
        <v>964</v>
      </c>
      <c r="E181" s="32" t="n">
        <v>687.5</v>
      </c>
      <c r="F181" s="30" t="s">
        <v>34</v>
      </c>
      <c r="G181" s="30" t="s">
        <v>960</v>
      </c>
    </row>
    <row r="182" customFormat="false" ht="15" hidden="false" customHeight="false" outlineLevel="0" collapsed="false">
      <c r="B182" s="30" t="s">
        <v>999</v>
      </c>
      <c r="C182" s="31" t="n">
        <v>45992</v>
      </c>
      <c r="D182" s="30" t="s">
        <v>962</v>
      </c>
      <c r="E182" s="32" t="n">
        <v>170</v>
      </c>
      <c r="F182" s="30" t="s">
        <v>51</v>
      </c>
      <c r="G182" s="30" t="s">
        <v>960</v>
      </c>
    </row>
    <row r="183" customFormat="false" ht="15" hidden="false" customHeight="false" outlineLevel="0" collapsed="false">
      <c r="B183" s="30" t="s">
        <v>983</v>
      </c>
      <c r="C183" s="31" t="n">
        <v>45992</v>
      </c>
      <c r="D183" s="30" t="s">
        <v>962</v>
      </c>
      <c r="E183" s="32" t="n">
        <v>9868.42</v>
      </c>
      <c r="F183" s="30" t="s">
        <v>26</v>
      </c>
      <c r="G183" s="30" t="s">
        <v>960</v>
      </c>
    </row>
    <row r="184" customFormat="false" ht="15" hidden="false" customHeight="false" outlineLevel="0" collapsed="false">
      <c r="B184" s="30" t="s">
        <v>986</v>
      </c>
      <c r="C184" s="31" t="n">
        <v>45998</v>
      </c>
      <c r="D184" s="30" t="s">
        <v>959</v>
      </c>
      <c r="E184" s="32" t="n">
        <v>1519.86</v>
      </c>
      <c r="F184" s="30" t="s">
        <v>26</v>
      </c>
      <c r="G184" s="30" t="s">
        <v>960</v>
      </c>
    </row>
    <row r="185" customFormat="false" ht="15" hidden="false" customHeight="false" outlineLevel="0" collapsed="false">
      <c r="B185" s="30" t="s">
        <v>983</v>
      </c>
      <c r="C185" s="31" t="n">
        <v>45999</v>
      </c>
      <c r="D185" s="30" t="s">
        <v>959</v>
      </c>
      <c r="E185" s="32" t="n">
        <v>13832.35</v>
      </c>
      <c r="F185" s="30" t="s">
        <v>26</v>
      </c>
      <c r="G185" s="30" t="s">
        <v>960</v>
      </c>
    </row>
    <row r="186" customFormat="false" ht="15" hidden="false" customHeight="false" outlineLevel="0" collapsed="false">
      <c r="B186" s="30" t="s">
        <v>965</v>
      </c>
      <c r="C186" s="31" t="n">
        <v>45999</v>
      </c>
      <c r="D186" s="30" t="s">
        <v>964</v>
      </c>
      <c r="E186" s="32" t="n">
        <v>2083.75</v>
      </c>
      <c r="F186" s="30" t="s">
        <v>35</v>
      </c>
      <c r="G186" s="30" t="s">
        <v>960</v>
      </c>
    </row>
    <row r="187" customFormat="false" ht="15" hidden="false" customHeight="false" outlineLevel="0" collapsed="false">
      <c r="B187" s="30" t="s">
        <v>965</v>
      </c>
      <c r="C187" s="31" t="n">
        <v>45999</v>
      </c>
      <c r="D187" s="30" t="s">
        <v>964</v>
      </c>
      <c r="E187" s="32" t="n">
        <v>3250</v>
      </c>
      <c r="F187" s="30" t="s">
        <v>35</v>
      </c>
      <c r="G187" s="30" t="s">
        <v>960</v>
      </c>
    </row>
    <row r="188" customFormat="false" ht="15" hidden="false" customHeight="false" outlineLevel="0" collapsed="false">
      <c r="B188" s="30" t="s">
        <v>986</v>
      </c>
      <c r="C188" s="31" t="n">
        <v>45999</v>
      </c>
      <c r="D188" s="30" t="s">
        <v>959</v>
      </c>
      <c r="E188" s="32" t="n">
        <v>824.79</v>
      </c>
      <c r="F188" s="30" t="s">
        <v>26</v>
      </c>
      <c r="G188" s="30" t="s">
        <v>960</v>
      </c>
    </row>
    <row r="189" customFormat="false" ht="15" hidden="false" customHeight="false" outlineLevel="0" collapsed="false">
      <c r="B189" s="30" t="s">
        <v>1000</v>
      </c>
      <c r="C189" s="31" t="n">
        <v>46000</v>
      </c>
      <c r="D189" s="30" t="s">
        <v>959</v>
      </c>
      <c r="E189" s="32" t="n">
        <v>1251.13</v>
      </c>
      <c r="F189" s="30" t="s">
        <v>26</v>
      </c>
      <c r="G189" s="30" t="s">
        <v>960</v>
      </c>
    </row>
    <row r="190" customFormat="false" ht="15" hidden="false" customHeight="false" outlineLevel="0" collapsed="false">
      <c r="B190" s="30" t="s">
        <v>971</v>
      </c>
      <c r="C190" s="31" t="n">
        <v>46000</v>
      </c>
      <c r="D190" s="30" t="s">
        <v>964</v>
      </c>
      <c r="E190" s="32" t="n">
        <v>1465</v>
      </c>
      <c r="F190" s="30" t="s">
        <v>28</v>
      </c>
      <c r="G190" s="30" t="s">
        <v>960</v>
      </c>
    </row>
    <row r="191" customFormat="false" ht="15" hidden="false" customHeight="false" outlineLevel="0" collapsed="false">
      <c r="B191" s="30" t="s">
        <v>1000</v>
      </c>
      <c r="C191" s="31" t="n">
        <v>46000</v>
      </c>
      <c r="D191" s="30" t="s">
        <v>959</v>
      </c>
      <c r="E191" s="32" t="n">
        <v>726.9</v>
      </c>
      <c r="F191" s="30" t="s">
        <v>26</v>
      </c>
      <c r="G191" s="30" t="s">
        <v>960</v>
      </c>
    </row>
    <row r="192" customFormat="false" ht="15" hidden="false" customHeight="false" outlineLevel="0" collapsed="false">
      <c r="B192" s="30" t="s">
        <v>970</v>
      </c>
      <c r="C192" s="31" t="n">
        <v>46001</v>
      </c>
      <c r="D192" s="30" t="s">
        <v>964</v>
      </c>
      <c r="E192" s="32" t="n">
        <v>940</v>
      </c>
      <c r="F192" s="30" t="s">
        <v>28</v>
      </c>
      <c r="G192" s="30" t="s">
        <v>960</v>
      </c>
    </row>
    <row r="193" customFormat="false" ht="15" hidden="false" customHeight="false" outlineLevel="0" collapsed="false">
      <c r="B193" s="30" t="s">
        <v>971</v>
      </c>
      <c r="C193" s="31" t="n">
        <v>46002</v>
      </c>
      <c r="D193" s="30" t="s">
        <v>964</v>
      </c>
      <c r="E193" s="32" t="n">
        <v>1880</v>
      </c>
      <c r="F193" s="30" t="s">
        <v>28</v>
      </c>
      <c r="G193" s="30" t="s">
        <v>960</v>
      </c>
    </row>
    <row r="194" customFormat="false" ht="15" hidden="false" customHeight="false" outlineLevel="0" collapsed="false">
      <c r="B194" s="30" t="s">
        <v>1000</v>
      </c>
      <c r="C194" s="31" t="n">
        <v>46002</v>
      </c>
      <c r="D194" s="30" t="s">
        <v>959</v>
      </c>
      <c r="E194" s="32" t="n">
        <v>16260.18</v>
      </c>
      <c r="F194" s="30" t="s">
        <v>26</v>
      </c>
      <c r="G194" s="30" t="s">
        <v>960</v>
      </c>
    </row>
    <row r="195" customFormat="false" ht="15" hidden="false" customHeight="false" outlineLevel="0" collapsed="false">
      <c r="B195" s="30" t="s">
        <v>995</v>
      </c>
      <c r="C195" s="31" t="n">
        <v>46004</v>
      </c>
      <c r="D195" s="30" t="s">
        <v>959</v>
      </c>
      <c r="E195" s="32" t="n">
        <v>6015.52</v>
      </c>
      <c r="F195" s="30" t="s">
        <v>26</v>
      </c>
      <c r="G195" s="30" t="s">
        <v>960</v>
      </c>
    </row>
    <row r="196" customFormat="false" ht="15" hidden="false" customHeight="false" outlineLevel="0" collapsed="false">
      <c r="B196" s="30" t="s">
        <v>986</v>
      </c>
      <c r="C196" s="31" t="n">
        <v>46004</v>
      </c>
      <c r="D196" s="30" t="s">
        <v>959</v>
      </c>
      <c r="E196" s="32" t="n">
        <v>3538.55</v>
      </c>
      <c r="F196" s="30" t="s">
        <v>26</v>
      </c>
      <c r="G196" s="30" t="s">
        <v>960</v>
      </c>
    </row>
    <row r="197" customFormat="false" ht="15" hidden="false" customHeight="false" outlineLevel="0" collapsed="false">
      <c r="B197" s="30" t="s">
        <v>986</v>
      </c>
      <c r="C197" s="31" t="n">
        <v>46004</v>
      </c>
      <c r="D197" s="30" t="s">
        <v>959</v>
      </c>
      <c r="E197" s="32" t="n">
        <v>1791.81</v>
      </c>
      <c r="F197" s="30" t="s">
        <v>26</v>
      </c>
      <c r="G197" s="30" t="s">
        <v>960</v>
      </c>
    </row>
    <row r="198" customFormat="false" ht="15" hidden="false" customHeight="false" outlineLevel="0" collapsed="false">
      <c r="B198" s="30" t="s">
        <v>986</v>
      </c>
      <c r="C198" s="31" t="n">
        <v>46004</v>
      </c>
      <c r="D198" s="30" t="s">
        <v>959</v>
      </c>
      <c r="E198" s="32" t="n">
        <v>9456.34</v>
      </c>
      <c r="F198" s="30" t="s">
        <v>26</v>
      </c>
      <c r="G198" s="30" t="s">
        <v>960</v>
      </c>
    </row>
    <row r="199" customFormat="false" ht="15" hidden="false" customHeight="false" outlineLevel="0" collapsed="false">
      <c r="B199" s="30" t="s">
        <v>986</v>
      </c>
      <c r="C199" s="31" t="n">
        <v>46004</v>
      </c>
      <c r="D199" s="30" t="s">
        <v>959</v>
      </c>
      <c r="E199" s="32" t="n">
        <v>3675.62</v>
      </c>
      <c r="F199" s="30" t="s">
        <v>26</v>
      </c>
      <c r="G199" s="30" t="s">
        <v>960</v>
      </c>
    </row>
    <row r="200" customFormat="false" ht="15" hidden="false" customHeight="false" outlineLevel="0" collapsed="false">
      <c r="B200" s="30" t="s">
        <v>986</v>
      </c>
      <c r="C200" s="31" t="n">
        <v>46004</v>
      </c>
      <c r="D200" s="30" t="s">
        <v>959</v>
      </c>
      <c r="E200" s="32" t="n">
        <v>1678.95</v>
      </c>
      <c r="F200" s="30" t="s">
        <v>26</v>
      </c>
      <c r="G200" s="30" t="s">
        <v>960</v>
      </c>
    </row>
    <row r="201" customFormat="false" ht="15" hidden="false" customHeight="false" outlineLevel="0" collapsed="false">
      <c r="B201" s="30" t="s">
        <v>986</v>
      </c>
      <c r="C201" s="31" t="n">
        <v>46004</v>
      </c>
      <c r="D201" s="30" t="s">
        <v>959</v>
      </c>
      <c r="E201" s="32" t="n">
        <v>12292.25</v>
      </c>
      <c r="F201" s="30" t="s">
        <v>26</v>
      </c>
      <c r="G201" s="30" t="s">
        <v>960</v>
      </c>
    </row>
    <row r="202" customFormat="false" ht="15" hidden="false" customHeight="false" outlineLevel="0" collapsed="false">
      <c r="B202" s="30" t="s">
        <v>970</v>
      </c>
      <c r="C202" s="31" t="n">
        <v>46006</v>
      </c>
      <c r="D202" s="30" t="s">
        <v>964</v>
      </c>
      <c r="E202" s="32" t="n">
        <v>845</v>
      </c>
      <c r="F202" s="30" t="s">
        <v>28</v>
      </c>
      <c r="G202" s="30" t="s">
        <v>960</v>
      </c>
    </row>
    <row r="203" customFormat="false" ht="15" hidden="false" customHeight="false" outlineLevel="0" collapsed="false">
      <c r="B203" s="30" t="s">
        <v>970</v>
      </c>
      <c r="C203" s="31" t="n">
        <v>46006</v>
      </c>
      <c r="D203" s="30" t="s">
        <v>964</v>
      </c>
      <c r="E203" s="32" t="n">
        <v>2380</v>
      </c>
      <c r="F203" s="30" t="s">
        <v>28</v>
      </c>
      <c r="G203" s="30" t="s">
        <v>960</v>
      </c>
    </row>
    <row r="204" customFormat="false" ht="15" hidden="false" customHeight="false" outlineLevel="0" collapsed="false">
      <c r="B204" s="30" t="s">
        <v>1001</v>
      </c>
      <c r="C204" s="31" t="n">
        <v>46006</v>
      </c>
      <c r="D204" s="30" t="s">
        <v>991</v>
      </c>
      <c r="E204" s="32" t="n">
        <v>255</v>
      </c>
      <c r="F204" s="30" t="s">
        <v>30</v>
      </c>
      <c r="G204" s="30" t="s">
        <v>960</v>
      </c>
    </row>
    <row r="205" customFormat="false" ht="15" hidden="false" customHeight="false" outlineLevel="0" collapsed="false">
      <c r="B205" s="30" t="s">
        <v>1000</v>
      </c>
      <c r="C205" s="31" t="n">
        <v>46009</v>
      </c>
      <c r="D205" s="30" t="s">
        <v>959</v>
      </c>
      <c r="E205" s="32" t="n">
        <v>16260.18</v>
      </c>
      <c r="F205" s="30" t="s">
        <v>26</v>
      </c>
      <c r="G205" s="30" t="s">
        <v>960</v>
      </c>
    </row>
    <row r="206" customFormat="false" ht="15" hidden="false" customHeight="false" outlineLevel="0" collapsed="false">
      <c r="B206" s="30" t="s">
        <v>963</v>
      </c>
      <c r="C206" s="31" t="n">
        <v>46009</v>
      </c>
      <c r="D206" s="30" t="s">
        <v>964</v>
      </c>
      <c r="E206" s="32" t="n">
        <v>2910</v>
      </c>
      <c r="F206" s="30" t="s">
        <v>34</v>
      </c>
      <c r="G206" s="30" t="s">
        <v>960</v>
      </c>
    </row>
    <row r="207" customFormat="false" ht="15" hidden="false" customHeight="false" outlineLevel="0" collapsed="false">
      <c r="B207" s="30" t="s">
        <v>984</v>
      </c>
      <c r="C207" s="31" t="n">
        <v>46011</v>
      </c>
      <c r="D207" s="30" t="s">
        <v>991</v>
      </c>
      <c r="E207" s="32" t="n">
        <v>120</v>
      </c>
      <c r="F207" s="30" t="s">
        <v>78</v>
      </c>
      <c r="G207" s="30" t="s">
        <v>960</v>
      </c>
    </row>
    <row r="208" customFormat="false" ht="15" hidden="false" customHeight="false" outlineLevel="0" collapsed="false">
      <c r="B208" s="30" t="s">
        <v>987</v>
      </c>
      <c r="C208" s="31" t="n">
        <v>46011</v>
      </c>
      <c r="D208" s="30" t="s">
        <v>988</v>
      </c>
      <c r="E208" s="32" t="n">
        <v>2088</v>
      </c>
      <c r="F208" s="30" t="s">
        <v>58</v>
      </c>
      <c r="G208" s="30" t="s">
        <v>960</v>
      </c>
    </row>
    <row r="209" customFormat="false" ht="15" hidden="false" customHeight="false" outlineLevel="0" collapsed="false">
      <c r="B209" s="30" t="s">
        <v>990</v>
      </c>
      <c r="C209" s="31" t="n">
        <v>46012</v>
      </c>
      <c r="D209" s="30" t="s">
        <v>988</v>
      </c>
      <c r="E209" s="32" t="n">
        <v>42329</v>
      </c>
      <c r="F209" s="30" t="s">
        <v>58</v>
      </c>
      <c r="G209" s="30" t="s">
        <v>960</v>
      </c>
    </row>
    <row r="210" customFormat="false" ht="15" hidden="false" customHeight="false" outlineLevel="0" collapsed="false">
      <c r="B210" s="30" t="s">
        <v>963</v>
      </c>
      <c r="C210" s="31" t="n">
        <v>46012</v>
      </c>
      <c r="D210" s="30" t="s">
        <v>964</v>
      </c>
      <c r="E210" s="32" t="n">
        <v>2000</v>
      </c>
      <c r="F210" s="30" t="s">
        <v>34</v>
      </c>
      <c r="G210" s="30" t="s">
        <v>960</v>
      </c>
    </row>
    <row r="211" customFormat="false" ht="15" hidden="false" customHeight="false" outlineLevel="0" collapsed="false">
      <c r="B211" s="30" t="s">
        <v>989</v>
      </c>
      <c r="C211" s="31" t="n">
        <v>46012</v>
      </c>
      <c r="D211" s="30" t="s">
        <v>988</v>
      </c>
      <c r="E211" s="32" t="n">
        <v>120</v>
      </c>
      <c r="F211" s="30" t="s">
        <v>65</v>
      </c>
      <c r="G211" s="30" t="s">
        <v>960</v>
      </c>
    </row>
    <row r="212" customFormat="false" ht="15" hidden="false" customHeight="false" outlineLevel="0" collapsed="false">
      <c r="B212" s="30" t="s">
        <v>998</v>
      </c>
      <c r="C212" s="31" t="n">
        <v>46013</v>
      </c>
      <c r="D212" s="30" t="s">
        <v>959</v>
      </c>
      <c r="E212" s="32" t="n">
        <v>20453.31</v>
      </c>
      <c r="F212" s="30" t="s">
        <v>36</v>
      </c>
      <c r="G212" s="30" t="s">
        <v>960</v>
      </c>
    </row>
    <row r="213" customFormat="false" ht="15" hidden="false" customHeight="false" outlineLevel="0" collapsed="false">
      <c r="B213" s="30" t="s">
        <v>992</v>
      </c>
      <c r="C213" s="31" t="n">
        <v>46013</v>
      </c>
      <c r="D213" s="30" t="s">
        <v>988</v>
      </c>
      <c r="E213" s="32" t="n">
        <v>12013.66</v>
      </c>
      <c r="F213" s="30" t="s">
        <v>63</v>
      </c>
      <c r="G213" s="30" t="s">
        <v>960</v>
      </c>
    </row>
    <row r="214" customFormat="false" ht="15" hidden="false" customHeight="false" outlineLevel="0" collapsed="false">
      <c r="B214" s="30" t="s">
        <v>983</v>
      </c>
      <c r="C214" s="31" t="n">
        <v>46013</v>
      </c>
      <c r="D214" s="30" t="s">
        <v>959</v>
      </c>
      <c r="E214" s="32" t="n">
        <v>13832.35</v>
      </c>
      <c r="F214" s="30" t="s">
        <v>26</v>
      </c>
      <c r="G214" s="30" t="s">
        <v>960</v>
      </c>
    </row>
    <row r="215" customFormat="false" ht="15" hidden="false" customHeight="false" outlineLevel="0" collapsed="false">
      <c r="B215" s="30" t="s">
        <v>986</v>
      </c>
      <c r="C215" s="31" t="n">
        <v>46013</v>
      </c>
      <c r="D215" s="30" t="s">
        <v>959</v>
      </c>
      <c r="E215" s="32" t="n">
        <v>1519.86</v>
      </c>
      <c r="F215" s="30" t="s">
        <v>26</v>
      </c>
      <c r="G215" s="30" t="s">
        <v>960</v>
      </c>
    </row>
    <row r="216" customFormat="false" ht="15" hidden="false" customHeight="false" outlineLevel="0" collapsed="false">
      <c r="B216" s="30" t="s">
        <v>987</v>
      </c>
      <c r="C216" s="31" t="n">
        <v>46013</v>
      </c>
      <c r="D216" s="30" t="s">
        <v>988</v>
      </c>
      <c r="E216" s="32" t="n">
        <v>3127.85</v>
      </c>
      <c r="F216" s="30" t="s">
        <v>58</v>
      </c>
      <c r="G216" s="30" t="s">
        <v>960</v>
      </c>
    </row>
    <row r="217" customFormat="false" ht="15" hidden="false" customHeight="false" outlineLevel="0" collapsed="false">
      <c r="B217" s="30" t="s">
        <v>993</v>
      </c>
      <c r="C217" s="31" t="n">
        <v>46014</v>
      </c>
      <c r="D217" s="30" t="s">
        <v>988</v>
      </c>
      <c r="E217" s="32" t="n">
        <v>12445.02</v>
      </c>
      <c r="F217" s="30" t="s">
        <v>58</v>
      </c>
      <c r="G217" s="30" t="s">
        <v>960</v>
      </c>
    </row>
    <row r="218" customFormat="false" ht="15" hidden="false" customHeight="false" outlineLevel="0" collapsed="false">
      <c r="B218" s="30" t="s">
        <v>986</v>
      </c>
      <c r="C218" s="31" t="n">
        <v>46014</v>
      </c>
      <c r="D218" s="30" t="s">
        <v>959</v>
      </c>
      <c r="E218" s="32" t="n">
        <v>824.79</v>
      </c>
      <c r="F218" s="30" t="s">
        <v>26</v>
      </c>
      <c r="G218" s="30" t="s">
        <v>960</v>
      </c>
    </row>
    <row r="219" customFormat="false" ht="15" hidden="false" customHeight="false" outlineLevel="0" collapsed="false">
      <c r="B219" s="30" t="s">
        <v>965</v>
      </c>
      <c r="C219" s="31" t="n">
        <v>46015</v>
      </c>
      <c r="D219" s="30" t="s">
        <v>964</v>
      </c>
      <c r="E219" s="32" t="n">
        <v>1786</v>
      </c>
      <c r="F219" s="30" t="s">
        <v>35</v>
      </c>
      <c r="G219" s="30" t="s">
        <v>960</v>
      </c>
    </row>
    <row r="220" customFormat="false" ht="15" hidden="false" customHeight="false" outlineLevel="0" collapsed="false">
      <c r="B220" s="30" t="s">
        <v>1002</v>
      </c>
      <c r="C220" s="31" t="n">
        <v>46015</v>
      </c>
      <c r="D220" s="30" t="s">
        <v>959</v>
      </c>
      <c r="E220" s="32" t="n">
        <v>754.69</v>
      </c>
      <c r="F220" s="30" t="s">
        <v>26</v>
      </c>
      <c r="G220" s="30" t="s">
        <v>960</v>
      </c>
    </row>
    <row r="221" customFormat="false" ht="15" hidden="false" customHeight="false" outlineLevel="0" collapsed="false">
      <c r="B221" s="30" t="s">
        <v>1000</v>
      </c>
      <c r="C221" s="31" t="n">
        <v>46016</v>
      </c>
      <c r="D221" s="30" t="s">
        <v>959</v>
      </c>
      <c r="E221" s="32" t="n">
        <v>16260.16</v>
      </c>
      <c r="F221" s="30" t="s">
        <v>26</v>
      </c>
      <c r="G221" s="30" t="s">
        <v>960</v>
      </c>
    </row>
    <row r="222" customFormat="false" ht="15" hidden="false" customHeight="false" outlineLevel="0" collapsed="false">
      <c r="B222" s="30" t="s">
        <v>986</v>
      </c>
      <c r="C222" s="31" t="n">
        <v>46019</v>
      </c>
      <c r="D222" s="30" t="s">
        <v>959</v>
      </c>
      <c r="E222" s="32" t="n">
        <v>3538.56</v>
      </c>
      <c r="F222" s="30" t="s">
        <v>26</v>
      </c>
      <c r="G222" s="30" t="s">
        <v>960</v>
      </c>
    </row>
    <row r="223" customFormat="false" ht="15" hidden="false" customHeight="false" outlineLevel="0" collapsed="false">
      <c r="B223" s="30" t="s">
        <v>986</v>
      </c>
      <c r="C223" s="31" t="n">
        <v>46019</v>
      </c>
      <c r="D223" s="30" t="s">
        <v>959</v>
      </c>
      <c r="E223" s="32" t="n">
        <v>12292.24</v>
      </c>
      <c r="F223" s="30" t="s">
        <v>26</v>
      </c>
      <c r="G223" s="30" t="s">
        <v>960</v>
      </c>
    </row>
    <row r="224" customFormat="false" ht="15" hidden="false" customHeight="false" outlineLevel="0" collapsed="false">
      <c r="B224" s="30" t="s">
        <v>986</v>
      </c>
      <c r="C224" s="31" t="n">
        <v>46019</v>
      </c>
      <c r="D224" s="30" t="s">
        <v>959</v>
      </c>
      <c r="E224" s="32" t="n">
        <v>1791.8</v>
      </c>
      <c r="F224" s="30" t="s">
        <v>26</v>
      </c>
      <c r="G224" s="30" t="s">
        <v>960</v>
      </c>
    </row>
    <row r="225" customFormat="false" ht="15" hidden="false" customHeight="false" outlineLevel="0" collapsed="false">
      <c r="B225" s="30" t="s">
        <v>961</v>
      </c>
      <c r="C225" s="31" t="n">
        <v>46019</v>
      </c>
      <c r="D225" s="30" t="s">
        <v>991</v>
      </c>
      <c r="E225" s="32" t="n">
        <v>20000</v>
      </c>
      <c r="F225" s="30" t="s">
        <v>97</v>
      </c>
      <c r="G225" s="30" t="s">
        <v>960</v>
      </c>
    </row>
    <row r="226" customFormat="false" ht="15" hidden="false" customHeight="false" outlineLevel="0" collapsed="false">
      <c r="B226" s="30" t="s">
        <v>972</v>
      </c>
      <c r="C226" s="31" t="n">
        <v>46019</v>
      </c>
      <c r="D226" s="30" t="s">
        <v>973</v>
      </c>
      <c r="E226" s="32" t="n">
        <v>0.5</v>
      </c>
      <c r="F226" s="30" t="s">
        <v>32</v>
      </c>
      <c r="G226" s="30" t="s">
        <v>960</v>
      </c>
    </row>
    <row r="227" customFormat="false" ht="15" hidden="false" customHeight="false" outlineLevel="0" collapsed="false">
      <c r="B227" s="30" t="s">
        <v>995</v>
      </c>
      <c r="C227" s="31" t="n">
        <v>46019</v>
      </c>
      <c r="D227" s="30" t="s">
        <v>959</v>
      </c>
      <c r="E227" s="32" t="n">
        <v>6015.53</v>
      </c>
      <c r="F227" s="30" t="s">
        <v>26</v>
      </c>
      <c r="G227" s="30" t="s">
        <v>960</v>
      </c>
    </row>
    <row r="228" customFormat="false" ht="15" hidden="false" customHeight="false" outlineLevel="0" collapsed="false">
      <c r="B228" s="30" t="s">
        <v>994</v>
      </c>
      <c r="C228" s="31" t="n">
        <v>46019</v>
      </c>
      <c r="D228" s="30" t="s">
        <v>988</v>
      </c>
      <c r="E228" s="32" t="n">
        <v>15436.91</v>
      </c>
      <c r="F228" s="30" t="s">
        <v>58</v>
      </c>
      <c r="G228" s="30" t="s">
        <v>960</v>
      </c>
    </row>
    <row r="229" customFormat="false" ht="15" hidden="false" customHeight="false" outlineLevel="0" collapsed="false">
      <c r="B229" s="30" t="s">
        <v>986</v>
      </c>
      <c r="C229" s="31" t="n">
        <v>46019</v>
      </c>
      <c r="D229" s="30" t="s">
        <v>959</v>
      </c>
      <c r="E229" s="32" t="n">
        <v>9456.36</v>
      </c>
      <c r="F229" s="30" t="s">
        <v>26</v>
      </c>
      <c r="G229" s="30" t="s">
        <v>960</v>
      </c>
    </row>
    <row r="230" customFormat="false" ht="15" hidden="false" customHeight="false" outlineLevel="0" collapsed="false">
      <c r="B230" s="30" t="s">
        <v>986</v>
      </c>
      <c r="C230" s="31" t="n">
        <v>46019</v>
      </c>
      <c r="D230" s="30" t="s">
        <v>959</v>
      </c>
      <c r="E230" s="32" t="n">
        <v>1678.94</v>
      </c>
      <c r="F230" s="30" t="s">
        <v>26</v>
      </c>
      <c r="G230" s="30" t="s">
        <v>960</v>
      </c>
    </row>
    <row r="231" customFormat="false" ht="15" hidden="false" customHeight="false" outlineLevel="0" collapsed="false">
      <c r="B231" s="30" t="s">
        <v>986</v>
      </c>
      <c r="C231" s="31" t="n">
        <v>46020</v>
      </c>
      <c r="D231" s="30" t="s">
        <v>959</v>
      </c>
      <c r="E231" s="32" t="n">
        <v>3236.66</v>
      </c>
      <c r="F231" s="30" t="s">
        <v>26</v>
      </c>
      <c r="G231" s="30" t="s">
        <v>960</v>
      </c>
    </row>
    <row r="232" customFormat="false" ht="15" hidden="false" customHeight="false" outlineLevel="0" collapsed="false">
      <c r="B232" s="30" t="s">
        <v>999</v>
      </c>
      <c r="C232" s="31" t="n">
        <v>46020</v>
      </c>
      <c r="D232" s="30" t="s">
        <v>962</v>
      </c>
      <c r="E232" s="32" t="n">
        <v>170</v>
      </c>
      <c r="F232" s="30" t="s">
        <v>51</v>
      </c>
      <c r="G232" s="30" t="s">
        <v>960</v>
      </c>
    </row>
    <row r="233" customFormat="false" ht="15" hidden="false" customHeight="false" outlineLevel="0" collapsed="false">
      <c r="B233" s="30" t="s">
        <v>986</v>
      </c>
      <c r="C233" s="31" t="n">
        <v>46020</v>
      </c>
      <c r="D233" s="30" t="s">
        <v>959</v>
      </c>
      <c r="E233" s="32" t="n">
        <v>6644.39</v>
      </c>
      <c r="F233" s="30" t="s">
        <v>26</v>
      </c>
      <c r="G233" s="30" t="s">
        <v>960</v>
      </c>
    </row>
    <row r="234" customFormat="false" ht="15" hidden="false" customHeight="false" outlineLevel="0" collapsed="false">
      <c r="B234" s="30" t="s">
        <v>986</v>
      </c>
      <c r="C234" s="31" t="n">
        <v>46020</v>
      </c>
      <c r="D234" s="30" t="s">
        <v>959</v>
      </c>
      <c r="E234" s="32" t="n">
        <v>3845.12</v>
      </c>
      <c r="F234" s="30" t="s">
        <v>26</v>
      </c>
      <c r="G234" s="30" t="s">
        <v>960</v>
      </c>
    </row>
    <row r="235" customFormat="false" ht="15" hidden="false" customHeight="false" outlineLevel="0" collapsed="false">
      <c r="B235" s="30" t="s">
        <v>986</v>
      </c>
      <c r="C235" s="31" t="n">
        <v>46020</v>
      </c>
      <c r="D235" s="30" t="s">
        <v>959</v>
      </c>
      <c r="E235" s="32" t="n">
        <v>2996.49</v>
      </c>
      <c r="F235" s="30" t="s">
        <v>26</v>
      </c>
      <c r="G235" s="30" t="s">
        <v>960</v>
      </c>
    </row>
    <row r="236" customFormat="false" ht="15" hidden="false" customHeight="false" outlineLevel="0" collapsed="false">
      <c r="B236" s="30" t="s">
        <v>986</v>
      </c>
      <c r="C236" s="31" t="n">
        <v>46020</v>
      </c>
      <c r="D236" s="30" t="s">
        <v>959</v>
      </c>
      <c r="E236" s="32" t="n">
        <v>918.72</v>
      </c>
      <c r="F236" s="30" t="s">
        <v>26</v>
      </c>
      <c r="G236" s="30" t="s">
        <v>960</v>
      </c>
    </row>
    <row r="237" customFormat="false" ht="15" hidden="false" customHeight="false" outlineLevel="0" collapsed="false">
      <c r="B237" s="30" t="s">
        <v>986</v>
      </c>
      <c r="C237" s="31" t="n">
        <v>46020</v>
      </c>
      <c r="D237" s="30" t="s">
        <v>959</v>
      </c>
      <c r="E237" s="32" t="n">
        <v>4139.98</v>
      </c>
      <c r="F237" s="30" t="s">
        <v>26</v>
      </c>
      <c r="G237" s="30" t="s">
        <v>960</v>
      </c>
    </row>
    <row r="238" customFormat="false" ht="15" hidden="false" customHeight="false" outlineLevel="0" collapsed="false">
      <c r="B238" s="30" t="s">
        <v>986</v>
      </c>
      <c r="C238" s="31" t="n">
        <v>46020</v>
      </c>
      <c r="D238" s="30" t="s">
        <v>959</v>
      </c>
      <c r="E238" s="32" t="n">
        <v>3349.99</v>
      </c>
      <c r="F238" s="30" t="s">
        <v>26</v>
      </c>
      <c r="G238" s="30" t="s">
        <v>960</v>
      </c>
    </row>
    <row r="239" customFormat="false" ht="15" hidden="false" customHeight="false" outlineLevel="0" collapsed="false">
      <c r="B239" s="30" t="s">
        <v>963</v>
      </c>
      <c r="C239" s="31" t="n">
        <v>46021</v>
      </c>
      <c r="D239" s="30" t="s">
        <v>964</v>
      </c>
      <c r="E239" s="32" t="n">
        <v>3185</v>
      </c>
      <c r="F239" s="30" t="s">
        <v>34</v>
      </c>
      <c r="G239" s="30" t="s">
        <v>960</v>
      </c>
    </row>
    <row r="240" customFormat="false" ht="15" hidden="false" customHeight="false" outlineLevel="0" collapsed="false">
      <c r="B240" s="30" t="s">
        <v>963</v>
      </c>
      <c r="C240" s="31" t="n">
        <v>46021</v>
      </c>
      <c r="D240" s="30" t="s">
        <v>964</v>
      </c>
      <c r="E240" s="32" t="n">
        <v>687.5</v>
      </c>
      <c r="F240" s="30" t="s">
        <v>34</v>
      </c>
      <c r="G240" s="30" t="s">
        <v>960</v>
      </c>
    </row>
    <row r="241" customFormat="false" ht="15" hidden="false" customHeight="false" outlineLevel="0" collapsed="false">
      <c r="B241" s="30" t="s">
        <v>981</v>
      </c>
      <c r="C241" s="31" t="n">
        <v>46021</v>
      </c>
      <c r="D241" s="30" t="s">
        <v>964</v>
      </c>
      <c r="E241" s="32" t="n">
        <v>7106</v>
      </c>
      <c r="F241" s="30" t="s">
        <v>28</v>
      </c>
      <c r="G241" s="30" t="s">
        <v>960</v>
      </c>
    </row>
    <row r="242" customFormat="false" ht="15" hidden="false" customHeight="false" outlineLevel="0" collapsed="false">
      <c r="B242" s="30" t="s">
        <v>1002</v>
      </c>
      <c r="C242" s="31" t="n">
        <v>46027</v>
      </c>
      <c r="D242" s="30" t="s">
        <v>959</v>
      </c>
      <c r="E242" s="32" t="n">
        <v>754.69</v>
      </c>
      <c r="F242" s="30" t="s">
        <v>26</v>
      </c>
      <c r="G242" s="30" t="s">
        <v>960</v>
      </c>
    </row>
    <row r="243" customFormat="false" ht="15" hidden="false" customHeight="false" outlineLevel="0" collapsed="false">
      <c r="B243" s="30" t="s">
        <v>983</v>
      </c>
      <c r="C243" s="31" t="n">
        <v>46027</v>
      </c>
      <c r="D243" s="30" t="s">
        <v>959</v>
      </c>
      <c r="E243" s="32" t="n">
        <v>13832.35</v>
      </c>
      <c r="F243" s="30" t="s">
        <v>26</v>
      </c>
      <c r="G243" s="30" t="s">
        <v>960</v>
      </c>
    </row>
    <row r="244" customFormat="false" ht="15" hidden="false" customHeight="false" outlineLevel="0" collapsed="false">
      <c r="B244" s="30" t="s">
        <v>986</v>
      </c>
      <c r="C244" s="31" t="n">
        <v>46028</v>
      </c>
      <c r="D244" s="30" t="s">
        <v>959</v>
      </c>
      <c r="E244" s="32" t="n">
        <v>1519.86</v>
      </c>
      <c r="F244" s="30" t="s">
        <v>26</v>
      </c>
      <c r="G244" s="30" t="s">
        <v>960</v>
      </c>
    </row>
    <row r="245" customFormat="false" ht="15" hidden="false" customHeight="false" outlineLevel="0" collapsed="false">
      <c r="B245" s="30" t="s">
        <v>986</v>
      </c>
      <c r="C245" s="31" t="n">
        <v>46029</v>
      </c>
      <c r="D245" s="30" t="s">
        <v>959</v>
      </c>
      <c r="E245" s="32" t="n">
        <v>824.8</v>
      </c>
      <c r="F245" s="30" t="s">
        <v>26</v>
      </c>
      <c r="G245" s="30" t="s">
        <v>960</v>
      </c>
    </row>
    <row r="246" customFormat="false" ht="15" hidden="false" customHeight="false" outlineLevel="0" collapsed="false">
      <c r="B246" s="30" t="s">
        <v>983</v>
      </c>
      <c r="C246" s="31" t="n">
        <v>46031</v>
      </c>
      <c r="D246" s="30" t="s">
        <v>959</v>
      </c>
      <c r="E246" s="32" t="n">
        <v>10280.2</v>
      </c>
      <c r="F246" s="30" t="s">
        <v>26</v>
      </c>
      <c r="G246" s="30" t="s">
        <v>960</v>
      </c>
    </row>
    <row r="247" customFormat="false" ht="15" hidden="false" customHeight="false" outlineLevel="0" collapsed="false">
      <c r="B247" s="30" t="s">
        <v>986</v>
      </c>
      <c r="C247" s="31" t="n">
        <v>46035</v>
      </c>
      <c r="D247" s="30" t="s">
        <v>959</v>
      </c>
      <c r="E247" s="32" t="n">
        <v>3845.12</v>
      </c>
      <c r="F247" s="30" t="s">
        <v>26</v>
      </c>
      <c r="G247" s="30" t="s">
        <v>960</v>
      </c>
    </row>
    <row r="248" customFormat="false" ht="15" hidden="false" customHeight="false" outlineLevel="0" collapsed="false">
      <c r="B248" s="30" t="s">
        <v>986</v>
      </c>
      <c r="C248" s="31" t="n">
        <v>46035</v>
      </c>
      <c r="D248" s="30" t="s">
        <v>959</v>
      </c>
      <c r="E248" s="32" t="n">
        <v>3236.66</v>
      </c>
      <c r="F248" s="30" t="s">
        <v>26</v>
      </c>
      <c r="G248" s="30" t="s">
        <v>960</v>
      </c>
    </row>
    <row r="249" customFormat="false" ht="15" hidden="false" customHeight="false" outlineLevel="0" collapsed="false">
      <c r="B249" s="30" t="s">
        <v>1002</v>
      </c>
      <c r="C249" s="31" t="n">
        <v>46035</v>
      </c>
      <c r="D249" s="30" t="s">
        <v>959</v>
      </c>
      <c r="E249" s="32" t="n">
        <v>754.69</v>
      </c>
      <c r="F249" s="30" t="s">
        <v>26</v>
      </c>
      <c r="G249" s="30" t="s">
        <v>960</v>
      </c>
    </row>
    <row r="250" customFormat="false" ht="15" hidden="false" customHeight="false" outlineLevel="0" collapsed="false">
      <c r="B250" s="30" t="s">
        <v>986</v>
      </c>
      <c r="C250" s="31" t="n">
        <v>46035</v>
      </c>
      <c r="D250" s="30" t="s">
        <v>959</v>
      </c>
      <c r="E250" s="32" t="n">
        <v>4139.98</v>
      </c>
      <c r="F250" s="30" t="s">
        <v>26</v>
      </c>
      <c r="G250" s="30" t="s">
        <v>960</v>
      </c>
    </row>
    <row r="251" customFormat="false" ht="15" hidden="false" customHeight="false" outlineLevel="0" collapsed="false">
      <c r="B251" s="30" t="s">
        <v>986</v>
      </c>
      <c r="C251" s="31" t="n">
        <v>46035</v>
      </c>
      <c r="D251" s="30" t="s">
        <v>959</v>
      </c>
      <c r="E251" s="32" t="n">
        <v>3349.99</v>
      </c>
      <c r="F251" s="30" t="s">
        <v>26</v>
      </c>
      <c r="G251" s="30" t="s">
        <v>960</v>
      </c>
    </row>
    <row r="252" customFormat="false" ht="15" hidden="false" customHeight="false" outlineLevel="0" collapsed="false">
      <c r="B252" s="30" t="s">
        <v>986</v>
      </c>
      <c r="C252" s="31" t="n">
        <v>46035</v>
      </c>
      <c r="D252" s="30" t="s">
        <v>959</v>
      </c>
      <c r="E252" s="32" t="n">
        <v>2996.49</v>
      </c>
      <c r="F252" s="30" t="s">
        <v>26</v>
      </c>
      <c r="G252" s="30" t="s">
        <v>960</v>
      </c>
    </row>
    <row r="253" customFormat="false" ht="15" hidden="false" customHeight="false" outlineLevel="0" collapsed="false">
      <c r="B253" s="30" t="s">
        <v>986</v>
      </c>
      <c r="C253" s="31" t="n">
        <v>46035</v>
      </c>
      <c r="D253" s="30" t="s">
        <v>959</v>
      </c>
      <c r="E253" s="32" t="n">
        <v>6644.39</v>
      </c>
      <c r="F253" s="30" t="s">
        <v>26</v>
      </c>
      <c r="G253" s="30" t="s">
        <v>960</v>
      </c>
    </row>
    <row r="254" customFormat="false" ht="15" hidden="false" customHeight="false" outlineLevel="0" collapsed="false">
      <c r="B254" s="30" t="s">
        <v>986</v>
      </c>
      <c r="C254" s="31" t="n">
        <v>46035</v>
      </c>
      <c r="D254" s="30" t="s">
        <v>959</v>
      </c>
      <c r="E254" s="32" t="n">
        <v>918.72</v>
      </c>
      <c r="F254" s="30" t="s">
        <v>26</v>
      </c>
      <c r="G254" s="30" t="s">
        <v>960</v>
      </c>
    </row>
    <row r="255" customFormat="false" ht="15" hidden="false" customHeight="false" outlineLevel="0" collapsed="false">
      <c r="B255" s="30" t="s">
        <v>1003</v>
      </c>
      <c r="C255" s="31" t="n">
        <v>46041</v>
      </c>
      <c r="D255" s="30" t="s">
        <v>959</v>
      </c>
      <c r="E255" s="32" t="n">
        <v>23441.4</v>
      </c>
      <c r="F255" s="30" t="s">
        <v>26</v>
      </c>
      <c r="G255" s="30" t="s">
        <v>960</v>
      </c>
    </row>
    <row r="256" customFormat="false" ht="15" hidden="false" customHeight="false" outlineLevel="0" collapsed="false">
      <c r="B256" s="30" t="s">
        <v>983</v>
      </c>
      <c r="C256" s="31" t="n">
        <v>46041</v>
      </c>
      <c r="D256" s="30" t="s">
        <v>959</v>
      </c>
      <c r="E256" s="32" t="n">
        <v>13832.34</v>
      </c>
      <c r="F256" s="30" t="s">
        <v>26</v>
      </c>
      <c r="G256" s="30" t="s">
        <v>960</v>
      </c>
    </row>
    <row r="257" customFormat="false" ht="15" hidden="false" customHeight="false" outlineLevel="0" collapsed="false">
      <c r="B257" s="30" t="s">
        <v>1003</v>
      </c>
      <c r="C257" s="31" t="n">
        <v>46041</v>
      </c>
      <c r="D257" s="30" t="s">
        <v>959</v>
      </c>
      <c r="E257" s="32" t="n">
        <v>11885.52</v>
      </c>
      <c r="F257" s="30" t="s">
        <v>26</v>
      </c>
      <c r="G257" s="30" t="s">
        <v>960</v>
      </c>
    </row>
    <row r="258" customFormat="false" ht="15" hidden="false" customHeight="false" outlineLevel="0" collapsed="false">
      <c r="B258" s="30" t="s">
        <v>1003</v>
      </c>
      <c r="C258" s="31" t="n">
        <v>46041</v>
      </c>
      <c r="D258" s="30" t="s">
        <v>959</v>
      </c>
      <c r="E258" s="32" t="n">
        <v>23809.85</v>
      </c>
      <c r="F258" s="30" t="s">
        <v>26</v>
      </c>
      <c r="G258" s="30" t="s">
        <v>960</v>
      </c>
    </row>
    <row r="259" customFormat="false" ht="15" hidden="false" customHeight="false" outlineLevel="0" collapsed="false">
      <c r="B259" s="30" t="s">
        <v>1003</v>
      </c>
      <c r="C259" s="31" t="n">
        <v>46041</v>
      </c>
      <c r="D259" s="30" t="s">
        <v>959</v>
      </c>
      <c r="E259" s="32" t="n">
        <v>7344.01</v>
      </c>
      <c r="F259" s="30" t="s">
        <v>26</v>
      </c>
      <c r="G259" s="30" t="s">
        <v>960</v>
      </c>
    </row>
    <row r="260" customFormat="false" ht="15" hidden="false" customHeight="false" outlineLevel="0" collapsed="false">
      <c r="B260" s="30" t="s">
        <v>1003</v>
      </c>
      <c r="C260" s="31" t="n">
        <v>46041</v>
      </c>
      <c r="D260" s="30" t="s">
        <v>959</v>
      </c>
      <c r="E260" s="32" t="n">
        <v>6098.79</v>
      </c>
      <c r="F260" s="30" t="s">
        <v>26</v>
      </c>
      <c r="G260" s="30" t="s">
        <v>960</v>
      </c>
    </row>
    <row r="261" customFormat="false" ht="15" hidden="false" customHeight="false" outlineLevel="0" collapsed="false">
      <c r="B261" s="30" t="s">
        <v>998</v>
      </c>
      <c r="C261" s="31" t="n">
        <v>46042</v>
      </c>
      <c r="D261" s="30" t="s">
        <v>959</v>
      </c>
      <c r="E261" s="32" t="n">
        <v>22210.59</v>
      </c>
      <c r="F261" s="30" t="s">
        <v>36</v>
      </c>
      <c r="G261" s="30" t="s">
        <v>960</v>
      </c>
    </row>
    <row r="262" customFormat="false" ht="15" hidden="false" customHeight="false" outlineLevel="0" collapsed="false">
      <c r="B262" s="30" t="s">
        <v>987</v>
      </c>
      <c r="C262" s="31" t="n">
        <v>46042</v>
      </c>
      <c r="D262" s="30" t="s">
        <v>988</v>
      </c>
      <c r="E262" s="32" t="n">
        <v>2088</v>
      </c>
      <c r="F262" s="30" t="s">
        <v>58</v>
      </c>
      <c r="G262" s="30" t="s">
        <v>960</v>
      </c>
    </row>
    <row r="263" customFormat="false" ht="15" hidden="false" customHeight="false" outlineLevel="0" collapsed="false">
      <c r="B263" s="30" t="s">
        <v>990</v>
      </c>
      <c r="C263" s="31" t="n">
        <v>46043</v>
      </c>
      <c r="D263" s="30" t="s">
        <v>988</v>
      </c>
      <c r="E263" s="32" t="n">
        <v>42329</v>
      </c>
      <c r="F263" s="30" t="s">
        <v>58</v>
      </c>
      <c r="G263" s="30" t="s">
        <v>960</v>
      </c>
    </row>
    <row r="264" customFormat="false" ht="15" hidden="false" customHeight="false" outlineLevel="0" collapsed="false">
      <c r="B264" s="30" t="s">
        <v>992</v>
      </c>
      <c r="C264" s="31" t="n">
        <v>46044</v>
      </c>
      <c r="D264" s="30" t="s">
        <v>988</v>
      </c>
      <c r="E264" s="32" t="n">
        <v>12013.66</v>
      </c>
      <c r="F264" s="30" t="s">
        <v>63</v>
      </c>
      <c r="G264" s="30" t="s">
        <v>960</v>
      </c>
    </row>
    <row r="265" customFormat="false" ht="15" hidden="false" customHeight="false" outlineLevel="0" collapsed="false">
      <c r="B265" s="30" t="s">
        <v>987</v>
      </c>
      <c r="C265" s="31" t="n">
        <v>46044</v>
      </c>
      <c r="D265" s="30" t="s">
        <v>988</v>
      </c>
      <c r="E265" s="32" t="n">
        <v>3127.85</v>
      </c>
      <c r="F265" s="30" t="s">
        <v>58</v>
      </c>
      <c r="G265" s="30" t="s">
        <v>960</v>
      </c>
    </row>
    <row r="266" customFormat="false" ht="15" hidden="false" customHeight="false" outlineLevel="0" collapsed="false">
      <c r="B266" s="30" t="s">
        <v>1002</v>
      </c>
      <c r="C266" s="31" t="n">
        <v>46045</v>
      </c>
      <c r="D266" s="30" t="s">
        <v>959</v>
      </c>
      <c r="E266" s="32" t="n">
        <v>754.69</v>
      </c>
      <c r="F266" s="30" t="s">
        <v>26</v>
      </c>
      <c r="G266" s="30" t="s">
        <v>960</v>
      </c>
    </row>
    <row r="267" customFormat="false" ht="15" hidden="false" customHeight="false" outlineLevel="0" collapsed="false">
      <c r="B267" s="30" t="s">
        <v>993</v>
      </c>
      <c r="C267" s="31" t="n">
        <v>46045</v>
      </c>
      <c r="D267" s="30" t="s">
        <v>988</v>
      </c>
      <c r="E267" s="32" t="n">
        <v>12445.02</v>
      </c>
      <c r="F267" s="30" t="s">
        <v>63</v>
      </c>
      <c r="G267" s="30" t="s">
        <v>960</v>
      </c>
    </row>
    <row r="268" customFormat="false" ht="15" hidden="false" customHeight="false" outlineLevel="0" collapsed="false">
      <c r="B268" s="30" t="s">
        <v>994</v>
      </c>
      <c r="C268" s="31" t="n">
        <v>46050</v>
      </c>
      <c r="D268" s="30" t="s">
        <v>988</v>
      </c>
      <c r="E268" s="32" t="n">
        <v>15436.91</v>
      </c>
      <c r="F268" s="30" t="s">
        <v>58</v>
      </c>
      <c r="G268" s="30" t="s">
        <v>960</v>
      </c>
    </row>
    <row r="269" customFormat="false" ht="15" hidden="false" customHeight="false" outlineLevel="0" collapsed="false">
      <c r="B269" s="30" t="s">
        <v>986</v>
      </c>
      <c r="C269" s="31" t="n">
        <v>46050</v>
      </c>
      <c r="D269" s="30" t="s">
        <v>959</v>
      </c>
      <c r="E269" s="32" t="n">
        <v>3845.12</v>
      </c>
      <c r="F269" s="30" t="s">
        <v>26</v>
      </c>
      <c r="G269" s="30" t="s">
        <v>960</v>
      </c>
    </row>
    <row r="270" customFormat="false" ht="15" hidden="false" customHeight="false" outlineLevel="0" collapsed="false">
      <c r="B270" s="30" t="s">
        <v>986</v>
      </c>
      <c r="C270" s="31" t="n">
        <v>46050</v>
      </c>
      <c r="D270" s="30" t="s">
        <v>959</v>
      </c>
      <c r="E270" s="32" t="n">
        <v>6644.39</v>
      </c>
      <c r="F270" s="30" t="s">
        <v>26</v>
      </c>
      <c r="G270" s="30" t="s">
        <v>960</v>
      </c>
    </row>
    <row r="271" customFormat="false" ht="15" hidden="false" customHeight="false" outlineLevel="0" collapsed="false">
      <c r="B271" s="30" t="s">
        <v>986</v>
      </c>
      <c r="C271" s="31" t="n">
        <v>46050</v>
      </c>
      <c r="D271" s="30" t="s">
        <v>959</v>
      </c>
      <c r="E271" s="32" t="n">
        <v>3236.66</v>
      </c>
      <c r="F271" s="30" t="s">
        <v>26</v>
      </c>
      <c r="G271" s="30" t="s">
        <v>960</v>
      </c>
    </row>
    <row r="272" customFormat="false" ht="15" hidden="false" customHeight="false" outlineLevel="0" collapsed="false">
      <c r="B272" s="30" t="s">
        <v>986</v>
      </c>
      <c r="C272" s="31" t="n">
        <v>46050</v>
      </c>
      <c r="D272" s="30" t="s">
        <v>959</v>
      </c>
      <c r="E272" s="32" t="n">
        <v>2996.49</v>
      </c>
      <c r="F272" s="30" t="s">
        <v>26</v>
      </c>
      <c r="G272" s="30" t="s">
        <v>960</v>
      </c>
    </row>
    <row r="273" customFormat="false" ht="15" hidden="false" customHeight="false" outlineLevel="0" collapsed="false">
      <c r="B273" s="30" t="s">
        <v>986</v>
      </c>
      <c r="C273" s="31" t="n">
        <v>46050</v>
      </c>
      <c r="D273" s="30" t="s">
        <v>959</v>
      </c>
      <c r="E273" s="32" t="n">
        <v>4139.98</v>
      </c>
      <c r="F273" s="30" t="s">
        <v>26</v>
      </c>
      <c r="G273" s="30" t="s">
        <v>960</v>
      </c>
    </row>
    <row r="274" customFormat="false" ht="15" hidden="false" customHeight="false" outlineLevel="0" collapsed="false">
      <c r="B274" s="30" t="s">
        <v>986</v>
      </c>
      <c r="C274" s="31" t="n">
        <v>46050</v>
      </c>
      <c r="D274" s="30" t="s">
        <v>959</v>
      </c>
      <c r="E274" s="32" t="n">
        <v>918.72</v>
      </c>
      <c r="F274" s="30" t="s">
        <v>26</v>
      </c>
      <c r="G274" s="30" t="s">
        <v>960</v>
      </c>
    </row>
    <row r="275" customFormat="false" ht="15" hidden="false" customHeight="false" outlineLevel="0" collapsed="false">
      <c r="B275" s="30" t="s">
        <v>986</v>
      </c>
      <c r="C275" s="31" t="n">
        <v>46050</v>
      </c>
      <c r="D275" s="30" t="s">
        <v>959</v>
      </c>
      <c r="E275" s="32" t="n">
        <v>3349.99</v>
      </c>
      <c r="F275" s="30" t="s">
        <v>26</v>
      </c>
      <c r="G275" s="30" t="s">
        <v>960</v>
      </c>
    </row>
    <row r="276" customFormat="false" ht="15" hidden="false" customHeight="false" outlineLevel="0" collapsed="false">
      <c r="B276" s="30" t="s">
        <v>1003</v>
      </c>
      <c r="C276" s="31" t="n">
        <v>46051</v>
      </c>
      <c r="D276" s="30" t="s">
        <v>959</v>
      </c>
      <c r="E276" s="32" t="n">
        <v>23809.85</v>
      </c>
      <c r="F276" s="30" t="s">
        <v>26</v>
      </c>
      <c r="G276" s="30" t="s">
        <v>960</v>
      </c>
    </row>
    <row r="277" customFormat="false" ht="15" hidden="false" customHeight="false" outlineLevel="0" collapsed="false">
      <c r="B277" s="30" t="s">
        <v>1003</v>
      </c>
      <c r="C277" s="31" t="n">
        <v>46051</v>
      </c>
      <c r="D277" s="30" t="s">
        <v>959</v>
      </c>
      <c r="E277" s="32" t="n">
        <v>23441.4</v>
      </c>
      <c r="F277" s="30" t="s">
        <v>26</v>
      </c>
      <c r="G277" s="30" t="s">
        <v>960</v>
      </c>
    </row>
    <row r="278" customFormat="false" ht="15" hidden="false" customHeight="false" outlineLevel="0" collapsed="false">
      <c r="B278" s="30" t="s">
        <v>1003</v>
      </c>
      <c r="C278" s="31" t="n">
        <v>46051</v>
      </c>
      <c r="D278" s="30" t="s">
        <v>959</v>
      </c>
      <c r="E278" s="32" t="n">
        <v>6098.79</v>
      </c>
      <c r="F278" s="30" t="s">
        <v>26</v>
      </c>
      <c r="G278" s="30" t="s">
        <v>960</v>
      </c>
    </row>
    <row r="279" customFormat="false" ht="15" hidden="false" customHeight="false" outlineLevel="0" collapsed="false">
      <c r="B279" s="30" t="s">
        <v>1003</v>
      </c>
      <c r="C279" s="31" t="n">
        <v>46051</v>
      </c>
      <c r="D279" s="30" t="s">
        <v>959</v>
      </c>
      <c r="E279" s="32" t="n">
        <v>7344.01</v>
      </c>
      <c r="F279" s="30" t="s">
        <v>26</v>
      </c>
      <c r="G279" s="30" t="s">
        <v>960</v>
      </c>
    </row>
    <row r="280" customFormat="false" ht="15" hidden="false" customHeight="false" outlineLevel="0" collapsed="false">
      <c r="B280" s="30" t="s">
        <v>1003</v>
      </c>
      <c r="C280" s="31" t="n">
        <v>46051</v>
      </c>
      <c r="D280" s="30" t="s">
        <v>959</v>
      </c>
      <c r="E280" s="32" t="n">
        <v>11885.52</v>
      </c>
      <c r="F280" s="30" t="s">
        <v>26</v>
      </c>
      <c r="G280" s="30" t="s">
        <v>960</v>
      </c>
    </row>
    <row r="281" customFormat="false" ht="15" hidden="false" customHeight="false" outlineLevel="0" collapsed="false">
      <c r="B281" s="30" t="s">
        <v>1002</v>
      </c>
      <c r="C281" s="31" t="n">
        <v>46055</v>
      </c>
      <c r="D281" s="30" t="s">
        <v>959</v>
      </c>
      <c r="E281" s="32" t="n">
        <v>754.69</v>
      </c>
      <c r="F281" s="30" t="s">
        <v>26</v>
      </c>
      <c r="G281" s="30" t="s">
        <v>960</v>
      </c>
    </row>
    <row r="282" customFormat="false" ht="15" hidden="false" customHeight="false" outlineLevel="0" collapsed="false">
      <c r="B282" s="30" t="s">
        <v>1003</v>
      </c>
      <c r="C282" s="31" t="n">
        <v>46062</v>
      </c>
      <c r="D282" s="30" t="s">
        <v>959</v>
      </c>
      <c r="E282" s="32" t="n">
        <v>23448.44</v>
      </c>
      <c r="F282" s="30" t="s">
        <v>26</v>
      </c>
      <c r="G282" s="30" t="s">
        <v>960</v>
      </c>
    </row>
    <row r="283" customFormat="false" ht="15" hidden="false" customHeight="false" outlineLevel="0" collapsed="false">
      <c r="B283" s="30" t="s">
        <v>1003</v>
      </c>
      <c r="C283" s="31" t="n">
        <v>46062</v>
      </c>
      <c r="D283" s="30" t="s">
        <v>959</v>
      </c>
      <c r="E283" s="32" t="n">
        <v>11889.09</v>
      </c>
      <c r="F283" s="30" t="s">
        <v>26</v>
      </c>
      <c r="G283" s="30" t="s">
        <v>960</v>
      </c>
    </row>
    <row r="284" customFormat="false" ht="15" hidden="false" customHeight="false" outlineLevel="0" collapsed="false">
      <c r="B284" s="30" t="s">
        <v>1003</v>
      </c>
      <c r="C284" s="31" t="n">
        <v>46062</v>
      </c>
      <c r="D284" s="30" t="s">
        <v>959</v>
      </c>
      <c r="E284" s="32" t="n">
        <v>6099.62</v>
      </c>
      <c r="F284" s="30" t="s">
        <v>26</v>
      </c>
      <c r="G284" s="30" t="s">
        <v>960</v>
      </c>
    </row>
    <row r="285" customFormat="false" ht="15" hidden="false" customHeight="false" outlineLevel="0" collapsed="false">
      <c r="B285" s="30" t="s">
        <v>1003</v>
      </c>
      <c r="C285" s="31" t="n">
        <v>46062</v>
      </c>
      <c r="D285" s="30" t="s">
        <v>959</v>
      </c>
      <c r="E285" s="32" t="n">
        <v>7346.22</v>
      </c>
      <c r="F285" s="30" t="s">
        <v>26</v>
      </c>
      <c r="G285" s="30" t="s">
        <v>960</v>
      </c>
    </row>
    <row r="286" customFormat="false" ht="15" hidden="false" customHeight="false" outlineLevel="0" collapsed="false">
      <c r="B286" s="30" t="s">
        <v>1003</v>
      </c>
      <c r="C286" s="31" t="n">
        <v>46062</v>
      </c>
      <c r="D286" s="30" t="s">
        <v>959</v>
      </c>
      <c r="E286" s="32" t="n">
        <v>23816.99</v>
      </c>
      <c r="F286" s="30" t="s">
        <v>26</v>
      </c>
      <c r="G286" s="30" t="s">
        <v>960</v>
      </c>
    </row>
    <row r="287" customFormat="false" ht="15" hidden="false" customHeight="false" outlineLevel="0" collapsed="false">
      <c r="B287" s="30" t="s">
        <v>986</v>
      </c>
      <c r="C287" s="31" t="n">
        <v>46065</v>
      </c>
      <c r="D287" s="30" t="s">
        <v>959</v>
      </c>
      <c r="E287" s="32" t="n">
        <v>3236.66</v>
      </c>
      <c r="F287" s="30" t="s">
        <v>26</v>
      </c>
      <c r="G287" s="30" t="s">
        <v>960</v>
      </c>
    </row>
    <row r="288" customFormat="false" ht="15" hidden="false" customHeight="false" outlineLevel="0" collapsed="false">
      <c r="B288" s="30" t="s">
        <v>986</v>
      </c>
      <c r="C288" s="31" t="n">
        <v>46065</v>
      </c>
      <c r="D288" s="30" t="s">
        <v>959</v>
      </c>
      <c r="E288" s="32" t="n">
        <v>3845.12</v>
      </c>
      <c r="F288" s="30" t="s">
        <v>26</v>
      </c>
      <c r="G288" s="30" t="s">
        <v>960</v>
      </c>
    </row>
    <row r="289" customFormat="false" ht="15" hidden="false" customHeight="false" outlineLevel="0" collapsed="false">
      <c r="B289" s="30" t="s">
        <v>986</v>
      </c>
      <c r="C289" s="31" t="n">
        <v>46065</v>
      </c>
      <c r="D289" s="30" t="s">
        <v>959</v>
      </c>
      <c r="E289" s="32" t="n">
        <v>6644.39</v>
      </c>
      <c r="F289" s="30" t="s">
        <v>26</v>
      </c>
      <c r="G289" s="30" t="s">
        <v>960</v>
      </c>
    </row>
    <row r="290" customFormat="false" ht="15" hidden="false" customHeight="false" outlineLevel="0" collapsed="false">
      <c r="B290" s="30" t="s">
        <v>1002</v>
      </c>
      <c r="C290" s="31" t="n">
        <v>46065</v>
      </c>
      <c r="D290" s="30" t="s">
        <v>959</v>
      </c>
      <c r="E290" s="32" t="n">
        <v>754.69</v>
      </c>
      <c r="F290" s="30" t="s">
        <v>26</v>
      </c>
      <c r="G290" s="30" t="s">
        <v>960</v>
      </c>
    </row>
    <row r="291" customFormat="false" ht="15" hidden="false" customHeight="false" outlineLevel="0" collapsed="false">
      <c r="B291" s="30" t="s">
        <v>986</v>
      </c>
      <c r="C291" s="31" t="n">
        <v>46065</v>
      </c>
      <c r="D291" s="30" t="s">
        <v>959</v>
      </c>
      <c r="E291" s="32" t="n">
        <v>918.72</v>
      </c>
      <c r="F291" s="30" t="s">
        <v>26</v>
      </c>
      <c r="G291" s="30" t="s">
        <v>960</v>
      </c>
    </row>
    <row r="292" customFormat="false" ht="15" hidden="false" customHeight="false" outlineLevel="0" collapsed="false">
      <c r="B292" s="30" t="s">
        <v>986</v>
      </c>
      <c r="C292" s="31" t="n">
        <v>46065</v>
      </c>
      <c r="D292" s="30" t="s">
        <v>959</v>
      </c>
      <c r="E292" s="32" t="n">
        <v>3349.99</v>
      </c>
      <c r="F292" s="30" t="s">
        <v>26</v>
      </c>
      <c r="G292" s="30" t="s">
        <v>960</v>
      </c>
    </row>
    <row r="293" customFormat="false" ht="15" hidden="false" customHeight="false" outlineLevel="0" collapsed="false">
      <c r="B293" s="30" t="s">
        <v>986</v>
      </c>
      <c r="C293" s="31" t="n">
        <v>46065</v>
      </c>
      <c r="D293" s="30" t="s">
        <v>959</v>
      </c>
      <c r="E293" s="32" t="n">
        <v>2996.49</v>
      </c>
      <c r="F293" s="30" t="s">
        <v>26</v>
      </c>
      <c r="G293" s="30" t="s">
        <v>960</v>
      </c>
    </row>
    <row r="294" customFormat="false" ht="15" hidden="false" customHeight="false" outlineLevel="0" collapsed="false">
      <c r="B294" s="30" t="s">
        <v>986</v>
      </c>
      <c r="C294" s="31" t="n">
        <v>46065</v>
      </c>
      <c r="D294" s="30" t="s">
        <v>959</v>
      </c>
      <c r="E294" s="32" t="n">
        <v>4139.98</v>
      </c>
      <c r="F294" s="30" t="s">
        <v>26</v>
      </c>
      <c r="G294" s="30" t="s">
        <v>960</v>
      </c>
    </row>
    <row r="295" customFormat="false" ht="15" hidden="false" customHeight="false" outlineLevel="0" collapsed="false">
      <c r="B295" s="30" t="s">
        <v>987</v>
      </c>
      <c r="C295" s="31" t="n">
        <v>46073</v>
      </c>
      <c r="D295" s="30" t="s">
        <v>988</v>
      </c>
      <c r="E295" s="32" t="n">
        <v>2088</v>
      </c>
      <c r="F295" s="30" t="s">
        <v>58</v>
      </c>
      <c r="G295" s="30" t="s">
        <v>960</v>
      </c>
    </row>
    <row r="296" customFormat="false" ht="15" hidden="false" customHeight="false" outlineLevel="0" collapsed="false">
      <c r="B296" s="30" t="s">
        <v>1004</v>
      </c>
      <c r="C296" s="31" t="n">
        <v>46074</v>
      </c>
      <c r="D296" s="30" t="s">
        <v>973</v>
      </c>
      <c r="E296" s="32" t="n">
        <v>14168</v>
      </c>
      <c r="F296" s="30" t="s">
        <v>58</v>
      </c>
      <c r="G296" s="30" t="s">
        <v>960</v>
      </c>
    </row>
    <row r="297" customFormat="false" ht="15" hidden="false" customHeight="false" outlineLevel="0" collapsed="false">
      <c r="B297" s="30" t="s">
        <v>990</v>
      </c>
      <c r="C297" s="31" t="n">
        <v>46074</v>
      </c>
      <c r="D297" s="30" t="s">
        <v>988</v>
      </c>
      <c r="E297" s="32" t="n">
        <v>42329</v>
      </c>
      <c r="F297" s="30" t="s">
        <v>58</v>
      </c>
      <c r="G297" s="30" t="s">
        <v>960</v>
      </c>
    </row>
    <row r="298" customFormat="false" ht="15" hidden="false" customHeight="false" outlineLevel="0" collapsed="false">
      <c r="B298" s="30" t="s">
        <v>992</v>
      </c>
      <c r="C298" s="31" t="n">
        <v>46075</v>
      </c>
      <c r="D298" s="30" t="s">
        <v>988</v>
      </c>
      <c r="E298" s="32" t="n">
        <v>12013.66</v>
      </c>
      <c r="F298" s="30" t="s">
        <v>63</v>
      </c>
      <c r="G298" s="30" t="s">
        <v>960</v>
      </c>
    </row>
    <row r="299" customFormat="false" ht="15" hidden="false" customHeight="false" outlineLevel="0" collapsed="false">
      <c r="B299" s="30" t="s">
        <v>987</v>
      </c>
      <c r="C299" s="31" t="n">
        <v>46075</v>
      </c>
      <c r="D299" s="30" t="s">
        <v>988</v>
      </c>
      <c r="E299" s="32" t="n">
        <v>3127.85</v>
      </c>
      <c r="F299" s="30" t="s">
        <v>58</v>
      </c>
      <c r="G299" s="30" t="s">
        <v>960</v>
      </c>
    </row>
    <row r="300" customFormat="false" ht="15" hidden="false" customHeight="false" outlineLevel="0" collapsed="false">
      <c r="B300" s="30" t="s">
        <v>993</v>
      </c>
      <c r="C300" s="31" t="n">
        <v>46076</v>
      </c>
      <c r="D300" s="30" t="s">
        <v>988</v>
      </c>
      <c r="E300" s="32" t="n">
        <v>12445.02</v>
      </c>
      <c r="F300" s="30" t="s">
        <v>63</v>
      </c>
      <c r="G300" s="30" t="s">
        <v>960</v>
      </c>
    </row>
    <row r="301" customFormat="false" ht="15" hidden="false" customHeight="false" outlineLevel="0" collapsed="false">
      <c r="B301" s="30" t="s">
        <v>1002</v>
      </c>
      <c r="C301" s="31" t="n">
        <v>46076</v>
      </c>
      <c r="D301" s="30" t="s">
        <v>959</v>
      </c>
      <c r="E301" s="32" t="n">
        <v>756.8</v>
      </c>
      <c r="F301" s="30" t="s">
        <v>26</v>
      </c>
      <c r="G301" s="30" t="s">
        <v>960</v>
      </c>
    </row>
    <row r="302" customFormat="false" ht="15" hidden="false" customHeight="false" outlineLevel="0" collapsed="false">
      <c r="B302" s="30" t="s">
        <v>986</v>
      </c>
      <c r="C302" s="31" t="n">
        <v>46080</v>
      </c>
      <c r="D302" s="30" t="s">
        <v>959</v>
      </c>
      <c r="E302" s="32" t="n">
        <v>4139.98</v>
      </c>
      <c r="F302" s="30" t="s">
        <v>26</v>
      </c>
      <c r="G302" s="30" t="s">
        <v>960</v>
      </c>
    </row>
    <row r="303" customFormat="false" ht="15" hidden="false" customHeight="false" outlineLevel="0" collapsed="false">
      <c r="B303" s="30" t="s">
        <v>986</v>
      </c>
      <c r="C303" s="31" t="n">
        <v>46080</v>
      </c>
      <c r="D303" s="30" t="s">
        <v>959</v>
      </c>
      <c r="E303" s="32" t="n">
        <v>3845.11</v>
      </c>
      <c r="F303" s="30" t="s">
        <v>26</v>
      </c>
      <c r="G303" s="30" t="s">
        <v>960</v>
      </c>
    </row>
    <row r="304" customFormat="false" ht="15" hidden="false" customHeight="false" outlineLevel="0" collapsed="false">
      <c r="B304" s="30" t="s">
        <v>986</v>
      </c>
      <c r="C304" s="31" t="n">
        <v>46080</v>
      </c>
      <c r="D304" s="30" t="s">
        <v>959</v>
      </c>
      <c r="E304" s="32" t="n">
        <v>6644.38</v>
      </c>
      <c r="F304" s="30" t="s">
        <v>26</v>
      </c>
      <c r="G304" s="30" t="s">
        <v>960</v>
      </c>
    </row>
    <row r="305" customFormat="false" ht="15" hidden="false" customHeight="false" outlineLevel="0" collapsed="false">
      <c r="B305" s="30" t="s">
        <v>986</v>
      </c>
      <c r="C305" s="31" t="n">
        <v>46080</v>
      </c>
      <c r="D305" s="30" t="s">
        <v>959</v>
      </c>
      <c r="E305" s="32" t="n">
        <v>3349.98</v>
      </c>
      <c r="F305" s="30" t="s">
        <v>26</v>
      </c>
      <c r="G305" s="30" t="s">
        <v>960</v>
      </c>
    </row>
    <row r="306" customFormat="false" ht="15" hidden="false" customHeight="false" outlineLevel="0" collapsed="false">
      <c r="B306" s="30" t="s">
        <v>986</v>
      </c>
      <c r="C306" s="31" t="n">
        <v>46080</v>
      </c>
      <c r="D306" s="30" t="s">
        <v>959</v>
      </c>
      <c r="E306" s="32" t="n">
        <v>918.72</v>
      </c>
      <c r="F306" s="30" t="s">
        <v>26</v>
      </c>
      <c r="G306" s="30" t="s">
        <v>960</v>
      </c>
    </row>
    <row r="307" customFormat="false" ht="15" hidden="false" customHeight="false" outlineLevel="0" collapsed="false">
      <c r="B307" s="30" t="s">
        <v>986</v>
      </c>
      <c r="C307" s="31" t="n">
        <v>46080</v>
      </c>
      <c r="D307" s="30" t="s">
        <v>959</v>
      </c>
      <c r="E307" s="32" t="n">
        <v>3236.64</v>
      </c>
      <c r="F307" s="30" t="s">
        <v>26</v>
      </c>
      <c r="G307" s="30" t="s">
        <v>960</v>
      </c>
    </row>
    <row r="308" customFormat="false" ht="15" hidden="false" customHeight="false" outlineLevel="0" collapsed="false">
      <c r="B308" s="30" t="s">
        <v>986</v>
      </c>
      <c r="C308" s="31" t="n">
        <v>46080</v>
      </c>
      <c r="D308" s="30" t="s">
        <v>959</v>
      </c>
      <c r="E308" s="32" t="n">
        <v>2996.49</v>
      </c>
      <c r="F308" s="30" t="s">
        <v>26</v>
      </c>
      <c r="G308" s="30" t="s">
        <v>960</v>
      </c>
    </row>
    <row r="309" customFormat="false" ht="15" hidden="false" customHeight="false" outlineLevel="0" collapsed="false">
      <c r="B309" s="30" t="s">
        <v>972</v>
      </c>
      <c r="C309" s="31" t="n">
        <v>46081</v>
      </c>
      <c r="D309" s="30" t="s">
        <v>973</v>
      </c>
      <c r="E309" s="32" t="n">
        <v>0.5</v>
      </c>
      <c r="F309" s="30" t="s">
        <v>32</v>
      </c>
      <c r="G309" s="30" t="s">
        <v>960</v>
      </c>
    </row>
    <row r="310" customFormat="false" ht="15" hidden="false" customHeight="false" outlineLevel="0" collapsed="false">
      <c r="B310" s="30" t="s">
        <v>994</v>
      </c>
      <c r="C310" s="31" t="n">
        <v>46081</v>
      </c>
      <c r="D310" s="30" t="s">
        <v>988</v>
      </c>
      <c r="E310" s="32" t="n">
        <v>15436.91</v>
      </c>
      <c r="F310" s="30" t="s">
        <v>58</v>
      </c>
      <c r="G310" s="30" t="s">
        <v>960</v>
      </c>
    </row>
    <row r="311" customFormat="false" ht="15" hidden="false" customHeight="false" outlineLevel="0" collapsed="false">
      <c r="B311" s="30" t="s">
        <v>1005</v>
      </c>
      <c r="C311" s="31" t="n">
        <v>46086</v>
      </c>
      <c r="D311" s="30" t="s">
        <v>991</v>
      </c>
      <c r="E311" s="32" t="n">
        <v>90</v>
      </c>
      <c r="F311" s="30" t="s">
        <v>78</v>
      </c>
      <c r="G311" s="30" t="s">
        <v>960</v>
      </c>
    </row>
    <row r="312" customFormat="false" ht="15" hidden="false" customHeight="false" outlineLevel="0" collapsed="false">
      <c r="B312" s="30" t="s">
        <v>987</v>
      </c>
      <c r="C312" s="31" t="n">
        <v>46101</v>
      </c>
      <c r="D312" s="30" t="s">
        <v>988</v>
      </c>
      <c r="E312" s="32" t="n">
        <v>2088</v>
      </c>
      <c r="F312" s="30" t="s">
        <v>58</v>
      </c>
      <c r="G312" s="30" t="s">
        <v>960</v>
      </c>
    </row>
    <row r="313" customFormat="false" ht="15" hidden="false" customHeight="false" outlineLevel="0" collapsed="false">
      <c r="B313" s="30" t="s">
        <v>990</v>
      </c>
      <c r="C313" s="31" t="n">
        <v>46102</v>
      </c>
      <c r="D313" s="30" t="s">
        <v>988</v>
      </c>
      <c r="E313" s="32" t="n">
        <v>42329</v>
      </c>
      <c r="F313" s="30" t="s">
        <v>58</v>
      </c>
      <c r="G313" s="30" t="s">
        <v>960</v>
      </c>
    </row>
    <row r="314" customFormat="false" ht="15" hidden="false" customHeight="false" outlineLevel="0" collapsed="false">
      <c r="B314" s="30" t="s">
        <v>987</v>
      </c>
      <c r="C314" s="31" t="n">
        <v>46103</v>
      </c>
      <c r="D314" s="30" t="s">
        <v>988</v>
      </c>
      <c r="E314" s="32" t="n">
        <v>3127.85</v>
      </c>
      <c r="F314" s="30" t="s">
        <v>58</v>
      </c>
      <c r="G314" s="30" t="s">
        <v>960</v>
      </c>
    </row>
    <row r="315" customFormat="false" ht="15" hidden="false" customHeight="false" outlineLevel="0" collapsed="false">
      <c r="B315" s="30" t="s">
        <v>992</v>
      </c>
      <c r="C315" s="31" t="n">
        <v>46103</v>
      </c>
      <c r="D315" s="30" t="s">
        <v>988</v>
      </c>
      <c r="E315" s="32" t="n">
        <v>12013.66</v>
      </c>
      <c r="F315" s="30" t="s">
        <v>63</v>
      </c>
      <c r="G315" s="30" t="s">
        <v>960</v>
      </c>
    </row>
    <row r="316" customFormat="false" ht="15" hidden="false" customHeight="false" outlineLevel="0" collapsed="false">
      <c r="B316" s="30" t="s">
        <v>970</v>
      </c>
      <c r="C316" s="31" t="n">
        <v>46104</v>
      </c>
      <c r="D316" s="30" t="s">
        <v>962</v>
      </c>
      <c r="E316" s="32" t="n">
        <v>1853</v>
      </c>
      <c r="F316" s="30" t="s">
        <v>28</v>
      </c>
      <c r="G316" s="30" t="s">
        <v>960</v>
      </c>
    </row>
    <row r="317" customFormat="false" ht="15" hidden="false" customHeight="false" outlineLevel="0" collapsed="false">
      <c r="B317" s="30" t="s">
        <v>1004</v>
      </c>
      <c r="C317" s="31" t="n">
        <v>46104</v>
      </c>
      <c r="D317" s="30" t="s">
        <v>973</v>
      </c>
      <c r="E317" s="32" t="n">
        <v>14168</v>
      </c>
      <c r="F317" s="30" t="s">
        <v>58</v>
      </c>
      <c r="G317" s="30" t="s">
        <v>960</v>
      </c>
    </row>
    <row r="318" customFormat="false" ht="15" hidden="false" customHeight="false" outlineLevel="0" collapsed="false">
      <c r="B318" s="30" t="s">
        <v>993</v>
      </c>
      <c r="C318" s="31" t="n">
        <v>46104</v>
      </c>
      <c r="D318" s="30" t="s">
        <v>988</v>
      </c>
      <c r="E318" s="32" t="n">
        <v>12445.02</v>
      </c>
      <c r="F318" s="30" t="s">
        <v>63</v>
      </c>
      <c r="G318" s="30" t="s">
        <v>960</v>
      </c>
    </row>
    <row r="319" customFormat="false" ht="15" hidden="false" customHeight="false" outlineLevel="0" collapsed="false">
      <c r="B319" s="30" t="s">
        <v>1006</v>
      </c>
      <c r="C319" s="31" t="n">
        <v>46108</v>
      </c>
      <c r="D319" s="30" t="s">
        <v>962</v>
      </c>
      <c r="E319" s="32" t="n">
        <v>873</v>
      </c>
      <c r="F319" s="30" t="s">
        <v>28</v>
      </c>
      <c r="G319" s="30" t="s">
        <v>960</v>
      </c>
    </row>
    <row r="320" customFormat="false" ht="15" hidden="false" customHeight="false" outlineLevel="0" collapsed="false">
      <c r="B320" s="30" t="s">
        <v>1006</v>
      </c>
      <c r="C320" s="31" t="n">
        <v>46108</v>
      </c>
      <c r="D320" s="30" t="s">
        <v>962</v>
      </c>
      <c r="E320" s="32" t="n">
        <v>1140</v>
      </c>
      <c r="F320" s="30" t="s">
        <v>28</v>
      </c>
      <c r="G320" s="30" t="s">
        <v>960</v>
      </c>
    </row>
    <row r="321" customFormat="false" ht="15" hidden="false" customHeight="false" outlineLevel="0" collapsed="false">
      <c r="B321" s="30" t="s">
        <v>972</v>
      </c>
      <c r="C321" s="31" t="n">
        <v>46109</v>
      </c>
      <c r="D321" s="30" t="s">
        <v>973</v>
      </c>
      <c r="E321" s="32" t="n">
        <v>0.5</v>
      </c>
      <c r="F321" s="30" t="s">
        <v>32</v>
      </c>
      <c r="G321" s="30" t="s">
        <v>960</v>
      </c>
    </row>
    <row r="322" customFormat="false" ht="15" hidden="false" customHeight="false" outlineLevel="0" collapsed="false">
      <c r="B322" s="30" t="s">
        <v>965</v>
      </c>
      <c r="C322" s="31" t="n">
        <v>46109</v>
      </c>
      <c r="D322" s="30" t="s">
        <v>968</v>
      </c>
      <c r="E322" s="32" t="n">
        <v>1300</v>
      </c>
      <c r="F322" s="30" t="s">
        <v>35</v>
      </c>
      <c r="G322" s="30" t="s">
        <v>960</v>
      </c>
    </row>
    <row r="323" customFormat="false" ht="15" hidden="false" customHeight="false" outlineLevel="0" collapsed="false">
      <c r="B323" s="30" t="s">
        <v>994</v>
      </c>
      <c r="C323" s="31" t="n">
        <v>46109</v>
      </c>
      <c r="D323" s="30" t="s">
        <v>988</v>
      </c>
      <c r="E323" s="32" t="n">
        <v>15436.91</v>
      </c>
      <c r="F323" s="30" t="s">
        <v>58</v>
      </c>
      <c r="G323" s="30" t="s">
        <v>960</v>
      </c>
    </row>
    <row r="324" customFormat="false" ht="15" hidden="false" customHeight="false" outlineLevel="0" collapsed="false">
      <c r="B324" s="30" t="s">
        <v>1006</v>
      </c>
      <c r="C324" s="31" t="n">
        <v>46111</v>
      </c>
      <c r="D324" s="30" t="s">
        <v>962</v>
      </c>
      <c r="E324" s="32" t="n">
        <v>1400</v>
      </c>
      <c r="F324" s="30" t="s">
        <v>28</v>
      </c>
      <c r="G324" s="30" t="s">
        <v>960</v>
      </c>
    </row>
    <row r="325" customFormat="false" ht="15" hidden="false" customHeight="false" outlineLevel="0" collapsed="false">
      <c r="B325" s="30" t="s">
        <v>1007</v>
      </c>
      <c r="C325" s="31" t="n">
        <v>46112</v>
      </c>
      <c r="D325" s="30" t="s">
        <v>991</v>
      </c>
      <c r="E325" s="32" t="n">
        <v>539</v>
      </c>
      <c r="F325" s="30" t="s">
        <v>30</v>
      </c>
      <c r="G325" s="30" t="s">
        <v>960</v>
      </c>
    </row>
    <row r="326" customFormat="false" ht="15" hidden="false" customHeight="false" outlineLevel="0" collapsed="false">
      <c r="B326" s="30" t="s">
        <v>1008</v>
      </c>
      <c r="C326" s="31" t="n">
        <v>46112</v>
      </c>
      <c r="D326" s="30" t="s">
        <v>991</v>
      </c>
      <c r="E326" s="32" t="n">
        <v>1034</v>
      </c>
      <c r="F326" s="30" t="s">
        <v>30</v>
      </c>
      <c r="G326" s="30" t="s">
        <v>960</v>
      </c>
    </row>
    <row r="327" customFormat="false" ht="15" hidden="false" customHeight="false" outlineLevel="0" collapsed="false">
      <c r="B327" s="30" t="s">
        <v>1007</v>
      </c>
      <c r="C327" s="31" t="n">
        <v>46112</v>
      </c>
      <c r="D327" s="30" t="s">
        <v>991</v>
      </c>
      <c r="E327" s="32" t="n">
        <v>539</v>
      </c>
      <c r="F327" s="30" t="s">
        <v>30</v>
      </c>
      <c r="G327" s="30" t="s">
        <v>960</v>
      </c>
    </row>
    <row r="328" customFormat="false" ht="15" hidden="false" customHeight="false" outlineLevel="0" collapsed="false">
      <c r="B328" s="30" t="s">
        <v>1007</v>
      </c>
      <c r="C328" s="31" t="n">
        <v>46112</v>
      </c>
      <c r="D328" s="30" t="s">
        <v>991</v>
      </c>
      <c r="E328" s="32" t="n">
        <v>517</v>
      </c>
      <c r="F328" s="30" t="s">
        <v>30</v>
      </c>
      <c r="G328" s="30" t="s">
        <v>960</v>
      </c>
    </row>
    <row r="329" customFormat="false" ht="15" hidden="false" customHeight="false" outlineLevel="0" collapsed="false">
      <c r="B329" s="30" t="s">
        <v>1009</v>
      </c>
      <c r="C329" s="31" t="n">
        <v>46118</v>
      </c>
      <c r="D329" s="30" t="s">
        <v>988</v>
      </c>
      <c r="E329" s="32" t="n">
        <v>20101.44</v>
      </c>
      <c r="F329" s="30" t="s">
        <v>58</v>
      </c>
      <c r="G329" s="30" t="s">
        <v>960</v>
      </c>
    </row>
    <row r="330" customFormat="false" ht="15" hidden="false" customHeight="false" outlineLevel="0" collapsed="false">
      <c r="B330" s="30" t="s">
        <v>1006</v>
      </c>
      <c r="C330" s="31" t="n">
        <v>46120</v>
      </c>
      <c r="D330" s="30" t="s">
        <v>991</v>
      </c>
      <c r="E330" s="32" t="n">
        <v>970</v>
      </c>
      <c r="F330" s="30" t="s">
        <v>28</v>
      </c>
      <c r="G330" s="30" t="s">
        <v>960</v>
      </c>
    </row>
    <row r="331" customFormat="false" ht="15" hidden="false" customHeight="false" outlineLevel="0" collapsed="false">
      <c r="B331" s="30" t="s">
        <v>1006</v>
      </c>
      <c r="C331" s="31" t="n">
        <v>46120</v>
      </c>
      <c r="D331" s="30" t="s">
        <v>991</v>
      </c>
      <c r="E331" s="32" t="n">
        <v>1176</v>
      </c>
      <c r="F331" s="30" t="s">
        <v>28</v>
      </c>
      <c r="G331" s="30" t="s">
        <v>960</v>
      </c>
    </row>
    <row r="332" customFormat="false" ht="15" hidden="false" customHeight="false" outlineLevel="0" collapsed="false">
      <c r="B332" s="30" t="s">
        <v>1006</v>
      </c>
      <c r="C332" s="31" t="n">
        <v>46120</v>
      </c>
      <c r="D332" s="30" t="s">
        <v>991</v>
      </c>
      <c r="E332" s="32" t="n">
        <v>1212</v>
      </c>
      <c r="F332" s="30" t="s">
        <v>28</v>
      </c>
      <c r="G332" s="30" t="s">
        <v>960</v>
      </c>
    </row>
    <row r="333" customFormat="false" ht="15" hidden="false" customHeight="false" outlineLevel="0" collapsed="false">
      <c r="B333" s="30" t="s">
        <v>1006</v>
      </c>
      <c r="C333" s="31" t="n">
        <v>46120</v>
      </c>
      <c r="D333" s="30" t="s">
        <v>991</v>
      </c>
      <c r="E333" s="32" t="n">
        <v>884</v>
      </c>
      <c r="F333" s="30" t="s">
        <v>28</v>
      </c>
      <c r="G333" s="30" t="s">
        <v>960</v>
      </c>
    </row>
    <row r="334" customFormat="false" ht="15" hidden="false" customHeight="false" outlineLevel="0" collapsed="false">
      <c r="B334" s="30" t="s">
        <v>1006</v>
      </c>
      <c r="C334" s="31" t="n">
        <v>46126</v>
      </c>
      <c r="D334" s="30" t="s">
        <v>991</v>
      </c>
      <c r="E334" s="32" t="n">
        <v>141</v>
      </c>
      <c r="F334" s="30" t="s">
        <v>28</v>
      </c>
      <c r="G334" s="30" t="s">
        <v>960</v>
      </c>
    </row>
    <row r="335" customFormat="false" ht="15" hidden="false" customHeight="false" outlineLevel="0" collapsed="false">
      <c r="B335" s="30" t="s">
        <v>1006</v>
      </c>
      <c r="C335" s="31" t="n">
        <v>46126</v>
      </c>
      <c r="D335" s="30" t="s">
        <v>991</v>
      </c>
      <c r="E335" s="32" t="n">
        <v>40.5</v>
      </c>
      <c r="F335" s="30" t="s">
        <v>28</v>
      </c>
      <c r="G335" s="30" t="s">
        <v>960</v>
      </c>
    </row>
    <row r="336" customFormat="false" ht="15" hidden="false" customHeight="false" outlineLevel="0" collapsed="false">
      <c r="B336" s="30" t="s">
        <v>1006</v>
      </c>
      <c r="C336" s="31" t="n">
        <v>46126</v>
      </c>
      <c r="D336" s="30" t="s">
        <v>991</v>
      </c>
      <c r="E336" s="32" t="n">
        <v>70.5</v>
      </c>
      <c r="F336" s="30" t="s">
        <v>28</v>
      </c>
      <c r="G336" s="30" t="s">
        <v>960</v>
      </c>
    </row>
    <row r="337" customFormat="false" ht="15" hidden="false" customHeight="false" outlineLevel="0" collapsed="false">
      <c r="B337" s="30" t="s">
        <v>1006</v>
      </c>
      <c r="C337" s="31" t="n">
        <v>46126</v>
      </c>
      <c r="D337" s="30" t="s">
        <v>991</v>
      </c>
      <c r="E337" s="32" t="n">
        <v>73.5</v>
      </c>
      <c r="F337" s="30" t="s">
        <v>28</v>
      </c>
      <c r="G337" s="30" t="s">
        <v>960</v>
      </c>
    </row>
    <row r="338" customFormat="false" ht="15" hidden="false" customHeight="false" outlineLevel="0" collapsed="false">
      <c r="B338" s="30" t="s">
        <v>1006</v>
      </c>
      <c r="C338" s="31" t="n">
        <v>46126</v>
      </c>
      <c r="D338" s="30" t="s">
        <v>991</v>
      </c>
      <c r="E338" s="32" t="n">
        <v>73.5</v>
      </c>
      <c r="F338" s="30" t="s">
        <v>28</v>
      </c>
      <c r="G338" s="30" t="s">
        <v>960</v>
      </c>
    </row>
    <row r="339" customFormat="false" ht="15" hidden="false" customHeight="false" outlineLevel="0" collapsed="false">
      <c r="B339" s="30" t="s">
        <v>1006</v>
      </c>
      <c r="C339" s="31" t="n">
        <v>46126</v>
      </c>
      <c r="D339" s="30" t="s">
        <v>991</v>
      </c>
      <c r="E339" s="32" t="n">
        <v>1946</v>
      </c>
      <c r="F339" s="30" t="s">
        <v>28</v>
      </c>
      <c r="G339" s="30" t="s">
        <v>960</v>
      </c>
    </row>
    <row r="340" customFormat="false" ht="15" hidden="false" customHeight="false" outlineLevel="0" collapsed="false">
      <c r="B340" s="30" t="s">
        <v>1006</v>
      </c>
      <c r="C340" s="31" t="n">
        <v>46129</v>
      </c>
      <c r="D340" s="30" t="s">
        <v>991</v>
      </c>
      <c r="E340" s="32" t="n">
        <v>1136.8</v>
      </c>
      <c r="F340" s="30" t="s">
        <v>28</v>
      </c>
      <c r="G340" s="30" t="s">
        <v>960</v>
      </c>
    </row>
    <row r="341" customFormat="false" ht="15" hidden="false" customHeight="false" outlineLevel="0" collapsed="false">
      <c r="B341" s="30" t="s">
        <v>1006</v>
      </c>
      <c r="C341" s="31" t="n">
        <v>46129</v>
      </c>
      <c r="D341" s="30" t="s">
        <v>991</v>
      </c>
      <c r="E341" s="32" t="n">
        <v>1603</v>
      </c>
      <c r="F341" s="30" t="s">
        <v>28</v>
      </c>
      <c r="G341" s="30" t="s">
        <v>960</v>
      </c>
    </row>
    <row r="342" customFormat="false" ht="15" hidden="false" customHeight="false" outlineLevel="0" collapsed="false">
      <c r="B342" s="30" t="s">
        <v>1006</v>
      </c>
      <c r="C342" s="31" t="n">
        <v>46129</v>
      </c>
      <c r="D342" s="30" t="s">
        <v>991</v>
      </c>
      <c r="E342" s="32" t="n">
        <v>70.5</v>
      </c>
      <c r="F342" s="30" t="s">
        <v>28</v>
      </c>
      <c r="G342" s="30" t="s">
        <v>960</v>
      </c>
    </row>
    <row r="343" customFormat="false" ht="15" hidden="false" customHeight="false" outlineLevel="0" collapsed="false">
      <c r="B343" s="30" t="s">
        <v>987</v>
      </c>
      <c r="C343" s="31" t="n">
        <v>46132</v>
      </c>
      <c r="D343" s="30" t="s">
        <v>988</v>
      </c>
      <c r="E343" s="32" t="n">
        <v>2088</v>
      </c>
      <c r="F343" s="30" t="s">
        <v>58</v>
      </c>
      <c r="G343" s="30" t="s">
        <v>960</v>
      </c>
    </row>
    <row r="344" customFormat="false" ht="15" hidden="false" customHeight="false" outlineLevel="0" collapsed="false">
      <c r="B344" s="30" t="s">
        <v>1010</v>
      </c>
      <c r="C344" s="31" t="n">
        <v>46132</v>
      </c>
      <c r="D344" s="30" t="s">
        <v>991</v>
      </c>
      <c r="E344" s="32" t="n">
        <v>340</v>
      </c>
      <c r="F344" s="30" t="s">
        <v>49</v>
      </c>
      <c r="G344" s="30" t="s">
        <v>960</v>
      </c>
    </row>
    <row r="345" customFormat="false" ht="15" hidden="false" customHeight="false" outlineLevel="0" collapsed="false">
      <c r="B345" s="30" t="s">
        <v>990</v>
      </c>
      <c r="C345" s="31" t="n">
        <v>46133</v>
      </c>
      <c r="D345" s="30" t="s">
        <v>988</v>
      </c>
      <c r="E345" s="32" t="n">
        <v>42329</v>
      </c>
      <c r="F345" s="30" t="s">
        <v>58</v>
      </c>
      <c r="G345" s="30" t="s">
        <v>960</v>
      </c>
    </row>
    <row r="346" customFormat="false" ht="15" hidden="false" customHeight="false" outlineLevel="0" collapsed="false">
      <c r="B346" s="30" t="s">
        <v>987</v>
      </c>
      <c r="C346" s="31" t="n">
        <v>46134</v>
      </c>
      <c r="D346" s="30" t="s">
        <v>988</v>
      </c>
      <c r="E346" s="32" t="n">
        <v>3127.85</v>
      </c>
      <c r="F346" s="30" t="s">
        <v>58</v>
      </c>
      <c r="G346" s="30" t="s">
        <v>960</v>
      </c>
    </row>
    <row r="347" customFormat="false" ht="15" hidden="false" customHeight="false" outlineLevel="0" collapsed="false">
      <c r="B347" s="30" t="s">
        <v>1004</v>
      </c>
      <c r="C347" s="31" t="n">
        <v>46134</v>
      </c>
      <c r="D347" s="30" t="s">
        <v>973</v>
      </c>
      <c r="E347" s="32" t="n">
        <v>14168</v>
      </c>
      <c r="F347" s="30" t="s">
        <v>58</v>
      </c>
      <c r="G347" s="30" t="s">
        <v>960</v>
      </c>
    </row>
    <row r="348" customFormat="false" ht="15" hidden="false" customHeight="false" outlineLevel="0" collapsed="false">
      <c r="B348" s="30" t="s">
        <v>992</v>
      </c>
      <c r="C348" s="31" t="n">
        <v>46134</v>
      </c>
      <c r="D348" s="30" t="s">
        <v>988</v>
      </c>
      <c r="E348" s="32" t="n">
        <v>12013.66</v>
      </c>
      <c r="F348" s="30" t="s">
        <v>63</v>
      </c>
      <c r="G348" s="30" t="s">
        <v>960</v>
      </c>
    </row>
    <row r="349" customFormat="false" ht="15" hidden="false" customHeight="false" outlineLevel="0" collapsed="false">
      <c r="B349" s="30" t="s">
        <v>993</v>
      </c>
      <c r="C349" s="31" t="n">
        <v>46135</v>
      </c>
      <c r="D349" s="30" t="s">
        <v>988</v>
      </c>
      <c r="E349" s="32" t="n">
        <v>12445.02</v>
      </c>
      <c r="F349" s="30" t="s">
        <v>63</v>
      </c>
      <c r="G349" s="30" t="s">
        <v>960</v>
      </c>
    </row>
    <row r="350" customFormat="false" ht="15" hidden="false" customHeight="false" outlineLevel="0" collapsed="false">
      <c r="B350" s="30" t="s">
        <v>1006</v>
      </c>
      <c r="C350" s="31" t="n">
        <v>46136</v>
      </c>
      <c r="D350" s="30" t="s">
        <v>991</v>
      </c>
      <c r="E350" s="32" t="n">
        <v>873</v>
      </c>
      <c r="F350" s="30" t="s">
        <v>28</v>
      </c>
      <c r="G350" s="30" t="s">
        <v>960</v>
      </c>
    </row>
    <row r="351" customFormat="false" ht="15" hidden="false" customHeight="false" outlineLevel="0" collapsed="false">
      <c r="B351" s="30" t="s">
        <v>1006</v>
      </c>
      <c r="C351" s="31" t="n">
        <v>46136</v>
      </c>
      <c r="D351" s="30" t="s">
        <v>991</v>
      </c>
      <c r="E351" s="32" t="n">
        <v>1212</v>
      </c>
      <c r="F351" s="30" t="s">
        <v>28</v>
      </c>
      <c r="G351" s="30" t="s">
        <v>960</v>
      </c>
    </row>
    <row r="352" customFormat="false" ht="15" hidden="false" customHeight="false" outlineLevel="0" collapsed="false">
      <c r="B352" s="30" t="s">
        <v>972</v>
      </c>
      <c r="C352" s="31" t="n">
        <v>46140</v>
      </c>
      <c r="D352" s="30" t="s">
        <v>973</v>
      </c>
      <c r="E352" s="32" t="n">
        <v>0.5</v>
      </c>
      <c r="F352" s="30" t="s">
        <v>32</v>
      </c>
      <c r="G352" s="30" t="s">
        <v>960</v>
      </c>
    </row>
    <row r="353" customFormat="false" ht="15" hidden="false" customHeight="false" outlineLevel="0" collapsed="false">
      <c r="B353" s="30" t="s">
        <v>994</v>
      </c>
      <c r="C353" s="31" t="n">
        <v>46140</v>
      </c>
      <c r="D353" s="30" t="s">
        <v>988</v>
      </c>
      <c r="E353" s="32" t="n">
        <v>15436.91</v>
      </c>
      <c r="F353" s="30" t="s">
        <v>58</v>
      </c>
      <c r="G353" s="30" t="s">
        <v>960</v>
      </c>
    </row>
    <row r="354" customFormat="false" ht="15" hidden="false" customHeight="false" outlineLevel="0" collapsed="false">
      <c r="B354" s="30" t="s">
        <v>986</v>
      </c>
      <c r="C354" s="31" t="n">
        <v>46142</v>
      </c>
      <c r="D354" s="30" t="s">
        <v>959</v>
      </c>
      <c r="E354" s="32" t="n">
        <v>7763.03</v>
      </c>
      <c r="F354" s="30" t="s">
        <v>26</v>
      </c>
      <c r="G354" s="30" t="s">
        <v>960</v>
      </c>
    </row>
    <row r="355" customFormat="false" ht="15" hidden="false" customHeight="false" outlineLevel="0" collapsed="false">
      <c r="B355" s="30" t="s">
        <v>971</v>
      </c>
      <c r="C355" s="31" t="n">
        <v>46146</v>
      </c>
      <c r="D355" s="30" t="s">
        <v>991</v>
      </c>
      <c r="E355" s="32" t="n">
        <v>613.8</v>
      </c>
      <c r="F355" s="30" t="s">
        <v>28</v>
      </c>
      <c r="G355" s="30" t="s">
        <v>960</v>
      </c>
    </row>
    <row r="356" customFormat="false" ht="15" hidden="false" customHeight="false" outlineLevel="0" collapsed="false">
      <c r="B356" s="30" t="s">
        <v>971</v>
      </c>
      <c r="C356" s="31" t="n">
        <v>46146</v>
      </c>
      <c r="D356" s="30" t="s">
        <v>991</v>
      </c>
      <c r="E356" s="32" t="n">
        <v>334.4</v>
      </c>
      <c r="F356" s="30" t="s">
        <v>28</v>
      </c>
      <c r="G356" s="30" t="s">
        <v>960</v>
      </c>
    </row>
    <row r="357" customFormat="false" ht="15" hidden="false" customHeight="false" outlineLevel="0" collapsed="false">
      <c r="B357" s="30" t="s">
        <v>971</v>
      </c>
      <c r="C357" s="31" t="n">
        <v>46146</v>
      </c>
      <c r="D357" s="30" t="s">
        <v>991</v>
      </c>
      <c r="E357" s="32" t="n">
        <v>132</v>
      </c>
      <c r="F357" s="30" t="s">
        <v>28</v>
      </c>
      <c r="G357" s="30" t="s">
        <v>960</v>
      </c>
    </row>
    <row r="358" customFormat="false" ht="15" hidden="false" customHeight="false" outlineLevel="0" collapsed="false">
      <c r="B358" s="30" t="s">
        <v>1006</v>
      </c>
      <c r="C358" s="31" t="n">
        <v>46146</v>
      </c>
      <c r="D358" s="30" t="s">
        <v>991</v>
      </c>
      <c r="E358" s="32" t="n">
        <v>1080</v>
      </c>
      <c r="F358" s="30" t="s">
        <v>28</v>
      </c>
      <c r="G358" s="30" t="s">
        <v>960</v>
      </c>
    </row>
    <row r="359" customFormat="false" ht="15" hidden="false" customHeight="false" outlineLevel="0" collapsed="false">
      <c r="B359" s="30" t="s">
        <v>971</v>
      </c>
      <c r="C359" s="31" t="n">
        <v>46146</v>
      </c>
      <c r="D359" s="30" t="s">
        <v>991</v>
      </c>
      <c r="E359" s="32" t="n">
        <v>466.4</v>
      </c>
      <c r="F359" s="30" t="s">
        <v>28</v>
      </c>
      <c r="G359" s="30" t="s">
        <v>960</v>
      </c>
    </row>
    <row r="360" customFormat="false" ht="15" hidden="false" customHeight="false" outlineLevel="0" collapsed="false">
      <c r="B360" s="30" t="s">
        <v>1006</v>
      </c>
      <c r="C360" s="31" t="n">
        <v>46146</v>
      </c>
      <c r="D360" s="30" t="s">
        <v>991</v>
      </c>
      <c r="E360" s="32" t="n">
        <v>1245</v>
      </c>
      <c r="F360" s="30" t="s">
        <v>28</v>
      </c>
      <c r="G360" s="30" t="s">
        <v>960</v>
      </c>
    </row>
    <row r="361" customFormat="false" ht="15" hidden="false" customHeight="false" outlineLevel="0" collapsed="false">
      <c r="B361" s="30" t="s">
        <v>971</v>
      </c>
      <c r="C361" s="31" t="n">
        <v>46146</v>
      </c>
      <c r="D361" s="30" t="s">
        <v>991</v>
      </c>
      <c r="E361" s="32" t="n">
        <v>1218</v>
      </c>
      <c r="F361" s="30" t="s">
        <v>28</v>
      </c>
      <c r="G361" s="30" t="s">
        <v>960</v>
      </c>
    </row>
    <row r="362" customFormat="false" ht="15" hidden="false" customHeight="false" outlineLevel="0" collapsed="false">
      <c r="B362" s="30" t="s">
        <v>1006</v>
      </c>
      <c r="C362" s="31" t="n">
        <v>46146</v>
      </c>
      <c r="D362" s="30" t="s">
        <v>991</v>
      </c>
      <c r="E362" s="32" t="n">
        <v>1635</v>
      </c>
      <c r="F362" s="30" t="s">
        <v>28</v>
      </c>
      <c r="G362" s="30" t="s">
        <v>960</v>
      </c>
    </row>
    <row r="363" customFormat="false" ht="15" hidden="false" customHeight="false" outlineLevel="0" collapsed="false">
      <c r="B363" s="30" t="s">
        <v>1009</v>
      </c>
      <c r="C363" s="31" t="n">
        <v>46146</v>
      </c>
      <c r="D363" s="30" t="s">
        <v>988</v>
      </c>
      <c r="E363" s="32" t="n">
        <v>20101.44</v>
      </c>
      <c r="F363" s="30" t="s">
        <v>58</v>
      </c>
      <c r="G363" s="30" t="s">
        <v>960</v>
      </c>
    </row>
    <row r="364" customFormat="false" ht="15" hidden="false" customHeight="false" outlineLevel="0" collapsed="false">
      <c r="B364" s="30" t="s">
        <v>971</v>
      </c>
      <c r="C364" s="31" t="n">
        <v>46147</v>
      </c>
      <c r="D364" s="30" t="s">
        <v>991</v>
      </c>
      <c r="E364" s="32" t="n">
        <v>66</v>
      </c>
      <c r="F364" s="30" t="s">
        <v>28</v>
      </c>
      <c r="G364" s="30" t="s">
        <v>960</v>
      </c>
    </row>
    <row r="365" customFormat="false" ht="15" hidden="false" customHeight="false" outlineLevel="0" collapsed="false">
      <c r="B365" s="30" t="s">
        <v>971</v>
      </c>
      <c r="C365" s="31" t="n">
        <v>46147</v>
      </c>
      <c r="D365" s="30" t="s">
        <v>991</v>
      </c>
      <c r="E365" s="32" t="n">
        <v>57.2</v>
      </c>
      <c r="F365" s="30" t="s">
        <v>28</v>
      </c>
      <c r="G365" s="30" t="s">
        <v>960</v>
      </c>
    </row>
    <row r="366" customFormat="false" ht="15" hidden="false" customHeight="false" outlineLevel="0" collapsed="false">
      <c r="B366" s="30" t="s">
        <v>1005</v>
      </c>
      <c r="C366" s="31" t="n">
        <v>46147</v>
      </c>
      <c r="D366" s="30" t="s">
        <v>991</v>
      </c>
      <c r="E366" s="32" t="n">
        <v>90</v>
      </c>
      <c r="F366" s="30" t="s">
        <v>78</v>
      </c>
      <c r="G366" s="30" t="s">
        <v>960</v>
      </c>
    </row>
    <row r="367" customFormat="false" ht="15" hidden="false" customHeight="false" outlineLevel="0" collapsed="false">
      <c r="B367" s="30" t="s">
        <v>987</v>
      </c>
      <c r="C367" s="31" t="n">
        <v>46162</v>
      </c>
      <c r="D367" s="30" t="s">
        <v>988</v>
      </c>
      <c r="E367" s="32" t="n">
        <v>2088</v>
      </c>
      <c r="F367" s="30" t="s">
        <v>58</v>
      </c>
      <c r="G367" s="30" t="s">
        <v>960</v>
      </c>
    </row>
    <row r="368" customFormat="false" ht="15" hidden="false" customHeight="false" outlineLevel="0" collapsed="false">
      <c r="B368" s="30" t="s">
        <v>990</v>
      </c>
      <c r="C368" s="31" t="n">
        <v>46163</v>
      </c>
      <c r="D368" s="30" t="s">
        <v>988</v>
      </c>
      <c r="E368" s="32" t="n">
        <v>42329</v>
      </c>
      <c r="F368" s="30" t="s">
        <v>58</v>
      </c>
      <c r="G368" s="30" t="s">
        <v>960</v>
      </c>
    </row>
    <row r="369" customFormat="false" ht="15" hidden="false" customHeight="false" outlineLevel="0" collapsed="false">
      <c r="B369" s="30" t="s">
        <v>1004</v>
      </c>
      <c r="C369" s="31" t="n">
        <v>46164</v>
      </c>
      <c r="D369" s="30" t="s">
        <v>973</v>
      </c>
      <c r="E369" s="32" t="n">
        <v>14168</v>
      </c>
      <c r="F369" s="30" t="s">
        <v>58</v>
      </c>
      <c r="G369" s="30" t="s">
        <v>960</v>
      </c>
    </row>
    <row r="370" customFormat="false" ht="15" hidden="false" customHeight="false" outlineLevel="0" collapsed="false">
      <c r="B370" s="30" t="s">
        <v>987</v>
      </c>
      <c r="C370" s="31" t="n">
        <v>46164</v>
      </c>
      <c r="D370" s="30" t="s">
        <v>988</v>
      </c>
      <c r="E370" s="32" t="n">
        <v>3127.85</v>
      </c>
      <c r="F370" s="30" t="s">
        <v>58</v>
      </c>
      <c r="G370" s="30" t="s">
        <v>960</v>
      </c>
    </row>
    <row r="371" customFormat="false" ht="15" hidden="false" customHeight="false" outlineLevel="0" collapsed="false">
      <c r="B371" s="30" t="s">
        <v>992</v>
      </c>
      <c r="C371" s="31" t="n">
        <v>46164</v>
      </c>
      <c r="D371" s="30" t="s">
        <v>988</v>
      </c>
      <c r="E371" s="32" t="n">
        <v>12013.66</v>
      </c>
      <c r="F371" s="30" t="s">
        <v>63</v>
      </c>
      <c r="G371" s="30" t="s">
        <v>960</v>
      </c>
    </row>
    <row r="372" customFormat="false" ht="15" hidden="false" customHeight="false" outlineLevel="0" collapsed="false">
      <c r="B372" s="30" t="s">
        <v>993</v>
      </c>
      <c r="C372" s="31" t="n">
        <v>46165</v>
      </c>
      <c r="D372" s="30" t="s">
        <v>988</v>
      </c>
      <c r="E372" s="32" t="n">
        <v>12445.02</v>
      </c>
      <c r="F372" s="30" t="s">
        <v>63</v>
      </c>
      <c r="G372" s="30" t="s">
        <v>960</v>
      </c>
    </row>
    <row r="373" customFormat="false" ht="15" hidden="false" customHeight="false" outlineLevel="0" collapsed="false">
      <c r="B373" s="30" t="s">
        <v>994</v>
      </c>
      <c r="C373" s="31" t="n">
        <v>46170</v>
      </c>
      <c r="D373" s="30" t="s">
        <v>988</v>
      </c>
      <c r="E373" s="32" t="n">
        <v>15436.91</v>
      </c>
      <c r="F373" s="30" t="s">
        <v>58</v>
      </c>
      <c r="G373" s="30" t="s">
        <v>960</v>
      </c>
    </row>
    <row r="374" customFormat="false" ht="15" hidden="false" customHeight="false" outlineLevel="0" collapsed="false">
      <c r="B374" s="30" t="s">
        <v>986</v>
      </c>
      <c r="C374" s="31" t="n">
        <v>46172</v>
      </c>
      <c r="D374" s="30" t="s">
        <v>959</v>
      </c>
      <c r="E374" s="32" t="n">
        <v>7763.03</v>
      </c>
      <c r="F374" s="30" t="s">
        <v>26</v>
      </c>
      <c r="G374" s="30" t="s">
        <v>960</v>
      </c>
    </row>
    <row r="375" customFormat="false" ht="15" hidden="false" customHeight="false" outlineLevel="0" collapsed="false">
      <c r="B375" s="30" t="s">
        <v>1009</v>
      </c>
      <c r="C375" s="31" t="n">
        <v>46174</v>
      </c>
      <c r="D375" s="30" t="s">
        <v>988</v>
      </c>
      <c r="E375" s="32" t="n">
        <v>20101.44</v>
      </c>
      <c r="F375" s="30" t="s">
        <v>58</v>
      </c>
      <c r="G375" s="30" t="s">
        <v>960</v>
      </c>
    </row>
    <row r="376" customFormat="false" ht="15" hidden="false" customHeight="false" outlineLevel="0" collapsed="false">
      <c r="B376" s="30" t="s">
        <v>1011</v>
      </c>
      <c r="C376" s="31" t="n">
        <v>46178</v>
      </c>
      <c r="D376" s="30" t="s">
        <v>991</v>
      </c>
      <c r="E376" s="32" t="n">
        <v>59.8</v>
      </c>
      <c r="F376" s="30" t="s">
        <v>31</v>
      </c>
      <c r="G376" s="30" t="s">
        <v>960</v>
      </c>
    </row>
    <row r="377" customFormat="false" ht="15" hidden="false" customHeight="false" outlineLevel="0" collapsed="false">
      <c r="B377" s="30" t="s">
        <v>1011</v>
      </c>
      <c r="C377" s="31" t="n">
        <v>46178</v>
      </c>
      <c r="D377" s="30" t="s">
        <v>991</v>
      </c>
      <c r="E377" s="32" t="n">
        <v>446.2</v>
      </c>
      <c r="F377" s="30" t="s">
        <v>31</v>
      </c>
      <c r="G377" s="30" t="s">
        <v>960</v>
      </c>
    </row>
    <row r="378" customFormat="false" ht="15" hidden="false" customHeight="false" outlineLevel="0" collapsed="false">
      <c r="B378" s="30" t="s">
        <v>1011</v>
      </c>
      <c r="C378" s="31" t="n">
        <v>46178</v>
      </c>
      <c r="D378" s="30" t="s">
        <v>991</v>
      </c>
      <c r="E378" s="32" t="n">
        <v>368</v>
      </c>
      <c r="F378" s="30" t="s">
        <v>31</v>
      </c>
      <c r="G378" s="30" t="s">
        <v>960</v>
      </c>
    </row>
    <row r="379" customFormat="false" ht="15" hidden="false" customHeight="false" outlineLevel="0" collapsed="false">
      <c r="B379" s="30" t="s">
        <v>1012</v>
      </c>
      <c r="C379" s="31" t="n">
        <v>46178</v>
      </c>
      <c r="D379" s="30" t="s">
        <v>991</v>
      </c>
      <c r="E379" s="32" t="n">
        <v>160</v>
      </c>
      <c r="F379" s="30" t="s">
        <v>29</v>
      </c>
      <c r="G379" s="30" t="s">
        <v>960</v>
      </c>
    </row>
    <row r="380" customFormat="false" ht="15" hidden="false" customHeight="false" outlineLevel="0" collapsed="false">
      <c r="B380" s="30" t="s">
        <v>1012</v>
      </c>
      <c r="C380" s="31" t="n">
        <v>46178</v>
      </c>
      <c r="D380" s="30" t="s">
        <v>991</v>
      </c>
      <c r="E380" s="32" t="n">
        <v>194</v>
      </c>
      <c r="F380" s="30" t="s">
        <v>29</v>
      </c>
      <c r="G380" s="30" t="s">
        <v>960</v>
      </c>
    </row>
    <row r="381" customFormat="false" ht="15" hidden="false" customHeight="false" outlineLevel="0" collapsed="false">
      <c r="B381" s="30" t="s">
        <v>1012</v>
      </c>
      <c r="C381" s="31" t="n">
        <v>46178</v>
      </c>
      <c r="D381" s="30" t="s">
        <v>991</v>
      </c>
      <c r="E381" s="32" t="n">
        <v>82</v>
      </c>
      <c r="F381" s="30" t="s">
        <v>29</v>
      </c>
      <c r="G381" s="30" t="s">
        <v>960</v>
      </c>
    </row>
    <row r="382" customFormat="false" ht="15" hidden="false" customHeight="false" outlineLevel="0" collapsed="false">
      <c r="B382" s="30" t="s">
        <v>1011</v>
      </c>
      <c r="C382" s="31" t="n">
        <v>46178</v>
      </c>
      <c r="D382" s="30" t="s">
        <v>991</v>
      </c>
      <c r="E382" s="32" t="n">
        <v>59.8</v>
      </c>
      <c r="F382" s="30" t="s">
        <v>31</v>
      </c>
      <c r="G382" s="30" t="s">
        <v>960</v>
      </c>
    </row>
    <row r="383" customFormat="false" ht="15" hidden="false" customHeight="false" outlineLevel="0" collapsed="false">
      <c r="B383" s="30" t="s">
        <v>977</v>
      </c>
      <c r="C383" s="31" t="n">
        <v>46183</v>
      </c>
      <c r="D383" s="30" t="s">
        <v>991</v>
      </c>
      <c r="E383" s="32" t="n">
        <v>1100</v>
      </c>
      <c r="F383" s="30" t="s">
        <v>76</v>
      </c>
      <c r="G383" s="30" t="s">
        <v>960</v>
      </c>
    </row>
    <row r="384" customFormat="false" ht="15" hidden="false" customHeight="false" outlineLevel="0" collapsed="false">
      <c r="B384" s="30" t="s">
        <v>1013</v>
      </c>
      <c r="C384" s="31" t="n">
        <v>46183</v>
      </c>
      <c r="D384" s="30" t="s">
        <v>964</v>
      </c>
      <c r="E384" s="32" t="n">
        <v>1315</v>
      </c>
      <c r="F384" s="30" t="s">
        <v>28</v>
      </c>
      <c r="G384" s="30" t="s">
        <v>960</v>
      </c>
    </row>
    <row r="385" customFormat="false" ht="15" hidden="false" customHeight="false" outlineLevel="0" collapsed="false">
      <c r="B385" s="30" t="s">
        <v>1014</v>
      </c>
      <c r="C385" s="31" t="n">
        <v>46185</v>
      </c>
      <c r="D385" s="30" t="s">
        <v>964</v>
      </c>
      <c r="E385" s="32" t="n">
        <v>2512.5</v>
      </c>
      <c r="F385" s="30" t="s">
        <v>26</v>
      </c>
      <c r="G385" s="30" t="s">
        <v>960</v>
      </c>
    </row>
    <row r="386" customFormat="false" ht="15" hidden="false" customHeight="false" outlineLevel="0" collapsed="false">
      <c r="B386" s="30" t="s">
        <v>1015</v>
      </c>
      <c r="C386" s="31" t="n">
        <v>46185</v>
      </c>
      <c r="D386" s="30" t="s">
        <v>959</v>
      </c>
      <c r="E386" s="32" t="n">
        <v>900.75</v>
      </c>
      <c r="F386" s="30" t="s">
        <v>34</v>
      </c>
      <c r="G386" s="30" t="s">
        <v>960</v>
      </c>
    </row>
    <row r="387" customFormat="false" ht="15" hidden="false" customHeight="false" outlineLevel="0" collapsed="false">
      <c r="B387" s="30" t="s">
        <v>1016</v>
      </c>
      <c r="C387" s="31" t="n">
        <v>46185</v>
      </c>
      <c r="D387" s="30" t="s">
        <v>968</v>
      </c>
      <c r="E387" s="32" t="n">
        <v>4670</v>
      </c>
      <c r="F387" s="30" t="s">
        <v>26</v>
      </c>
      <c r="G387" s="30" t="s">
        <v>960</v>
      </c>
    </row>
    <row r="388" customFormat="false" ht="15" hidden="false" customHeight="false" outlineLevel="0" collapsed="false">
      <c r="B388" s="30" t="s">
        <v>1016</v>
      </c>
      <c r="C388" s="31" t="n">
        <v>46185</v>
      </c>
      <c r="D388" s="30" t="s">
        <v>968</v>
      </c>
      <c r="E388" s="32" t="n">
        <v>4500</v>
      </c>
      <c r="F388" s="30" t="s">
        <v>26</v>
      </c>
      <c r="G388" s="30" t="s">
        <v>960</v>
      </c>
    </row>
    <row r="389" customFormat="false" ht="15" hidden="false" customHeight="false" outlineLevel="0" collapsed="false">
      <c r="B389" s="30" t="s">
        <v>1014</v>
      </c>
      <c r="C389" s="31" t="n">
        <v>46186</v>
      </c>
      <c r="D389" s="30" t="s">
        <v>968</v>
      </c>
      <c r="E389" s="32" t="n">
        <v>3600</v>
      </c>
      <c r="F389" s="30" t="s">
        <v>26</v>
      </c>
      <c r="G389" s="30" t="s">
        <v>960</v>
      </c>
    </row>
    <row r="390" customFormat="false" ht="15" hidden="false" customHeight="false" outlineLevel="0" collapsed="false">
      <c r="B390" s="30" t="s">
        <v>1017</v>
      </c>
      <c r="C390" s="31" t="n">
        <v>46188</v>
      </c>
      <c r="D390" s="30" t="s">
        <v>991</v>
      </c>
      <c r="E390" s="32" t="n">
        <v>100</v>
      </c>
      <c r="F390" s="30" t="s">
        <v>59</v>
      </c>
      <c r="G390" s="30" t="s">
        <v>960</v>
      </c>
    </row>
    <row r="391" customFormat="false" ht="15" hidden="false" customHeight="false" outlineLevel="0" collapsed="false">
      <c r="B391" s="30" t="s">
        <v>963</v>
      </c>
      <c r="C391" s="31" t="n">
        <v>46188</v>
      </c>
      <c r="D391" s="30" t="s">
        <v>964</v>
      </c>
      <c r="E391" s="32" t="n">
        <v>2212</v>
      </c>
      <c r="F391" s="30" t="s">
        <v>34</v>
      </c>
      <c r="G391" s="30" t="s">
        <v>960</v>
      </c>
    </row>
    <row r="392" customFormat="false" ht="15" hidden="false" customHeight="false" outlineLevel="0" collapsed="false">
      <c r="B392" s="30" t="s">
        <v>1010</v>
      </c>
      <c r="C392" s="31" t="n">
        <v>46188</v>
      </c>
      <c r="D392" s="30" t="s">
        <v>991</v>
      </c>
      <c r="E392" s="32" t="n">
        <v>600</v>
      </c>
      <c r="F392" s="30" t="s">
        <v>49</v>
      </c>
      <c r="G392" s="30" t="s">
        <v>960</v>
      </c>
    </row>
    <row r="393" customFormat="false" ht="15" hidden="false" customHeight="false" outlineLevel="0" collapsed="false">
      <c r="B393" s="30" t="s">
        <v>1018</v>
      </c>
      <c r="C393" s="31" t="n">
        <v>46188</v>
      </c>
      <c r="D393" s="30" t="s">
        <v>968</v>
      </c>
      <c r="E393" s="32" t="n">
        <v>3750</v>
      </c>
      <c r="F393" s="30" t="s">
        <v>26</v>
      </c>
      <c r="G393" s="30" t="s">
        <v>960</v>
      </c>
    </row>
    <row r="394" customFormat="false" ht="15" hidden="false" customHeight="false" outlineLevel="0" collapsed="false">
      <c r="B394" s="30" t="s">
        <v>1019</v>
      </c>
      <c r="C394" s="31" t="n">
        <v>46188</v>
      </c>
      <c r="D394" s="30" t="s">
        <v>959</v>
      </c>
      <c r="E394" s="32" t="n">
        <v>350</v>
      </c>
      <c r="F394" s="30" t="s">
        <v>60</v>
      </c>
      <c r="G394" s="30" t="s">
        <v>960</v>
      </c>
    </row>
    <row r="395" customFormat="false" ht="15" hidden="false" customHeight="false" outlineLevel="0" collapsed="false">
      <c r="B395" s="30" t="s">
        <v>1020</v>
      </c>
      <c r="C395" s="31" t="n">
        <v>46189</v>
      </c>
      <c r="D395" s="30" t="s">
        <v>973</v>
      </c>
      <c r="E395" s="32" t="n">
        <v>928.14</v>
      </c>
      <c r="F395" s="30" t="s">
        <v>64</v>
      </c>
      <c r="G395" s="30" t="s">
        <v>960</v>
      </c>
    </row>
    <row r="396" customFormat="false" ht="15" hidden="false" customHeight="false" outlineLevel="0" collapsed="false">
      <c r="B396" s="30" t="s">
        <v>1021</v>
      </c>
      <c r="C396" s="31" t="n">
        <v>46190</v>
      </c>
      <c r="D396" s="30" t="s">
        <v>959</v>
      </c>
      <c r="E396" s="32" t="n">
        <v>977.9</v>
      </c>
      <c r="F396" s="30" t="s">
        <v>26</v>
      </c>
      <c r="G396" s="30" t="s">
        <v>960</v>
      </c>
    </row>
    <row r="397" customFormat="false" ht="15" hidden="false" customHeight="false" outlineLevel="0" collapsed="false">
      <c r="B397" s="30" t="s">
        <v>1022</v>
      </c>
      <c r="C397" s="31" t="n">
        <v>46191</v>
      </c>
      <c r="D397" s="30" t="s">
        <v>968</v>
      </c>
      <c r="E397" s="32" t="n">
        <v>4220</v>
      </c>
      <c r="F397" s="30" t="s">
        <v>26</v>
      </c>
      <c r="G397" s="30" t="s">
        <v>960</v>
      </c>
    </row>
    <row r="398" customFormat="false" ht="15" hidden="false" customHeight="false" outlineLevel="0" collapsed="false">
      <c r="B398" s="30" t="s">
        <v>1013</v>
      </c>
      <c r="C398" s="31" t="n">
        <v>46192</v>
      </c>
      <c r="D398" s="30" t="s">
        <v>964</v>
      </c>
      <c r="E398" s="32" t="n">
        <v>1700</v>
      </c>
      <c r="F398" s="30" t="s">
        <v>28</v>
      </c>
      <c r="G398" s="30" t="s">
        <v>960</v>
      </c>
    </row>
    <row r="399" customFormat="false" ht="15" hidden="false" customHeight="false" outlineLevel="0" collapsed="false">
      <c r="B399" s="30" t="s">
        <v>1014</v>
      </c>
      <c r="C399" s="31" t="n">
        <v>46192</v>
      </c>
      <c r="D399" s="30" t="s">
        <v>968</v>
      </c>
      <c r="E399" s="32" t="n">
        <v>4700</v>
      </c>
      <c r="F399" s="30" t="s">
        <v>26</v>
      </c>
      <c r="G399" s="30" t="s">
        <v>960</v>
      </c>
    </row>
    <row r="400" customFormat="false" ht="15" hidden="false" customHeight="false" outlineLevel="0" collapsed="false">
      <c r="B400" s="30" t="s">
        <v>987</v>
      </c>
      <c r="C400" s="31" t="n">
        <v>46193</v>
      </c>
      <c r="D400" s="30" t="s">
        <v>988</v>
      </c>
      <c r="E400" s="32" t="n">
        <v>2088</v>
      </c>
      <c r="F400" s="30" t="s">
        <v>58</v>
      </c>
      <c r="G400" s="30" t="s">
        <v>960</v>
      </c>
    </row>
    <row r="401" customFormat="false" ht="15" hidden="false" customHeight="false" outlineLevel="0" collapsed="false">
      <c r="B401" s="30" t="s">
        <v>1023</v>
      </c>
      <c r="C401" s="31" t="n">
        <v>46193</v>
      </c>
      <c r="D401" s="30" t="s">
        <v>959</v>
      </c>
      <c r="E401" s="32" t="n">
        <v>248</v>
      </c>
      <c r="F401" s="30" t="s">
        <v>62</v>
      </c>
      <c r="G401" s="30" t="s">
        <v>960</v>
      </c>
    </row>
    <row r="402" customFormat="false" ht="15" hidden="false" customHeight="false" outlineLevel="0" collapsed="false">
      <c r="B402" s="30" t="s">
        <v>1022</v>
      </c>
      <c r="C402" s="31" t="n">
        <v>46193</v>
      </c>
      <c r="D402" s="30" t="s">
        <v>964</v>
      </c>
      <c r="E402" s="32" t="n">
        <v>2000</v>
      </c>
      <c r="F402" s="30" t="s">
        <v>26</v>
      </c>
      <c r="G402" s="30" t="s">
        <v>960</v>
      </c>
    </row>
    <row r="403" customFormat="false" ht="15" hidden="false" customHeight="false" outlineLevel="0" collapsed="false">
      <c r="B403" s="30" t="s">
        <v>1018</v>
      </c>
      <c r="C403" s="31" t="n">
        <v>46193</v>
      </c>
      <c r="D403" s="30" t="s">
        <v>964</v>
      </c>
      <c r="E403" s="32" t="n">
        <v>1980</v>
      </c>
      <c r="F403" s="30" t="s">
        <v>26</v>
      </c>
      <c r="G403" s="30" t="s">
        <v>960</v>
      </c>
    </row>
    <row r="404" customFormat="false" ht="15" hidden="false" customHeight="false" outlineLevel="0" collapsed="false">
      <c r="B404" s="30" t="s">
        <v>1014</v>
      </c>
      <c r="C404" s="31" t="n">
        <v>46193</v>
      </c>
      <c r="D404" s="30" t="s">
        <v>964</v>
      </c>
      <c r="E404" s="32" t="n">
        <v>1066</v>
      </c>
      <c r="F404" s="30" t="s">
        <v>26</v>
      </c>
      <c r="G404" s="30" t="s">
        <v>960</v>
      </c>
    </row>
    <row r="405" customFormat="false" ht="15" hidden="false" customHeight="false" outlineLevel="0" collapsed="false">
      <c r="B405" s="30" t="s">
        <v>1024</v>
      </c>
      <c r="C405" s="31" t="n">
        <v>46193</v>
      </c>
      <c r="D405" s="30" t="s">
        <v>991</v>
      </c>
      <c r="E405" s="32" t="n">
        <v>2147</v>
      </c>
      <c r="F405" s="30" t="s">
        <v>1025</v>
      </c>
      <c r="G405" s="30" t="s">
        <v>960</v>
      </c>
    </row>
    <row r="406" customFormat="false" ht="15" hidden="false" customHeight="false" outlineLevel="0" collapsed="false">
      <c r="B406" s="30" t="s">
        <v>1024</v>
      </c>
      <c r="C406" s="31" t="n">
        <v>46193</v>
      </c>
      <c r="D406" s="30" t="s">
        <v>991</v>
      </c>
      <c r="E406" s="32" t="n">
        <v>499.4</v>
      </c>
      <c r="F406" s="30" t="s">
        <v>948</v>
      </c>
      <c r="G406" s="30" t="s">
        <v>960</v>
      </c>
    </row>
    <row r="407" customFormat="false" ht="15" hidden="false" customHeight="false" outlineLevel="0" collapsed="false">
      <c r="B407" s="30" t="s">
        <v>1026</v>
      </c>
      <c r="C407" s="31" t="n">
        <v>46193</v>
      </c>
      <c r="D407" s="30" t="s">
        <v>959</v>
      </c>
      <c r="E407" s="32" t="n">
        <v>270</v>
      </c>
      <c r="F407" s="30" t="s">
        <v>64</v>
      </c>
      <c r="G407" s="30" t="s">
        <v>960</v>
      </c>
    </row>
    <row r="408" customFormat="false" ht="15" hidden="false" customHeight="false" outlineLevel="0" collapsed="false">
      <c r="B408" s="30" t="s">
        <v>989</v>
      </c>
      <c r="C408" s="31" t="n">
        <v>46193</v>
      </c>
      <c r="D408" s="30" t="s">
        <v>959</v>
      </c>
      <c r="E408" s="32" t="n">
        <v>130</v>
      </c>
      <c r="F408" s="30" t="s">
        <v>65</v>
      </c>
      <c r="G408" s="30" t="s">
        <v>960</v>
      </c>
    </row>
    <row r="409" customFormat="false" ht="15" hidden="false" customHeight="false" outlineLevel="0" collapsed="false">
      <c r="B409" s="30" t="s">
        <v>1027</v>
      </c>
      <c r="C409" s="31" t="n">
        <v>46193</v>
      </c>
      <c r="D409" s="30" t="s">
        <v>991</v>
      </c>
      <c r="E409" s="32" t="n">
        <v>200</v>
      </c>
      <c r="F409" s="30" t="s">
        <v>59</v>
      </c>
      <c r="G409" s="30" t="s">
        <v>960</v>
      </c>
    </row>
    <row r="410" customFormat="false" ht="15" hidden="false" customHeight="false" outlineLevel="0" collapsed="false">
      <c r="B410" s="30" t="s">
        <v>1028</v>
      </c>
      <c r="C410" s="31" t="n">
        <v>46193</v>
      </c>
      <c r="D410" s="30" t="s">
        <v>991</v>
      </c>
      <c r="E410" s="32" t="n">
        <v>400</v>
      </c>
      <c r="F410" s="30" t="s">
        <v>59</v>
      </c>
      <c r="G410" s="30" t="s">
        <v>960</v>
      </c>
    </row>
    <row r="411" customFormat="false" ht="15" hidden="false" customHeight="false" outlineLevel="0" collapsed="false">
      <c r="B411" s="30" t="s">
        <v>1029</v>
      </c>
      <c r="C411" s="31" t="n">
        <v>46193</v>
      </c>
      <c r="D411" s="30" t="s">
        <v>991</v>
      </c>
      <c r="E411" s="32" t="n">
        <v>500</v>
      </c>
      <c r="F411" s="30" t="s">
        <v>59</v>
      </c>
      <c r="G411" s="30" t="s">
        <v>960</v>
      </c>
    </row>
    <row r="412" customFormat="false" ht="15" hidden="false" customHeight="false" outlineLevel="0" collapsed="false">
      <c r="B412" s="30" t="s">
        <v>1030</v>
      </c>
      <c r="C412" s="31" t="n">
        <v>46193</v>
      </c>
      <c r="D412" s="30" t="s">
        <v>991</v>
      </c>
      <c r="E412" s="32" t="n">
        <v>550</v>
      </c>
      <c r="F412" s="30" t="s">
        <v>59</v>
      </c>
      <c r="G412" s="30" t="s">
        <v>960</v>
      </c>
    </row>
    <row r="413" customFormat="false" ht="15" hidden="false" customHeight="false" outlineLevel="0" collapsed="false">
      <c r="B413" s="30" t="s">
        <v>1031</v>
      </c>
      <c r="C413" s="31" t="n">
        <v>46193</v>
      </c>
      <c r="D413" s="30" t="s">
        <v>991</v>
      </c>
      <c r="E413" s="32" t="n">
        <v>500</v>
      </c>
      <c r="F413" s="30" t="s">
        <v>59</v>
      </c>
      <c r="G413" s="30" t="s">
        <v>960</v>
      </c>
    </row>
    <row r="414" customFormat="false" ht="15" hidden="false" customHeight="false" outlineLevel="0" collapsed="false">
      <c r="B414" s="30" t="s">
        <v>1032</v>
      </c>
      <c r="C414" s="31" t="n">
        <v>46193</v>
      </c>
      <c r="D414" s="30" t="s">
        <v>991</v>
      </c>
      <c r="E414" s="32" t="n">
        <v>300</v>
      </c>
      <c r="F414" s="30" t="s">
        <v>59</v>
      </c>
      <c r="G414" s="30" t="s">
        <v>960</v>
      </c>
    </row>
    <row r="415" customFormat="false" ht="15" hidden="false" customHeight="false" outlineLevel="0" collapsed="false">
      <c r="B415" s="30" t="s">
        <v>1033</v>
      </c>
      <c r="C415" s="31" t="n">
        <v>46193</v>
      </c>
      <c r="D415" s="30" t="s">
        <v>991</v>
      </c>
      <c r="E415" s="32" t="n">
        <v>300</v>
      </c>
      <c r="F415" s="30" t="s">
        <v>59</v>
      </c>
      <c r="G415" s="30" t="s">
        <v>960</v>
      </c>
    </row>
    <row r="416" customFormat="false" ht="15" hidden="false" customHeight="false" outlineLevel="0" collapsed="false">
      <c r="B416" s="30" t="s">
        <v>1013</v>
      </c>
      <c r="C416" s="31" t="n">
        <v>46193</v>
      </c>
      <c r="D416" s="30" t="s">
        <v>964</v>
      </c>
      <c r="E416" s="32" t="n">
        <v>350</v>
      </c>
      <c r="F416" s="30" t="s">
        <v>28</v>
      </c>
      <c r="G416" s="30" t="s">
        <v>960</v>
      </c>
    </row>
    <row r="417" customFormat="false" ht="15" hidden="false" customHeight="false" outlineLevel="0" collapsed="false">
      <c r="B417" s="30" t="s">
        <v>990</v>
      </c>
      <c r="C417" s="31" t="n">
        <v>46194</v>
      </c>
      <c r="D417" s="30" t="s">
        <v>988</v>
      </c>
      <c r="E417" s="32" t="n">
        <v>42329</v>
      </c>
      <c r="F417" s="30" t="s">
        <v>58</v>
      </c>
      <c r="G417" s="30" t="s">
        <v>960</v>
      </c>
    </row>
    <row r="418" customFormat="false" ht="15" hidden="false" customHeight="false" outlineLevel="0" collapsed="false">
      <c r="B418" s="30" t="s">
        <v>1014</v>
      </c>
      <c r="C418" s="31" t="n">
        <v>46194</v>
      </c>
      <c r="D418" s="30" t="s">
        <v>968</v>
      </c>
      <c r="E418" s="32" t="n">
        <v>3600</v>
      </c>
      <c r="F418" s="30" t="s">
        <v>26</v>
      </c>
      <c r="G418" s="30" t="s">
        <v>960</v>
      </c>
    </row>
    <row r="419" customFormat="false" ht="15" hidden="false" customHeight="false" outlineLevel="0" collapsed="false">
      <c r="B419" s="30" t="s">
        <v>1004</v>
      </c>
      <c r="C419" s="31" t="n">
        <v>46194</v>
      </c>
      <c r="D419" s="30" t="s">
        <v>973</v>
      </c>
      <c r="E419" s="32" t="n">
        <v>14168</v>
      </c>
      <c r="F419" s="30" t="s">
        <v>58</v>
      </c>
      <c r="G419" s="30" t="s">
        <v>960</v>
      </c>
    </row>
    <row r="420" customFormat="false" ht="15" hidden="false" customHeight="false" outlineLevel="0" collapsed="false">
      <c r="B420" s="30" t="s">
        <v>1010</v>
      </c>
      <c r="C420" s="31" t="n">
        <v>46195</v>
      </c>
      <c r="D420" s="30" t="s">
        <v>991</v>
      </c>
      <c r="E420" s="32" t="n">
        <v>600</v>
      </c>
      <c r="F420" s="30" t="s">
        <v>49</v>
      </c>
      <c r="G420" s="30" t="s">
        <v>960</v>
      </c>
    </row>
    <row r="421" customFormat="false" ht="15" hidden="false" customHeight="false" outlineLevel="0" collapsed="false">
      <c r="B421" s="30" t="s">
        <v>1018</v>
      </c>
      <c r="C421" s="31" t="n">
        <v>46195</v>
      </c>
      <c r="D421" s="30" t="s">
        <v>964</v>
      </c>
      <c r="E421" s="32" t="n">
        <v>2696</v>
      </c>
      <c r="F421" s="30" t="s">
        <v>26</v>
      </c>
      <c r="G421" s="30" t="s">
        <v>960</v>
      </c>
    </row>
    <row r="422" customFormat="false" ht="15" hidden="false" customHeight="false" outlineLevel="0" collapsed="false">
      <c r="B422" s="30" t="s">
        <v>981</v>
      </c>
      <c r="C422" s="31" t="n">
        <v>46195</v>
      </c>
      <c r="D422" s="30" t="s">
        <v>968</v>
      </c>
      <c r="E422" s="32" t="n">
        <v>2600</v>
      </c>
      <c r="F422" s="30" t="s">
        <v>28</v>
      </c>
      <c r="G422" s="30" t="s">
        <v>960</v>
      </c>
    </row>
    <row r="423" customFormat="false" ht="15" hidden="false" customHeight="false" outlineLevel="0" collapsed="false">
      <c r="B423" s="30" t="s">
        <v>1017</v>
      </c>
      <c r="C423" s="31" t="n">
        <v>46195</v>
      </c>
      <c r="D423" s="30" t="s">
        <v>991</v>
      </c>
      <c r="E423" s="32" t="n">
        <v>100</v>
      </c>
      <c r="F423" s="30" t="s">
        <v>59</v>
      </c>
      <c r="G423" s="30" t="s">
        <v>960</v>
      </c>
    </row>
    <row r="424" customFormat="false" ht="15" hidden="false" customHeight="false" outlineLevel="0" collapsed="false">
      <c r="B424" s="30" t="s">
        <v>992</v>
      </c>
      <c r="C424" s="31" t="n">
        <v>46195</v>
      </c>
      <c r="D424" s="30" t="s">
        <v>988</v>
      </c>
      <c r="E424" s="32" t="n">
        <v>12013.66</v>
      </c>
      <c r="F424" s="30" t="s">
        <v>63</v>
      </c>
      <c r="G424" s="30" t="s">
        <v>960</v>
      </c>
    </row>
    <row r="425" customFormat="false" ht="15" hidden="false" customHeight="false" outlineLevel="0" collapsed="false">
      <c r="B425" s="30" t="s">
        <v>987</v>
      </c>
      <c r="C425" s="31" t="n">
        <v>46195</v>
      </c>
      <c r="D425" s="30" t="s">
        <v>988</v>
      </c>
      <c r="E425" s="32" t="n">
        <v>3127.85</v>
      </c>
      <c r="F425" s="30" t="s">
        <v>58</v>
      </c>
      <c r="G425" s="30" t="s">
        <v>960</v>
      </c>
    </row>
    <row r="426" customFormat="false" ht="15" hidden="false" customHeight="false" outlineLevel="0" collapsed="false">
      <c r="B426" s="30" t="s">
        <v>993</v>
      </c>
      <c r="C426" s="31" t="n">
        <v>46196</v>
      </c>
      <c r="D426" s="30" t="s">
        <v>988</v>
      </c>
      <c r="E426" s="32" t="n">
        <v>12445.02</v>
      </c>
      <c r="F426" s="30" t="s">
        <v>63</v>
      </c>
      <c r="G426" s="30" t="s">
        <v>960</v>
      </c>
    </row>
    <row r="427" customFormat="false" ht="15" hidden="false" customHeight="false" outlineLevel="0" collapsed="false">
      <c r="B427" s="30" t="s">
        <v>1015</v>
      </c>
      <c r="C427" s="31" t="n">
        <v>46196</v>
      </c>
      <c r="D427" s="30" t="s">
        <v>959</v>
      </c>
      <c r="E427" s="32" t="n">
        <v>442.42</v>
      </c>
      <c r="F427" s="30" t="s">
        <v>34</v>
      </c>
      <c r="G427" s="30" t="s">
        <v>960</v>
      </c>
    </row>
    <row r="428" customFormat="false" ht="15" hidden="false" customHeight="false" outlineLevel="0" collapsed="false">
      <c r="B428" s="30" t="s">
        <v>1013</v>
      </c>
      <c r="C428" s="31" t="n">
        <v>46196</v>
      </c>
      <c r="D428" s="30" t="s">
        <v>964</v>
      </c>
      <c r="E428" s="32" t="n">
        <v>249.7</v>
      </c>
      <c r="F428" s="30" t="s">
        <v>28</v>
      </c>
      <c r="G428" s="30" t="s">
        <v>960</v>
      </c>
    </row>
    <row r="429" customFormat="false" ht="15" hidden="false" customHeight="false" outlineLevel="0" collapsed="false">
      <c r="B429" s="30" t="s">
        <v>1018</v>
      </c>
      <c r="C429" s="31" t="n">
        <v>46197</v>
      </c>
      <c r="D429" s="30" t="s">
        <v>973</v>
      </c>
      <c r="E429" s="32" t="n">
        <v>8930.77</v>
      </c>
      <c r="F429" s="30" t="s">
        <v>26</v>
      </c>
      <c r="G429" s="30" t="s">
        <v>960</v>
      </c>
    </row>
    <row r="430" customFormat="false" ht="15" hidden="false" customHeight="false" outlineLevel="0" collapsed="false">
      <c r="B430" s="30" t="s">
        <v>969</v>
      </c>
      <c r="C430" s="31" t="n">
        <v>46197</v>
      </c>
      <c r="D430" s="30" t="s">
        <v>968</v>
      </c>
      <c r="E430" s="32" t="n">
        <v>771</v>
      </c>
      <c r="F430" s="30" t="s">
        <v>28</v>
      </c>
      <c r="G430" s="30" t="s">
        <v>960</v>
      </c>
    </row>
    <row r="431" customFormat="false" ht="15" hidden="false" customHeight="false" outlineLevel="0" collapsed="false">
      <c r="B431" s="30" t="s">
        <v>969</v>
      </c>
      <c r="C431" s="31" t="n">
        <v>46197</v>
      </c>
      <c r="D431" s="30" t="s">
        <v>968</v>
      </c>
      <c r="E431" s="32" t="n">
        <v>3500</v>
      </c>
      <c r="F431" s="30" t="s">
        <v>28</v>
      </c>
      <c r="G431" s="30" t="s">
        <v>960</v>
      </c>
    </row>
    <row r="432" customFormat="false" ht="15" hidden="false" customHeight="false" outlineLevel="0" collapsed="false">
      <c r="B432" s="30" t="s">
        <v>1022</v>
      </c>
      <c r="C432" s="31" t="n">
        <v>46197</v>
      </c>
      <c r="D432" s="30" t="s">
        <v>968</v>
      </c>
      <c r="E432" s="32" t="n">
        <v>4220</v>
      </c>
      <c r="F432" s="30" t="s">
        <v>26</v>
      </c>
      <c r="G432" s="30" t="s">
        <v>960</v>
      </c>
    </row>
    <row r="433" customFormat="false" ht="15" hidden="false" customHeight="false" outlineLevel="0" collapsed="false">
      <c r="B433" s="30" t="s">
        <v>1018</v>
      </c>
      <c r="C433" s="31" t="n">
        <v>46197</v>
      </c>
      <c r="D433" s="30" t="s">
        <v>968</v>
      </c>
      <c r="E433" s="32" t="n">
        <v>4945</v>
      </c>
      <c r="F433" s="30" t="s">
        <v>26</v>
      </c>
      <c r="G433" s="30" t="s">
        <v>960</v>
      </c>
    </row>
    <row r="434" customFormat="false" ht="15" hidden="false" customHeight="false" outlineLevel="0" collapsed="false">
      <c r="B434" s="30" t="s">
        <v>1034</v>
      </c>
      <c r="C434" s="31" t="n">
        <v>46197</v>
      </c>
      <c r="D434" s="30" t="s">
        <v>988</v>
      </c>
      <c r="E434" s="32" t="n">
        <v>6000</v>
      </c>
      <c r="F434" s="30" t="s">
        <v>58</v>
      </c>
      <c r="G434" s="30" t="s">
        <v>960</v>
      </c>
    </row>
    <row r="435" customFormat="false" ht="15" hidden="false" customHeight="false" outlineLevel="0" collapsed="false">
      <c r="B435" s="30" t="s">
        <v>1013</v>
      </c>
      <c r="C435" s="31" t="n">
        <v>46198</v>
      </c>
      <c r="D435" s="30" t="s">
        <v>964</v>
      </c>
      <c r="E435" s="32" t="n">
        <v>457.4</v>
      </c>
      <c r="F435" s="30" t="s">
        <v>28</v>
      </c>
      <c r="G435" s="30" t="s">
        <v>960</v>
      </c>
    </row>
    <row r="436" customFormat="false" ht="15" hidden="false" customHeight="false" outlineLevel="0" collapsed="false">
      <c r="B436" s="30" t="s">
        <v>1018</v>
      </c>
      <c r="C436" s="31" t="n">
        <v>46198</v>
      </c>
      <c r="D436" s="30" t="s">
        <v>968</v>
      </c>
      <c r="E436" s="32" t="n">
        <v>3750</v>
      </c>
      <c r="F436" s="30" t="s">
        <v>26</v>
      </c>
      <c r="G436" s="30" t="s">
        <v>960</v>
      </c>
    </row>
    <row r="437" customFormat="false" ht="15" hidden="false" customHeight="false" outlineLevel="0" collapsed="false">
      <c r="B437" s="30" t="s">
        <v>1035</v>
      </c>
      <c r="C437" s="31" t="n">
        <v>46200</v>
      </c>
      <c r="D437" s="30" t="s">
        <v>959</v>
      </c>
      <c r="E437" s="32" t="n">
        <v>450</v>
      </c>
      <c r="F437" s="30" t="s">
        <v>68</v>
      </c>
      <c r="G437" s="30" t="s">
        <v>960</v>
      </c>
    </row>
    <row r="438" customFormat="false" ht="15" hidden="false" customHeight="false" outlineLevel="0" collapsed="false">
      <c r="B438" s="30" t="s">
        <v>971</v>
      </c>
      <c r="C438" s="31" t="n">
        <v>46200</v>
      </c>
      <c r="D438" s="30" t="s">
        <v>968</v>
      </c>
      <c r="E438" s="32" t="n">
        <v>1400</v>
      </c>
      <c r="F438" s="30" t="s">
        <v>28</v>
      </c>
      <c r="G438" s="30" t="s">
        <v>960</v>
      </c>
    </row>
    <row r="439" customFormat="false" ht="15" hidden="false" customHeight="false" outlineLevel="0" collapsed="false">
      <c r="B439" s="30" t="s">
        <v>998</v>
      </c>
      <c r="C439" s="31" t="n">
        <v>46201</v>
      </c>
      <c r="D439" s="30" t="s">
        <v>959</v>
      </c>
      <c r="E439" s="32" t="n">
        <v>1272</v>
      </c>
      <c r="F439" s="30" t="s">
        <v>36</v>
      </c>
      <c r="G439" s="30" t="s">
        <v>960</v>
      </c>
    </row>
    <row r="440" customFormat="false" ht="15" hidden="false" customHeight="false" outlineLevel="0" collapsed="false">
      <c r="B440" s="30" t="s">
        <v>1013</v>
      </c>
      <c r="C440" s="31" t="n">
        <v>46201</v>
      </c>
      <c r="D440" s="30" t="s">
        <v>964</v>
      </c>
      <c r="E440" s="32" t="n">
        <v>1243</v>
      </c>
      <c r="F440" s="30" t="s">
        <v>28</v>
      </c>
      <c r="G440" s="30" t="s">
        <v>960</v>
      </c>
    </row>
    <row r="441" customFormat="false" ht="15" hidden="false" customHeight="false" outlineLevel="0" collapsed="false">
      <c r="B441" s="30" t="s">
        <v>1013</v>
      </c>
      <c r="C441" s="31" t="n">
        <v>46201</v>
      </c>
      <c r="D441" s="30" t="s">
        <v>964</v>
      </c>
      <c r="E441" s="32" t="n">
        <v>555</v>
      </c>
      <c r="F441" s="30" t="s">
        <v>28</v>
      </c>
      <c r="G441" s="30" t="s">
        <v>960</v>
      </c>
    </row>
    <row r="442" customFormat="false" ht="15" hidden="false" customHeight="false" outlineLevel="0" collapsed="false">
      <c r="B442" s="30" t="s">
        <v>965</v>
      </c>
      <c r="C442" s="31" t="n">
        <v>46201</v>
      </c>
      <c r="D442" s="30" t="s">
        <v>964</v>
      </c>
      <c r="E442" s="32" t="n">
        <v>1471</v>
      </c>
      <c r="F442" s="30" t="s">
        <v>35</v>
      </c>
      <c r="G442" s="30" t="s">
        <v>960</v>
      </c>
    </row>
    <row r="443" customFormat="false" ht="15" hidden="false" customHeight="false" outlineLevel="0" collapsed="false">
      <c r="B443" s="30" t="s">
        <v>1036</v>
      </c>
      <c r="C443" s="31" t="n">
        <v>46201</v>
      </c>
      <c r="D443" s="30" t="s">
        <v>959</v>
      </c>
      <c r="E443" s="32" t="n">
        <v>280</v>
      </c>
      <c r="F443" s="30" t="s">
        <v>69</v>
      </c>
      <c r="G443" s="30" t="s">
        <v>960</v>
      </c>
    </row>
    <row r="444" customFormat="false" ht="15" hidden="false" customHeight="false" outlineLevel="0" collapsed="false">
      <c r="B444" s="30" t="s">
        <v>994</v>
      </c>
      <c r="C444" s="31" t="n">
        <v>46201</v>
      </c>
      <c r="D444" s="30" t="s">
        <v>988</v>
      </c>
      <c r="E444" s="32" t="n">
        <v>15436.91</v>
      </c>
      <c r="F444" s="30" t="s">
        <v>58</v>
      </c>
      <c r="G444" s="30" t="s">
        <v>960</v>
      </c>
    </row>
    <row r="445" customFormat="false" ht="15" hidden="false" customHeight="false" outlineLevel="0" collapsed="false">
      <c r="B445" s="30" t="s">
        <v>1010</v>
      </c>
      <c r="C445" s="31" t="n">
        <v>46202</v>
      </c>
      <c r="D445" s="30" t="s">
        <v>991</v>
      </c>
      <c r="E445" s="32" t="n">
        <v>600</v>
      </c>
      <c r="F445" s="30" t="s">
        <v>49</v>
      </c>
      <c r="G445" s="30" t="s">
        <v>960</v>
      </c>
    </row>
    <row r="446" customFormat="false" ht="15" hidden="false" customHeight="false" outlineLevel="0" collapsed="false">
      <c r="B446" s="30" t="s">
        <v>1017</v>
      </c>
      <c r="C446" s="31" t="n">
        <v>46202</v>
      </c>
      <c r="D446" s="30" t="s">
        <v>991</v>
      </c>
      <c r="E446" s="32" t="n">
        <v>100</v>
      </c>
      <c r="F446" s="30" t="s">
        <v>59</v>
      </c>
      <c r="G446" s="30" t="s">
        <v>960</v>
      </c>
    </row>
    <row r="447" customFormat="false" ht="15" hidden="false" customHeight="false" outlineLevel="0" collapsed="false">
      <c r="B447" s="30" t="s">
        <v>1021</v>
      </c>
      <c r="C447" s="31" t="n">
        <v>46202</v>
      </c>
      <c r="D447" s="30" t="s">
        <v>959</v>
      </c>
      <c r="E447" s="32" t="n">
        <v>2240.78</v>
      </c>
      <c r="F447" s="30" t="s">
        <v>26</v>
      </c>
      <c r="G447" s="30" t="s">
        <v>960</v>
      </c>
    </row>
    <row r="448" customFormat="false" ht="15" hidden="false" customHeight="false" outlineLevel="0" collapsed="false">
      <c r="B448" s="30" t="s">
        <v>1014</v>
      </c>
      <c r="C448" s="31" t="n">
        <v>46202</v>
      </c>
      <c r="D448" s="30" t="s">
        <v>968</v>
      </c>
      <c r="E448" s="32" t="n">
        <v>4700</v>
      </c>
      <c r="F448" s="30" t="s">
        <v>26</v>
      </c>
      <c r="G448" s="30" t="s">
        <v>960</v>
      </c>
    </row>
    <row r="449" customFormat="false" ht="15" hidden="false" customHeight="false" outlineLevel="0" collapsed="false">
      <c r="B449" s="30" t="s">
        <v>986</v>
      </c>
      <c r="C449" s="31" t="n">
        <v>46202</v>
      </c>
      <c r="D449" s="30" t="s">
        <v>959</v>
      </c>
      <c r="E449" s="32" t="n">
        <v>7763.26</v>
      </c>
      <c r="F449" s="30" t="s">
        <v>26</v>
      </c>
      <c r="G449" s="30" t="s">
        <v>960</v>
      </c>
    </row>
    <row r="450" customFormat="false" ht="15" hidden="false" customHeight="false" outlineLevel="0" collapsed="false">
      <c r="B450" s="30" t="s">
        <v>1014</v>
      </c>
      <c r="C450" s="31" t="n">
        <v>46203</v>
      </c>
      <c r="D450" s="30" t="s">
        <v>968</v>
      </c>
      <c r="E450" s="32" t="n">
        <v>2546</v>
      </c>
      <c r="F450" s="30" t="s">
        <v>26</v>
      </c>
      <c r="G450" s="30" t="s">
        <v>960</v>
      </c>
    </row>
    <row r="451" customFormat="false" ht="15" hidden="false" customHeight="false" outlineLevel="0" collapsed="false">
      <c r="B451" s="30" t="s">
        <v>1018</v>
      </c>
      <c r="C451" s="31" t="n">
        <v>46203</v>
      </c>
      <c r="D451" s="30" t="s">
        <v>968</v>
      </c>
      <c r="E451" s="32" t="n">
        <v>4945</v>
      </c>
      <c r="F451" s="30" t="s">
        <v>26</v>
      </c>
      <c r="G451" s="30" t="s">
        <v>960</v>
      </c>
    </row>
    <row r="452" customFormat="false" ht="15" hidden="false" customHeight="false" outlineLevel="0" collapsed="false">
      <c r="B452" s="30" t="s">
        <v>1022</v>
      </c>
      <c r="C452" s="31" t="n">
        <v>46203</v>
      </c>
      <c r="D452" s="30" t="s">
        <v>968</v>
      </c>
      <c r="E452" s="32" t="n">
        <v>4220</v>
      </c>
      <c r="F452" s="30" t="s">
        <v>26</v>
      </c>
      <c r="G452" s="30" t="s">
        <v>960</v>
      </c>
    </row>
    <row r="453" customFormat="false" ht="15" hidden="false" customHeight="false" outlineLevel="0" collapsed="false">
      <c r="B453" s="30" t="s">
        <v>1018</v>
      </c>
      <c r="C453" s="31" t="n">
        <v>46203</v>
      </c>
      <c r="D453" s="30" t="s">
        <v>964</v>
      </c>
      <c r="E453" s="32" t="n">
        <v>2000</v>
      </c>
      <c r="F453" s="30" t="s">
        <v>26</v>
      </c>
      <c r="G453" s="30" t="s">
        <v>960</v>
      </c>
    </row>
    <row r="454" customFormat="false" ht="15" hidden="false" customHeight="false" outlineLevel="0" collapsed="false">
      <c r="B454" s="30" t="s">
        <v>981</v>
      </c>
      <c r="C454" s="31" t="n">
        <v>46203</v>
      </c>
      <c r="D454" s="30" t="s">
        <v>968</v>
      </c>
      <c r="E454" s="32" t="n">
        <v>2600</v>
      </c>
      <c r="F454" s="30" t="s">
        <v>28</v>
      </c>
      <c r="G454" s="30" t="s">
        <v>960</v>
      </c>
    </row>
    <row r="455" customFormat="false" ht="15" hidden="false" customHeight="false" outlineLevel="0" collapsed="false">
      <c r="B455" s="30" t="s">
        <v>969</v>
      </c>
      <c r="C455" s="31" t="n">
        <v>46203</v>
      </c>
      <c r="D455" s="30" t="s">
        <v>968</v>
      </c>
      <c r="E455" s="32" t="n">
        <v>4010</v>
      </c>
      <c r="F455" s="30" t="s">
        <v>28</v>
      </c>
      <c r="G455" s="30" t="s">
        <v>960</v>
      </c>
    </row>
    <row r="456" customFormat="false" ht="15" hidden="false" customHeight="false" outlineLevel="0" collapsed="false">
      <c r="B456" s="30" t="s">
        <v>971</v>
      </c>
      <c r="C456" s="31" t="n">
        <v>46203</v>
      </c>
      <c r="D456" s="30" t="s">
        <v>964</v>
      </c>
      <c r="E456" s="32" t="n">
        <v>3000</v>
      </c>
      <c r="F456" s="30" t="s">
        <v>28</v>
      </c>
      <c r="G456" s="30" t="s">
        <v>960</v>
      </c>
    </row>
    <row r="457" customFormat="false" ht="15" hidden="false" customHeight="false" outlineLevel="0" collapsed="false">
      <c r="B457" s="30" t="s">
        <v>969</v>
      </c>
      <c r="C457" s="31" t="n">
        <v>46203</v>
      </c>
      <c r="D457" s="30" t="s">
        <v>964</v>
      </c>
      <c r="E457" s="32" t="n">
        <v>1315</v>
      </c>
      <c r="F457" s="30" t="s">
        <v>28</v>
      </c>
      <c r="G457" s="30" t="s">
        <v>960</v>
      </c>
    </row>
    <row r="458" customFormat="false" ht="15" hidden="false" customHeight="false" outlineLevel="0" collapsed="false">
      <c r="B458" s="30" t="s">
        <v>965</v>
      </c>
      <c r="C458" s="31" t="n">
        <v>46203</v>
      </c>
      <c r="D458" s="30" t="s">
        <v>968</v>
      </c>
      <c r="E458" s="32" t="n">
        <v>4040</v>
      </c>
      <c r="F458" s="30" t="s">
        <v>35</v>
      </c>
      <c r="G458" s="30" t="s">
        <v>960</v>
      </c>
    </row>
    <row r="459" customFormat="false" ht="15" hidden="false" customHeight="false" outlineLevel="0" collapsed="false">
      <c r="B459" s="30" t="s">
        <v>1009</v>
      </c>
      <c r="C459" s="31" t="n">
        <v>46204</v>
      </c>
      <c r="D459" s="30" t="s">
        <v>988</v>
      </c>
      <c r="E459" s="32" t="n">
        <v>20101.44</v>
      </c>
      <c r="F459" s="30" t="s">
        <v>58</v>
      </c>
      <c r="G459" s="30" t="s">
        <v>960</v>
      </c>
    </row>
    <row r="460" customFormat="false" ht="15" hidden="false" customHeight="false" outlineLevel="0" collapsed="false">
      <c r="B460" s="30" t="s">
        <v>1024</v>
      </c>
      <c r="C460" s="31" t="n">
        <v>46204</v>
      </c>
      <c r="D460" s="30" t="s">
        <v>991</v>
      </c>
      <c r="E460" s="32" t="n">
        <v>1397</v>
      </c>
      <c r="F460" s="30" t="s">
        <v>1037</v>
      </c>
      <c r="G460" s="30" t="s">
        <v>960</v>
      </c>
    </row>
    <row r="461" customFormat="false" ht="15" hidden="false" customHeight="false" outlineLevel="0" collapsed="false">
      <c r="B461" s="30" t="s">
        <v>1013</v>
      </c>
      <c r="C461" s="31" t="n">
        <v>46205</v>
      </c>
      <c r="D461" s="30" t="s">
        <v>964</v>
      </c>
      <c r="E461" s="32" t="n">
        <v>835</v>
      </c>
      <c r="F461" s="30" t="s">
        <v>28</v>
      </c>
      <c r="G461" s="30" t="s">
        <v>960</v>
      </c>
    </row>
    <row r="462" customFormat="false" ht="15" hidden="false" customHeight="false" outlineLevel="0" collapsed="false">
      <c r="B462" s="30" t="s">
        <v>971</v>
      </c>
      <c r="C462" s="31" t="n">
        <v>46207</v>
      </c>
      <c r="D462" s="30" t="s">
        <v>964</v>
      </c>
      <c r="E462" s="32" t="n">
        <v>1700</v>
      </c>
      <c r="F462" s="30" t="s">
        <v>28</v>
      </c>
      <c r="G462" s="30" t="s">
        <v>960</v>
      </c>
    </row>
    <row r="463" customFormat="false" ht="15" hidden="false" customHeight="false" outlineLevel="0" collapsed="false">
      <c r="B463" s="30" t="s">
        <v>1005</v>
      </c>
      <c r="C463" s="31" t="n">
        <v>46208</v>
      </c>
      <c r="D463" s="30" t="s">
        <v>991</v>
      </c>
      <c r="E463" s="32" t="n">
        <v>90</v>
      </c>
      <c r="F463" s="30" t="s">
        <v>78</v>
      </c>
      <c r="G463" s="30" t="s">
        <v>960</v>
      </c>
    </row>
    <row r="464" customFormat="false" ht="15" hidden="false" customHeight="false" outlineLevel="0" collapsed="false">
      <c r="B464" s="30" t="s">
        <v>1014</v>
      </c>
      <c r="C464" s="31" t="n">
        <v>46208</v>
      </c>
      <c r="D464" s="30" t="s">
        <v>964</v>
      </c>
      <c r="E464" s="32" t="n">
        <v>553.75</v>
      </c>
      <c r="F464" s="30" t="s">
        <v>26</v>
      </c>
      <c r="G464" s="30" t="s">
        <v>960</v>
      </c>
    </row>
    <row r="465" customFormat="false" ht="15" hidden="false" customHeight="false" outlineLevel="0" collapsed="false">
      <c r="B465" s="30" t="s">
        <v>1038</v>
      </c>
      <c r="C465" s="31" t="n">
        <v>46209</v>
      </c>
      <c r="D465" s="30" t="s">
        <v>991</v>
      </c>
      <c r="E465" s="32" t="n">
        <v>6484</v>
      </c>
      <c r="F465" s="30" t="s">
        <v>51</v>
      </c>
      <c r="G465" s="30" t="s">
        <v>960</v>
      </c>
    </row>
    <row r="466" customFormat="false" ht="15" hidden="false" customHeight="false" outlineLevel="0" collapsed="false">
      <c r="B466" s="30" t="s">
        <v>1039</v>
      </c>
      <c r="C466" s="31" t="n">
        <v>46209</v>
      </c>
      <c r="D466" s="30" t="s">
        <v>991</v>
      </c>
      <c r="E466" s="32" t="n">
        <v>4500</v>
      </c>
      <c r="F466" s="30" t="s">
        <v>51</v>
      </c>
      <c r="G466" s="30" t="s">
        <v>960</v>
      </c>
    </row>
    <row r="467" customFormat="false" ht="15" hidden="false" customHeight="false" outlineLevel="0" collapsed="false">
      <c r="B467" s="30" t="s">
        <v>1027</v>
      </c>
      <c r="C467" s="31" t="n">
        <v>46209</v>
      </c>
      <c r="D467" s="30" t="s">
        <v>991</v>
      </c>
      <c r="E467" s="32" t="n">
        <v>1612.82</v>
      </c>
      <c r="F467" s="30" t="s">
        <v>51</v>
      </c>
      <c r="G467" s="30" t="s">
        <v>960</v>
      </c>
    </row>
    <row r="468" customFormat="false" ht="15" hidden="false" customHeight="false" outlineLevel="0" collapsed="false">
      <c r="B468" s="30" t="s">
        <v>1040</v>
      </c>
      <c r="C468" s="31" t="n">
        <v>46209</v>
      </c>
      <c r="D468" s="30" t="s">
        <v>991</v>
      </c>
      <c r="E468" s="32" t="n">
        <v>1621</v>
      </c>
      <c r="F468" s="30" t="s">
        <v>51</v>
      </c>
      <c r="G468" s="30" t="s">
        <v>960</v>
      </c>
    </row>
    <row r="469" customFormat="false" ht="15" hidden="false" customHeight="false" outlineLevel="0" collapsed="false">
      <c r="B469" s="30" t="s">
        <v>1030</v>
      </c>
      <c r="C469" s="31" t="n">
        <v>46209</v>
      </c>
      <c r="D469" s="30" t="s">
        <v>991</v>
      </c>
      <c r="E469" s="32" t="n">
        <v>2542</v>
      </c>
      <c r="F469" s="30" t="s">
        <v>51</v>
      </c>
      <c r="G469" s="30" t="s">
        <v>960</v>
      </c>
    </row>
    <row r="470" customFormat="false" ht="15" hidden="false" customHeight="false" outlineLevel="0" collapsed="false">
      <c r="B470" s="30" t="s">
        <v>1031</v>
      </c>
      <c r="C470" s="31" t="n">
        <v>46209</v>
      </c>
      <c r="D470" s="30" t="s">
        <v>991</v>
      </c>
      <c r="E470" s="32" t="n">
        <v>1781.5</v>
      </c>
      <c r="F470" s="30" t="s">
        <v>51</v>
      </c>
      <c r="G470" s="30" t="s">
        <v>960</v>
      </c>
    </row>
    <row r="471" customFormat="false" ht="15" hidden="false" customHeight="false" outlineLevel="0" collapsed="false">
      <c r="B471" s="30" t="s">
        <v>1028</v>
      </c>
      <c r="C471" s="31" t="n">
        <v>46209</v>
      </c>
      <c r="D471" s="30" t="s">
        <v>991</v>
      </c>
      <c r="E471" s="32" t="n">
        <v>1518</v>
      </c>
      <c r="F471" s="30" t="s">
        <v>51</v>
      </c>
      <c r="G471" s="30" t="s">
        <v>960</v>
      </c>
    </row>
    <row r="472" customFormat="false" ht="15" hidden="false" customHeight="false" outlineLevel="0" collapsed="false">
      <c r="B472" s="30" t="s">
        <v>1032</v>
      </c>
      <c r="C472" s="31" t="n">
        <v>46209</v>
      </c>
      <c r="D472" s="30" t="s">
        <v>991</v>
      </c>
      <c r="E472" s="32" t="n">
        <v>2000</v>
      </c>
      <c r="F472" s="30" t="s">
        <v>51</v>
      </c>
      <c r="G472" s="30" t="s">
        <v>960</v>
      </c>
    </row>
    <row r="473" customFormat="false" ht="15" hidden="false" customHeight="false" outlineLevel="0" collapsed="false">
      <c r="B473" s="30" t="s">
        <v>1041</v>
      </c>
      <c r="C473" s="31" t="n">
        <v>46209</v>
      </c>
      <c r="D473" s="30" t="s">
        <v>991</v>
      </c>
      <c r="E473" s="32" t="n">
        <v>4200</v>
      </c>
      <c r="F473" s="30" t="s">
        <v>51</v>
      </c>
      <c r="G473" s="30" t="s">
        <v>960</v>
      </c>
    </row>
    <row r="474" customFormat="false" ht="15" hidden="false" customHeight="false" outlineLevel="0" collapsed="false">
      <c r="B474" s="30" t="s">
        <v>1015</v>
      </c>
      <c r="C474" s="31" t="n">
        <v>46209</v>
      </c>
      <c r="D474" s="30" t="s">
        <v>959</v>
      </c>
      <c r="E474" s="32" t="n">
        <v>458.34</v>
      </c>
      <c r="F474" s="30" t="s">
        <v>35</v>
      </c>
      <c r="G474" s="30" t="s">
        <v>960</v>
      </c>
    </row>
    <row r="475" customFormat="false" ht="15" hidden="false" customHeight="false" outlineLevel="0" collapsed="false">
      <c r="B475" s="30" t="s">
        <v>1010</v>
      </c>
      <c r="C475" s="31" t="n">
        <v>46209</v>
      </c>
      <c r="D475" s="30" t="s">
        <v>991</v>
      </c>
      <c r="E475" s="32" t="n">
        <v>600</v>
      </c>
      <c r="F475" s="30" t="s">
        <v>49</v>
      </c>
      <c r="G475" s="30" t="s">
        <v>960</v>
      </c>
    </row>
    <row r="476" customFormat="false" ht="15" hidden="false" customHeight="false" outlineLevel="0" collapsed="false">
      <c r="B476" s="30" t="s">
        <v>1017</v>
      </c>
      <c r="C476" s="31" t="n">
        <v>46209</v>
      </c>
      <c r="D476" s="30" t="s">
        <v>991</v>
      </c>
      <c r="E476" s="32" t="n">
        <v>2300</v>
      </c>
      <c r="F476" s="30" t="s">
        <v>51</v>
      </c>
      <c r="G476" s="30" t="s">
        <v>960</v>
      </c>
    </row>
    <row r="477" customFormat="false" ht="15" hidden="false" customHeight="false" outlineLevel="0" collapsed="false">
      <c r="B477" s="30" t="s">
        <v>1029</v>
      </c>
      <c r="C477" s="31" t="n">
        <v>46209</v>
      </c>
      <c r="D477" s="30" t="s">
        <v>991</v>
      </c>
      <c r="E477" s="32" t="n">
        <v>1518</v>
      </c>
      <c r="F477" s="30" t="s">
        <v>51</v>
      </c>
      <c r="G477" s="30" t="s">
        <v>960</v>
      </c>
    </row>
    <row r="478" customFormat="false" ht="15" hidden="false" customHeight="false" outlineLevel="0" collapsed="false">
      <c r="B478" s="30" t="s">
        <v>1033</v>
      </c>
      <c r="C478" s="31" t="n">
        <v>46209</v>
      </c>
      <c r="D478" s="30" t="s">
        <v>991</v>
      </c>
      <c r="E478" s="32" t="n">
        <v>1312.82</v>
      </c>
      <c r="F478" s="30" t="s">
        <v>51</v>
      </c>
      <c r="G478" s="30" t="s">
        <v>960</v>
      </c>
    </row>
    <row r="479" customFormat="false" ht="15" hidden="false" customHeight="false" outlineLevel="0" collapsed="false">
      <c r="B479" s="30" t="s">
        <v>1017</v>
      </c>
      <c r="C479" s="31" t="n">
        <v>46209</v>
      </c>
      <c r="D479" s="30" t="s">
        <v>991</v>
      </c>
      <c r="E479" s="32" t="n">
        <v>100</v>
      </c>
      <c r="F479" s="30" t="s">
        <v>59</v>
      </c>
      <c r="G479" s="30" t="s">
        <v>960</v>
      </c>
    </row>
    <row r="480" customFormat="false" ht="15" hidden="false" customHeight="false" outlineLevel="0" collapsed="false">
      <c r="B480" s="30" t="s">
        <v>1042</v>
      </c>
      <c r="C480" s="31" t="n">
        <v>46210</v>
      </c>
      <c r="D480" s="30" t="s">
        <v>991</v>
      </c>
      <c r="E480" s="32" t="n">
        <v>3500</v>
      </c>
      <c r="F480" s="30" t="s">
        <v>81</v>
      </c>
      <c r="G480" s="30" t="s">
        <v>960</v>
      </c>
    </row>
    <row r="481" customFormat="false" ht="15" hidden="false" customHeight="false" outlineLevel="0" collapsed="false">
      <c r="B481" s="30" t="s">
        <v>985</v>
      </c>
      <c r="C481" s="31" t="n">
        <v>46210</v>
      </c>
      <c r="D481" s="30" t="s">
        <v>991</v>
      </c>
      <c r="E481" s="32" t="n">
        <v>2500</v>
      </c>
      <c r="F481" s="30" t="s">
        <v>84</v>
      </c>
      <c r="G481" s="30" t="s">
        <v>960</v>
      </c>
    </row>
    <row r="482" customFormat="false" ht="15" hidden="false" customHeight="false" outlineLevel="0" collapsed="false">
      <c r="B482" s="30" t="s">
        <v>1021</v>
      </c>
      <c r="C482" s="31" t="n">
        <v>46210</v>
      </c>
      <c r="D482" s="30" t="s">
        <v>959</v>
      </c>
      <c r="E482" s="32" t="n">
        <v>1197.93</v>
      </c>
      <c r="F482" s="30" t="s">
        <v>26</v>
      </c>
      <c r="G482" s="30" t="s">
        <v>960</v>
      </c>
    </row>
    <row r="483" customFormat="false" ht="15" hidden="false" customHeight="false" outlineLevel="0" collapsed="false">
      <c r="B483" s="30" t="s">
        <v>1021</v>
      </c>
      <c r="C483" s="31" t="n">
        <v>46212</v>
      </c>
      <c r="D483" s="30" t="s">
        <v>959</v>
      </c>
      <c r="E483" s="32" t="n">
        <v>2259.45</v>
      </c>
      <c r="F483" s="30" t="s">
        <v>26</v>
      </c>
      <c r="G483" s="30" t="s">
        <v>960</v>
      </c>
    </row>
    <row r="484" customFormat="false" ht="15" hidden="false" customHeight="false" outlineLevel="0" collapsed="false">
      <c r="B484" s="30" t="s">
        <v>1014</v>
      </c>
      <c r="C484" s="31" t="n">
        <v>46213</v>
      </c>
      <c r="D484" s="30" t="s">
        <v>964</v>
      </c>
      <c r="E484" s="32" t="n">
        <v>1066</v>
      </c>
      <c r="F484" s="30" t="s">
        <v>26</v>
      </c>
      <c r="G484" s="30" t="s">
        <v>960</v>
      </c>
    </row>
    <row r="485" customFormat="false" ht="15" hidden="false" customHeight="false" outlineLevel="0" collapsed="false">
      <c r="B485" s="30" t="s">
        <v>977</v>
      </c>
      <c r="C485" s="31" t="n">
        <v>46213</v>
      </c>
      <c r="D485" s="30" t="s">
        <v>991</v>
      </c>
      <c r="E485" s="32" t="n">
        <v>1100</v>
      </c>
      <c r="F485" s="30" t="s">
        <v>76</v>
      </c>
      <c r="G485" s="30" t="s">
        <v>960</v>
      </c>
    </row>
    <row r="486" customFormat="false" ht="15" hidden="false" customHeight="false" outlineLevel="0" collapsed="false">
      <c r="B486" s="30" t="s">
        <v>1043</v>
      </c>
      <c r="C486" s="31" t="n">
        <v>46213</v>
      </c>
      <c r="D486" s="30" t="s">
        <v>991</v>
      </c>
      <c r="E486" s="32" t="n">
        <v>6484</v>
      </c>
      <c r="F486" s="30" t="s">
        <v>52</v>
      </c>
      <c r="G486" s="30" t="s">
        <v>960</v>
      </c>
    </row>
    <row r="487" customFormat="false" ht="15" hidden="false" customHeight="false" outlineLevel="0" collapsed="false">
      <c r="B487" s="30" t="s">
        <v>1044</v>
      </c>
      <c r="C487" s="31" t="n">
        <v>46213</v>
      </c>
      <c r="D487" s="30" t="s">
        <v>959</v>
      </c>
      <c r="E487" s="32" t="n">
        <v>957</v>
      </c>
      <c r="F487" s="30" t="s">
        <v>54</v>
      </c>
      <c r="G487" s="30" t="s">
        <v>960</v>
      </c>
    </row>
    <row r="488" customFormat="false" ht="15" hidden="false" customHeight="false" outlineLevel="0" collapsed="false">
      <c r="B488" s="30" t="s">
        <v>1045</v>
      </c>
      <c r="C488" s="31" t="n">
        <v>46213</v>
      </c>
      <c r="D488" s="30" t="s">
        <v>988</v>
      </c>
      <c r="E488" s="32" t="n">
        <v>2055.6</v>
      </c>
      <c r="F488" s="30" t="s">
        <v>89</v>
      </c>
      <c r="G488" s="30" t="s">
        <v>960</v>
      </c>
    </row>
    <row r="489" customFormat="false" ht="15" hidden="false" customHeight="false" outlineLevel="0" collapsed="false">
      <c r="B489" s="30" t="s">
        <v>1014</v>
      </c>
      <c r="C489" s="31" t="n">
        <v>46215</v>
      </c>
      <c r="D489" s="30" t="s">
        <v>964</v>
      </c>
      <c r="E489" s="32" t="n">
        <v>2512.5</v>
      </c>
      <c r="F489" s="30" t="s">
        <v>26</v>
      </c>
      <c r="G489" s="30" t="s">
        <v>960</v>
      </c>
    </row>
    <row r="490" customFormat="false" ht="15" hidden="false" customHeight="false" outlineLevel="0" collapsed="false">
      <c r="B490" s="30" t="s">
        <v>1015</v>
      </c>
      <c r="C490" s="31" t="n">
        <v>46215</v>
      </c>
      <c r="D490" s="30" t="s">
        <v>959</v>
      </c>
      <c r="E490" s="32" t="n">
        <v>900.75</v>
      </c>
      <c r="F490" s="30" t="s">
        <v>34</v>
      </c>
      <c r="G490" s="30" t="s">
        <v>960</v>
      </c>
    </row>
    <row r="491" customFormat="false" ht="15" hidden="false" customHeight="false" outlineLevel="0" collapsed="false">
      <c r="B491" s="30" t="s">
        <v>1016</v>
      </c>
      <c r="C491" s="31" t="n">
        <v>46215</v>
      </c>
      <c r="D491" s="30" t="s">
        <v>968</v>
      </c>
      <c r="E491" s="32" t="n">
        <v>4670</v>
      </c>
      <c r="F491" s="30" t="s">
        <v>26</v>
      </c>
      <c r="G491" s="30" t="s">
        <v>960</v>
      </c>
    </row>
    <row r="492" customFormat="false" ht="15" hidden="false" customHeight="false" outlineLevel="0" collapsed="false">
      <c r="B492" s="30" t="s">
        <v>1016</v>
      </c>
      <c r="C492" s="31" t="n">
        <v>46215</v>
      </c>
      <c r="D492" s="30" t="s">
        <v>968</v>
      </c>
      <c r="E492" s="32" t="n">
        <v>4500</v>
      </c>
      <c r="F492" s="30" t="s">
        <v>26</v>
      </c>
      <c r="G492" s="30" t="s">
        <v>960</v>
      </c>
    </row>
    <row r="493" customFormat="false" ht="15" hidden="false" customHeight="false" outlineLevel="0" collapsed="false">
      <c r="B493" s="30" t="s">
        <v>1017</v>
      </c>
      <c r="C493" s="31" t="n">
        <v>46216</v>
      </c>
      <c r="D493" s="30" t="s">
        <v>991</v>
      </c>
      <c r="E493" s="32" t="n">
        <v>100</v>
      </c>
      <c r="F493" s="30" t="s">
        <v>59</v>
      </c>
      <c r="G493" s="30" t="s">
        <v>960</v>
      </c>
    </row>
    <row r="494" customFormat="false" ht="15" hidden="false" customHeight="false" outlineLevel="0" collapsed="false">
      <c r="B494" s="30" t="s">
        <v>1014</v>
      </c>
      <c r="C494" s="31" t="n">
        <v>46216</v>
      </c>
      <c r="D494" s="30" t="s">
        <v>968</v>
      </c>
      <c r="E494" s="32" t="n">
        <v>3600</v>
      </c>
      <c r="F494" s="30" t="s">
        <v>26</v>
      </c>
      <c r="G494" s="30" t="s">
        <v>960</v>
      </c>
    </row>
    <row r="495" customFormat="false" ht="15" hidden="false" customHeight="false" outlineLevel="0" collapsed="false">
      <c r="B495" s="30" t="s">
        <v>1010</v>
      </c>
      <c r="C495" s="31" t="n">
        <v>46216</v>
      </c>
      <c r="D495" s="30" t="s">
        <v>991</v>
      </c>
      <c r="E495" s="32" t="n">
        <v>600</v>
      </c>
      <c r="F495" s="30" t="s">
        <v>49</v>
      </c>
      <c r="G495" s="30" t="s">
        <v>960</v>
      </c>
    </row>
    <row r="496" customFormat="false" ht="15" hidden="false" customHeight="false" outlineLevel="0" collapsed="false">
      <c r="B496" s="30" t="s">
        <v>1019</v>
      </c>
      <c r="C496" s="31" t="n">
        <v>46218</v>
      </c>
      <c r="D496" s="30" t="s">
        <v>959</v>
      </c>
      <c r="E496" s="32" t="n">
        <v>350</v>
      </c>
      <c r="F496" s="30" t="s">
        <v>60</v>
      </c>
      <c r="G496" s="30" t="s">
        <v>960</v>
      </c>
    </row>
    <row r="497" customFormat="false" ht="15" hidden="false" customHeight="false" outlineLevel="0" collapsed="false">
      <c r="B497" s="30" t="s">
        <v>1018</v>
      </c>
      <c r="C497" s="31" t="n">
        <v>46218</v>
      </c>
      <c r="D497" s="30" t="s">
        <v>968</v>
      </c>
      <c r="E497" s="32" t="n">
        <v>3750</v>
      </c>
      <c r="F497" s="30" t="s">
        <v>26</v>
      </c>
      <c r="G497" s="30" t="s">
        <v>960</v>
      </c>
    </row>
    <row r="498" customFormat="false" ht="15" hidden="false" customHeight="false" outlineLevel="0" collapsed="false">
      <c r="B498" s="30" t="s">
        <v>1018</v>
      </c>
      <c r="C498" s="31" t="n">
        <v>46218</v>
      </c>
      <c r="D498" s="30" t="s">
        <v>968</v>
      </c>
      <c r="E498" s="32" t="n">
        <v>4980</v>
      </c>
      <c r="F498" s="30" t="s">
        <v>26</v>
      </c>
      <c r="G498" s="30" t="s">
        <v>960</v>
      </c>
    </row>
    <row r="499" customFormat="false" ht="15" hidden="false" customHeight="false" outlineLevel="0" collapsed="false">
      <c r="B499" s="30" t="s">
        <v>1020</v>
      </c>
      <c r="C499" s="31" t="n">
        <v>46219</v>
      </c>
      <c r="D499" s="30" t="s">
        <v>973</v>
      </c>
      <c r="E499" s="32" t="n">
        <v>928.14</v>
      </c>
      <c r="F499" s="30" t="s">
        <v>64</v>
      </c>
      <c r="G499" s="30" t="s">
        <v>960</v>
      </c>
    </row>
    <row r="500" customFormat="false" ht="15" hidden="false" customHeight="false" outlineLevel="0" collapsed="false">
      <c r="B500" s="30" t="s">
        <v>1021</v>
      </c>
      <c r="C500" s="31" t="n">
        <v>46220</v>
      </c>
      <c r="D500" s="30" t="s">
        <v>959</v>
      </c>
      <c r="E500" s="32" t="n">
        <v>977.9</v>
      </c>
      <c r="F500" s="30" t="s">
        <v>26</v>
      </c>
      <c r="G500" s="30" t="s">
        <v>960</v>
      </c>
    </row>
    <row r="501" customFormat="false" ht="15" hidden="false" customHeight="false" outlineLevel="0" collapsed="false">
      <c r="B501" s="30" t="s">
        <v>1022</v>
      </c>
      <c r="C501" s="31" t="n">
        <v>46221</v>
      </c>
      <c r="D501" s="30" t="s">
        <v>968</v>
      </c>
      <c r="E501" s="32" t="n">
        <v>4220</v>
      </c>
      <c r="F501" s="30" t="s">
        <v>26</v>
      </c>
      <c r="G501" s="30" t="s">
        <v>960</v>
      </c>
    </row>
    <row r="502" customFormat="false" ht="15" hidden="false" customHeight="false" outlineLevel="0" collapsed="false">
      <c r="B502" s="30" t="s">
        <v>1014</v>
      </c>
      <c r="C502" s="31" t="n">
        <v>46221</v>
      </c>
      <c r="D502" s="30" t="s">
        <v>964</v>
      </c>
      <c r="E502" s="32" t="n">
        <v>2975</v>
      </c>
      <c r="F502" s="30" t="s">
        <v>26</v>
      </c>
      <c r="G502" s="30" t="s">
        <v>960</v>
      </c>
    </row>
    <row r="503" customFormat="false" ht="15" hidden="false" customHeight="false" outlineLevel="0" collapsed="false">
      <c r="B503" s="30" t="s">
        <v>1014</v>
      </c>
      <c r="C503" s="31" t="n">
        <v>46222</v>
      </c>
      <c r="D503" s="30" t="s">
        <v>968</v>
      </c>
      <c r="E503" s="32" t="n">
        <v>4700</v>
      </c>
      <c r="F503" s="30" t="s">
        <v>26</v>
      </c>
      <c r="G503" s="30" t="s">
        <v>960</v>
      </c>
    </row>
    <row r="504" customFormat="false" ht="15" hidden="false" customHeight="false" outlineLevel="0" collapsed="false">
      <c r="B504" s="30" t="s">
        <v>1013</v>
      </c>
      <c r="C504" s="31" t="n">
        <v>46222</v>
      </c>
      <c r="D504" s="30" t="s">
        <v>964</v>
      </c>
      <c r="E504" s="32" t="n">
        <v>1509.5</v>
      </c>
      <c r="F504" s="30" t="s">
        <v>28</v>
      </c>
      <c r="G504" s="30" t="s">
        <v>960</v>
      </c>
    </row>
    <row r="505" customFormat="false" ht="15" hidden="false" customHeight="false" outlineLevel="0" collapsed="false">
      <c r="B505" s="30" t="s">
        <v>1010</v>
      </c>
      <c r="C505" s="31" t="n">
        <v>46223</v>
      </c>
      <c r="D505" s="30" t="s">
        <v>991</v>
      </c>
      <c r="E505" s="32" t="n">
        <v>600</v>
      </c>
      <c r="F505" s="30" t="s">
        <v>49</v>
      </c>
      <c r="G505" s="30" t="s">
        <v>960</v>
      </c>
    </row>
    <row r="506" customFormat="false" ht="15" hidden="false" customHeight="false" outlineLevel="0" collapsed="false">
      <c r="B506" s="30" t="s">
        <v>971</v>
      </c>
      <c r="C506" s="31" t="n">
        <v>46223</v>
      </c>
      <c r="D506" s="30" t="s">
        <v>968</v>
      </c>
      <c r="E506" s="32" t="n">
        <v>2760</v>
      </c>
      <c r="F506" s="30" t="s">
        <v>28</v>
      </c>
      <c r="G506" s="30" t="s">
        <v>960</v>
      </c>
    </row>
    <row r="507" customFormat="false" ht="15" hidden="false" customHeight="false" outlineLevel="0" collapsed="false">
      <c r="B507" s="30" t="s">
        <v>1031</v>
      </c>
      <c r="C507" s="31" t="n">
        <v>46223</v>
      </c>
      <c r="D507" s="30" t="s">
        <v>991</v>
      </c>
      <c r="E507" s="32" t="n">
        <v>500</v>
      </c>
      <c r="F507" s="30" t="s">
        <v>59</v>
      </c>
      <c r="G507" s="30" t="s">
        <v>960</v>
      </c>
    </row>
    <row r="508" customFormat="false" ht="15" hidden="false" customHeight="false" outlineLevel="0" collapsed="false">
      <c r="B508" s="30" t="s">
        <v>1030</v>
      </c>
      <c r="C508" s="31" t="n">
        <v>46223</v>
      </c>
      <c r="D508" s="30" t="s">
        <v>991</v>
      </c>
      <c r="E508" s="32" t="n">
        <v>550</v>
      </c>
      <c r="F508" s="30" t="s">
        <v>59</v>
      </c>
      <c r="G508" s="30" t="s">
        <v>960</v>
      </c>
    </row>
    <row r="509" customFormat="false" ht="15" hidden="false" customHeight="false" outlineLevel="0" collapsed="false">
      <c r="B509" s="30" t="s">
        <v>1029</v>
      </c>
      <c r="C509" s="31" t="n">
        <v>46223</v>
      </c>
      <c r="D509" s="30" t="s">
        <v>991</v>
      </c>
      <c r="E509" s="32" t="n">
        <v>500</v>
      </c>
      <c r="F509" s="30" t="s">
        <v>59</v>
      </c>
      <c r="G509" s="30" t="s">
        <v>960</v>
      </c>
    </row>
    <row r="510" customFormat="false" ht="15" hidden="false" customHeight="false" outlineLevel="0" collapsed="false">
      <c r="B510" s="30" t="s">
        <v>1028</v>
      </c>
      <c r="C510" s="31" t="n">
        <v>46223</v>
      </c>
      <c r="D510" s="30" t="s">
        <v>991</v>
      </c>
      <c r="E510" s="32" t="n">
        <v>400</v>
      </c>
      <c r="F510" s="30" t="s">
        <v>59</v>
      </c>
      <c r="G510" s="30" t="s">
        <v>960</v>
      </c>
    </row>
    <row r="511" customFormat="false" ht="15" hidden="false" customHeight="false" outlineLevel="0" collapsed="false">
      <c r="B511" s="30" t="s">
        <v>1027</v>
      </c>
      <c r="C511" s="31" t="n">
        <v>46223</v>
      </c>
      <c r="D511" s="30" t="s">
        <v>991</v>
      </c>
      <c r="E511" s="32" t="n">
        <v>200</v>
      </c>
      <c r="F511" s="30" t="s">
        <v>59</v>
      </c>
      <c r="G511" s="30" t="s">
        <v>960</v>
      </c>
    </row>
    <row r="512" customFormat="false" ht="15" hidden="false" customHeight="false" outlineLevel="0" collapsed="false">
      <c r="B512" s="30" t="s">
        <v>1018</v>
      </c>
      <c r="C512" s="31" t="n">
        <v>46223</v>
      </c>
      <c r="D512" s="30" t="s">
        <v>968</v>
      </c>
      <c r="E512" s="32" t="n">
        <v>4980</v>
      </c>
      <c r="F512" s="30" t="s">
        <v>26</v>
      </c>
      <c r="G512" s="30" t="s">
        <v>960</v>
      </c>
    </row>
    <row r="513" customFormat="false" ht="15" hidden="false" customHeight="false" outlineLevel="0" collapsed="false">
      <c r="B513" s="30" t="s">
        <v>989</v>
      </c>
      <c r="C513" s="31" t="n">
        <v>46223</v>
      </c>
      <c r="D513" s="30" t="s">
        <v>959</v>
      </c>
      <c r="E513" s="32" t="n">
        <v>130</v>
      </c>
      <c r="F513" s="30" t="s">
        <v>65</v>
      </c>
      <c r="G513" s="30" t="s">
        <v>960</v>
      </c>
    </row>
    <row r="514" customFormat="false" ht="15" hidden="false" customHeight="false" outlineLevel="0" collapsed="false">
      <c r="B514" s="30" t="s">
        <v>1026</v>
      </c>
      <c r="C514" s="31" t="n">
        <v>46223</v>
      </c>
      <c r="D514" s="30" t="s">
        <v>959</v>
      </c>
      <c r="E514" s="32" t="n">
        <v>270</v>
      </c>
      <c r="F514" s="30" t="s">
        <v>64</v>
      </c>
      <c r="G514" s="30" t="s">
        <v>960</v>
      </c>
    </row>
    <row r="515" customFormat="false" ht="15" hidden="false" customHeight="false" outlineLevel="0" collapsed="false">
      <c r="B515" s="30" t="s">
        <v>1032</v>
      </c>
      <c r="C515" s="31" t="n">
        <v>46223</v>
      </c>
      <c r="D515" s="30" t="s">
        <v>991</v>
      </c>
      <c r="E515" s="32" t="n">
        <v>300</v>
      </c>
      <c r="F515" s="30" t="s">
        <v>59</v>
      </c>
      <c r="G515" s="30" t="s">
        <v>960</v>
      </c>
    </row>
    <row r="516" customFormat="false" ht="15" hidden="false" customHeight="false" outlineLevel="0" collapsed="false">
      <c r="B516" s="30" t="s">
        <v>1022</v>
      </c>
      <c r="C516" s="31" t="n">
        <v>46223</v>
      </c>
      <c r="D516" s="30" t="s">
        <v>964</v>
      </c>
      <c r="E516" s="32" t="n">
        <v>2380</v>
      </c>
      <c r="F516" s="30" t="s">
        <v>26</v>
      </c>
      <c r="G516" s="30" t="s">
        <v>960</v>
      </c>
    </row>
    <row r="517" customFormat="false" ht="15" hidden="false" customHeight="false" outlineLevel="0" collapsed="false">
      <c r="B517" s="30" t="s">
        <v>1018</v>
      </c>
      <c r="C517" s="31" t="n">
        <v>46223</v>
      </c>
      <c r="D517" s="30" t="s">
        <v>964</v>
      </c>
      <c r="E517" s="32" t="n">
        <v>1980</v>
      </c>
      <c r="F517" s="30" t="s">
        <v>26</v>
      </c>
      <c r="G517" s="30" t="s">
        <v>960</v>
      </c>
    </row>
    <row r="518" customFormat="false" ht="15" hidden="false" customHeight="false" outlineLevel="0" collapsed="false">
      <c r="B518" s="30" t="s">
        <v>1023</v>
      </c>
      <c r="C518" s="31" t="n">
        <v>46223</v>
      </c>
      <c r="D518" s="30" t="s">
        <v>959</v>
      </c>
      <c r="E518" s="32" t="n">
        <v>248</v>
      </c>
      <c r="F518" s="30" t="s">
        <v>62</v>
      </c>
      <c r="G518" s="30" t="s">
        <v>960</v>
      </c>
    </row>
    <row r="519" customFormat="false" ht="15" hidden="false" customHeight="false" outlineLevel="0" collapsed="false">
      <c r="B519" s="30" t="s">
        <v>1024</v>
      </c>
      <c r="C519" s="31" t="n">
        <v>46223</v>
      </c>
      <c r="D519" s="30" t="s">
        <v>991</v>
      </c>
      <c r="E519" s="32" t="n">
        <v>2147</v>
      </c>
      <c r="F519" s="30" t="s">
        <v>1025</v>
      </c>
      <c r="G519" s="30" t="s">
        <v>960</v>
      </c>
    </row>
    <row r="520" customFormat="false" ht="15" hidden="false" customHeight="false" outlineLevel="0" collapsed="false">
      <c r="B520" s="30" t="s">
        <v>1024</v>
      </c>
      <c r="C520" s="31" t="n">
        <v>46223</v>
      </c>
      <c r="D520" s="30" t="s">
        <v>991</v>
      </c>
      <c r="E520" s="32" t="n">
        <v>499.4</v>
      </c>
      <c r="F520" s="30" t="s">
        <v>948</v>
      </c>
      <c r="G520" s="30" t="s">
        <v>960</v>
      </c>
    </row>
    <row r="521" customFormat="false" ht="15" hidden="false" customHeight="false" outlineLevel="0" collapsed="false">
      <c r="B521" s="30" t="s">
        <v>987</v>
      </c>
      <c r="C521" s="31" t="n">
        <v>46223</v>
      </c>
      <c r="D521" s="30" t="s">
        <v>988</v>
      </c>
      <c r="E521" s="32" t="n">
        <v>2088</v>
      </c>
      <c r="F521" s="30" t="s">
        <v>58</v>
      </c>
      <c r="G521" s="30" t="s">
        <v>960</v>
      </c>
    </row>
    <row r="522" customFormat="false" ht="15" hidden="false" customHeight="false" outlineLevel="0" collapsed="false">
      <c r="B522" s="30" t="s">
        <v>1017</v>
      </c>
      <c r="C522" s="31" t="n">
        <v>46223</v>
      </c>
      <c r="D522" s="30" t="s">
        <v>991</v>
      </c>
      <c r="E522" s="32" t="n">
        <v>100</v>
      </c>
      <c r="F522" s="30" t="s">
        <v>59</v>
      </c>
      <c r="G522" s="30" t="s">
        <v>960</v>
      </c>
    </row>
    <row r="523" customFormat="false" ht="15" hidden="false" customHeight="false" outlineLevel="0" collapsed="false">
      <c r="B523" s="30" t="s">
        <v>1033</v>
      </c>
      <c r="C523" s="31" t="n">
        <v>46223</v>
      </c>
      <c r="D523" s="30" t="s">
        <v>991</v>
      </c>
      <c r="E523" s="32" t="n">
        <v>300</v>
      </c>
      <c r="F523" s="30" t="s">
        <v>59</v>
      </c>
      <c r="G523" s="30" t="s">
        <v>960</v>
      </c>
    </row>
    <row r="524" customFormat="false" ht="15" hidden="false" customHeight="false" outlineLevel="0" collapsed="false">
      <c r="B524" s="30" t="s">
        <v>990</v>
      </c>
      <c r="C524" s="31" t="n">
        <v>46224</v>
      </c>
      <c r="D524" s="30" t="s">
        <v>988</v>
      </c>
      <c r="E524" s="32" t="n">
        <v>42329</v>
      </c>
      <c r="F524" s="30" t="s">
        <v>58</v>
      </c>
      <c r="G524" s="30" t="s">
        <v>960</v>
      </c>
    </row>
    <row r="525" customFormat="false" ht="15" hidden="false" customHeight="false" outlineLevel="0" collapsed="false">
      <c r="B525" s="30" t="s">
        <v>1014</v>
      </c>
      <c r="C525" s="31" t="n">
        <v>46224</v>
      </c>
      <c r="D525" s="30" t="s">
        <v>968</v>
      </c>
      <c r="E525" s="32" t="n">
        <v>3600</v>
      </c>
      <c r="F525" s="30" t="s">
        <v>26</v>
      </c>
      <c r="G525" s="30" t="s">
        <v>960</v>
      </c>
    </row>
    <row r="526" customFormat="false" ht="15" hidden="false" customHeight="false" outlineLevel="0" collapsed="false">
      <c r="B526" s="30" t="s">
        <v>1018</v>
      </c>
      <c r="C526" s="31" t="n">
        <v>46225</v>
      </c>
      <c r="D526" s="30" t="s">
        <v>964</v>
      </c>
      <c r="E526" s="32" t="n">
        <v>2696</v>
      </c>
      <c r="F526" s="30" t="s">
        <v>26</v>
      </c>
      <c r="G526" s="30" t="s">
        <v>960</v>
      </c>
    </row>
    <row r="527" customFormat="false" ht="15" hidden="false" customHeight="false" outlineLevel="0" collapsed="false">
      <c r="B527" s="30" t="s">
        <v>1014</v>
      </c>
      <c r="C527" s="31" t="n">
        <v>46225</v>
      </c>
      <c r="D527" s="30" t="s">
        <v>968</v>
      </c>
      <c r="E527" s="32" t="n">
        <v>4500</v>
      </c>
      <c r="F527" s="30" t="s">
        <v>26</v>
      </c>
      <c r="G527" s="30" t="s">
        <v>960</v>
      </c>
    </row>
    <row r="528" customFormat="false" ht="15" hidden="false" customHeight="false" outlineLevel="0" collapsed="false">
      <c r="B528" s="30" t="s">
        <v>992</v>
      </c>
      <c r="C528" s="31" t="n">
        <v>46225</v>
      </c>
      <c r="D528" s="30" t="s">
        <v>988</v>
      </c>
      <c r="E528" s="32" t="n">
        <v>12013.66</v>
      </c>
      <c r="F528" s="30" t="s">
        <v>63</v>
      </c>
      <c r="G528" s="30" t="s">
        <v>960</v>
      </c>
    </row>
    <row r="529" customFormat="false" ht="15" hidden="false" customHeight="false" outlineLevel="0" collapsed="false">
      <c r="B529" s="30" t="s">
        <v>981</v>
      </c>
      <c r="C529" s="31" t="n">
        <v>46225</v>
      </c>
      <c r="D529" s="30" t="s">
        <v>968</v>
      </c>
      <c r="E529" s="32" t="n">
        <v>2700</v>
      </c>
      <c r="F529" s="30" t="s">
        <v>28</v>
      </c>
      <c r="G529" s="30" t="s">
        <v>960</v>
      </c>
    </row>
    <row r="530" customFormat="false" ht="15" hidden="false" customHeight="false" outlineLevel="0" collapsed="false">
      <c r="B530" s="30" t="s">
        <v>987</v>
      </c>
      <c r="C530" s="31" t="n">
        <v>46225</v>
      </c>
      <c r="D530" s="30" t="s">
        <v>988</v>
      </c>
      <c r="E530" s="32" t="n">
        <v>3127.85</v>
      </c>
      <c r="F530" s="30" t="s">
        <v>58</v>
      </c>
      <c r="G530" s="30" t="s">
        <v>960</v>
      </c>
    </row>
    <row r="531" customFormat="false" ht="15" hidden="false" customHeight="false" outlineLevel="0" collapsed="false">
      <c r="B531" s="30" t="s">
        <v>1015</v>
      </c>
      <c r="C531" s="31" t="n">
        <v>46226</v>
      </c>
      <c r="D531" s="30" t="s">
        <v>959</v>
      </c>
      <c r="E531" s="32" t="n">
        <v>442.42</v>
      </c>
      <c r="F531" s="30" t="s">
        <v>34</v>
      </c>
      <c r="G531" s="30" t="s">
        <v>960</v>
      </c>
    </row>
    <row r="532" customFormat="false" ht="15" hidden="false" customHeight="false" outlineLevel="0" collapsed="false">
      <c r="B532" s="30" t="s">
        <v>993</v>
      </c>
      <c r="C532" s="31" t="n">
        <v>46226</v>
      </c>
      <c r="D532" s="30" t="s">
        <v>988</v>
      </c>
      <c r="E532" s="32" t="n">
        <v>12445.02</v>
      </c>
      <c r="F532" s="30" t="s">
        <v>63</v>
      </c>
      <c r="G532" s="30" t="s">
        <v>960</v>
      </c>
    </row>
    <row r="533" customFormat="false" ht="15" hidden="false" customHeight="false" outlineLevel="0" collapsed="false">
      <c r="B533" s="30" t="s">
        <v>1034</v>
      </c>
      <c r="C533" s="31" t="n">
        <v>46227</v>
      </c>
      <c r="D533" s="30" t="s">
        <v>988</v>
      </c>
      <c r="E533" s="32" t="n">
        <v>6000</v>
      </c>
      <c r="F533" s="30" t="s">
        <v>58</v>
      </c>
      <c r="G533" s="30" t="s">
        <v>960</v>
      </c>
    </row>
    <row r="534" customFormat="false" ht="15" hidden="false" customHeight="false" outlineLevel="0" collapsed="false">
      <c r="B534" s="30" t="s">
        <v>1018</v>
      </c>
      <c r="C534" s="31" t="n">
        <v>46227</v>
      </c>
      <c r="D534" s="30" t="s">
        <v>968</v>
      </c>
      <c r="E534" s="32" t="n">
        <v>4945</v>
      </c>
      <c r="F534" s="30" t="s">
        <v>26</v>
      </c>
      <c r="G534" s="30" t="s">
        <v>960</v>
      </c>
    </row>
    <row r="535" customFormat="false" ht="15" hidden="false" customHeight="false" outlineLevel="0" collapsed="false">
      <c r="B535" s="30" t="s">
        <v>1018</v>
      </c>
      <c r="C535" s="31" t="n">
        <v>46227</v>
      </c>
      <c r="D535" s="30" t="s">
        <v>973</v>
      </c>
      <c r="E535" s="32" t="n">
        <v>8930.79</v>
      </c>
      <c r="F535" s="30" t="s">
        <v>26</v>
      </c>
      <c r="G535" s="30" t="s">
        <v>960</v>
      </c>
    </row>
    <row r="536" customFormat="false" ht="15" hidden="false" customHeight="false" outlineLevel="0" collapsed="false">
      <c r="B536" s="30" t="s">
        <v>1022</v>
      </c>
      <c r="C536" s="31" t="n">
        <v>46227</v>
      </c>
      <c r="D536" s="30" t="s">
        <v>968</v>
      </c>
      <c r="E536" s="32" t="n">
        <v>4220</v>
      </c>
      <c r="F536" s="30" t="s">
        <v>26</v>
      </c>
      <c r="G536" s="30" t="s">
        <v>960</v>
      </c>
    </row>
    <row r="537" customFormat="false" ht="15" hidden="false" customHeight="false" outlineLevel="0" collapsed="false">
      <c r="B537" s="30" t="s">
        <v>1013</v>
      </c>
      <c r="C537" s="31" t="n">
        <v>46228</v>
      </c>
      <c r="D537" s="30" t="s">
        <v>964</v>
      </c>
      <c r="E537" s="32" t="n">
        <v>457.4</v>
      </c>
      <c r="F537" s="30" t="s">
        <v>28</v>
      </c>
      <c r="G537" s="30" t="s">
        <v>960</v>
      </c>
    </row>
    <row r="538" customFormat="false" ht="15" hidden="false" customHeight="false" outlineLevel="0" collapsed="false">
      <c r="B538" s="30" t="s">
        <v>965</v>
      </c>
      <c r="C538" s="31" t="n">
        <v>46228</v>
      </c>
      <c r="D538" s="30" t="s">
        <v>964</v>
      </c>
      <c r="E538" s="32" t="n">
        <v>1471</v>
      </c>
      <c r="F538" s="30" t="s">
        <v>35</v>
      </c>
      <c r="G538" s="30" t="s">
        <v>960</v>
      </c>
    </row>
    <row r="539" customFormat="false" ht="15" hidden="false" customHeight="false" outlineLevel="0" collapsed="false">
      <c r="B539" s="30" t="s">
        <v>1018</v>
      </c>
      <c r="C539" s="31" t="n">
        <v>46228</v>
      </c>
      <c r="D539" s="30" t="s">
        <v>968</v>
      </c>
      <c r="E539" s="32" t="n">
        <v>3750</v>
      </c>
      <c r="F539" s="30" t="s">
        <v>26</v>
      </c>
      <c r="G539" s="30" t="s">
        <v>960</v>
      </c>
    </row>
    <row r="540" customFormat="false" ht="15" hidden="false" customHeight="false" outlineLevel="0" collapsed="false">
      <c r="B540" s="30" t="s">
        <v>1014</v>
      </c>
      <c r="C540" s="31" t="n">
        <v>46229</v>
      </c>
      <c r="D540" s="30" t="s">
        <v>968</v>
      </c>
      <c r="E540" s="32" t="n">
        <v>4500</v>
      </c>
      <c r="F540" s="30" t="s">
        <v>26</v>
      </c>
      <c r="G540" s="30" t="s">
        <v>960</v>
      </c>
    </row>
    <row r="541" customFormat="false" ht="15" hidden="false" customHeight="false" outlineLevel="0" collapsed="false">
      <c r="B541" s="30" t="s">
        <v>1017</v>
      </c>
      <c r="C541" s="31" t="n">
        <v>46230</v>
      </c>
      <c r="D541" s="30" t="s">
        <v>991</v>
      </c>
      <c r="E541" s="32" t="n">
        <v>100</v>
      </c>
      <c r="F541" s="30" t="s">
        <v>59</v>
      </c>
      <c r="G541" s="30" t="s">
        <v>960</v>
      </c>
    </row>
    <row r="542" customFormat="false" ht="15" hidden="false" customHeight="false" outlineLevel="0" collapsed="false">
      <c r="B542" s="30" t="s">
        <v>1010</v>
      </c>
      <c r="C542" s="31" t="n">
        <v>46230</v>
      </c>
      <c r="D542" s="30" t="s">
        <v>991</v>
      </c>
      <c r="E542" s="32" t="n">
        <v>600</v>
      </c>
      <c r="F542" s="30" t="s">
        <v>49</v>
      </c>
      <c r="G542" s="30" t="s">
        <v>960</v>
      </c>
    </row>
    <row r="543" customFormat="false" ht="15" hidden="false" customHeight="false" outlineLevel="0" collapsed="false">
      <c r="B543" s="30" t="s">
        <v>1035</v>
      </c>
      <c r="C543" s="31" t="n">
        <v>46230</v>
      </c>
      <c r="D543" s="30" t="s">
        <v>959</v>
      </c>
      <c r="E543" s="32" t="n">
        <v>450</v>
      </c>
      <c r="F543" s="30" t="s">
        <v>68</v>
      </c>
      <c r="G543" s="30" t="s">
        <v>960</v>
      </c>
    </row>
    <row r="544" customFormat="false" ht="15" hidden="false" customHeight="false" outlineLevel="0" collapsed="false">
      <c r="B544" s="30" t="s">
        <v>994</v>
      </c>
      <c r="C544" s="31" t="n">
        <v>46231</v>
      </c>
      <c r="D544" s="30" t="s">
        <v>988</v>
      </c>
      <c r="E544" s="32" t="n">
        <v>15436.91</v>
      </c>
      <c r="F544" s="30" t="s">
        <v>58</v>
      </c>
      <c r="G544" s="30" t="s">
        <v>960</v>
      </c>
    </row>
    <row r="545" customFormat="false" ht="15" hidden="false" customHeight="false" outlineLevel="0" collapsed="false">
      <c r="B545" s="30" t="s">
        <v>965</v>
      </c>
      <c r="C545" s="31" t="n">
        <v>46231</v>
      </c>
      <c r="D545" s="30" t="s">
        <v>968</v>
      </c>
      <c r="E545" s="32" t="n">
        <v>520</v>
      </c>
      <c r="F545" s="30" t="s">
        <v>35</v>
      </c>
      <c r="G545" s="30" t="s">
        <v>960</v>
      </c>
    </row>
    <row r="546" customFormat="false" ht="15" hidden="false" customHeight="false" outlineLevel="0" collapsed="false">
      <c r="B546" s="30" t="s">
        <v>1036</v>
      </c>
      <c r="C546" s="31" t="n">
        <v>46231</v>
      </c>
      <c r="D546" s="30" t="s">
        <v>959</v>
      </c>
      <c r="E546" s="32" t="n">
        <v>280</v>
      </c>
      <c r="F546" s="30" t="s">
        <v>69</v>
      </c>
      <c r="G546" s="30" t="s">
        <v>960</v>
      </c>
    </row>
    <row r="547" customFormat="false" ht="15" hidden="false" customHeight="false" outlineLevel="0" collapsed="false">
      <c r="B547" s="30" t="s">
        <v>998</v>
      </c>
      <c r="C547" s="31" t="n">
        <v>46231</v>
      </c>
      <c r="D547" s="30" t="s">
        <v>959</v>
      </c>
      <c r="E547" s="32" t="n">
        <v>1272</v>
      </c>
      <c r="F547" s="30" t="s">
        <v>36</v>
      </c>
      <c r="G547" s="30" t="s">
        <v>960</v>
      </c>
    </row>
    <row r="548" customFormat="false" ht="15" hidden="false" customHeight="false" outlineLevel="0" collapsed="false">
      <c r="B548" s="30" t="s">
        <v>1021</v>
      </c>
      <c r="C548" s="31" t="n">
        <v>46232</v>
      </c>
      <c r="D548" s="30" t="s">
        <v>959</v>
      </c>
      <c r="E548" s="32" t="n">
        <v>2241.45</v>
      </c>
      <c r="F548" s="30" t="s">
        <v>26</v>
      </c>
      <c r="G548" s="30" t="s">
        <v>960</v>
      </c>
    </row>
    <row r="549" customFormat="false" ht="15" hidden="false" customHeight="false" outlineLevel="0" collapsed="false">
      <c r="B549" s="30" t="s">
        <v>1014</v>
      </c>
      <c r="C549" s="31" t="n">
        <v>46232</v>
      </c>
      <c r="D549" s="30" t="s">
        <v>968</v>
      </c>
      <c r="E549" s="32" t="n">
        <v>4700</v>
      </c>
      <c r="F549" s="30" t="s">
        <v>26</v>
      </c>
      <c r="G549" s="30" t="s">
        <v>960</v>
      </c>
    </row>
    <row r="550" customFormat="false" ht="15" hidden="false" customHeight="false" outlineLevel="0" collapsed="false">
      <c r="B550" s="30" t="s">
        <v>1018</v>
      </c>
      <c r="C550" s="31" t="n">
        <v>46233</v>
      </c>
      <c r="D550" s="30" t="s">
        <v>968</v>
      </c>
      <c r="E550" s="32" t="n">
        <v>4945</v>
      </c>
      <c r="F550" s="30" t="s">
        <v>26</v>
      </c>
      <c r="G550" s="30" t="s">
        <v>960</v>
      </c>
    </row>
    <row r="551" customFormat="false" ht="15" hidden="false" customHeight="false" outlineLevel="0" collapsed="false">
      <c r="B551" s="30" t="s">
        <v>1014</v>
      </c>
      <c r="C551" s="31" t="n">
        <v>46233</v>
      </c>
      <c r="D551" s="30" t="s">
        <v>968</v>
      </c>
      <c r="E551" s="32" t="n">
        <v>4500</v>
      </c>
      <c r="F551" s="30" t="s">
        <v>26</v>
      </c>
      <c r="G551" s="30" t="s">
        <v>960</v>
      </c>
    </row>
    <row r="552" customFormat="false" ht="15" hidden="false" customHeight="false" outlineLevel="0" collapsed="false">
      <c r="B552" s="30" t="s">
        <v>1014</v>
      </c>
      <c r="C552" s="31" t="n">
        <v>46233</v>
      </c>
      <c r="D552" s="30" t="s">
        <v>964</v>
      </c>
      <c r="E552" s="32" t="n">
        <v>1066</v>
      </c>
      <c r="F552" s="30" t="s">
        <v>26</v>
      </c>
      <c r="G552" s="30" t="s">
        <v>960</v>
      </c>
    </row>
    <row r="553" customFormat="false" ht="15" hidden="false" customHeight="false" outlineLevel="0" collapsed="false">
      <c r="B553" s="30" t="s">
        <v>1014</v>
      </c>
      <c r="C553" s="31" t="n">
        <v>46233</v>
      </c>
      <c r="D553" s="30" t="s">
        <v>968</v>
      </c>
      <c r="E553" s="32" t="n">
        <v>2546</v>
      </c>
      <c r="F553" s="30" t="s">
        <v>26</v>
      </c>
      <c r="G553" s="30" t="s">
        <v>960</v>
      </c>
    </row>
    <row r="554" customFormat="false" ht="15" hidden="false" customHeight="false" outlineLevel="0" collapsed="false">
      <c r="B554" s="30" t="s">
        <v>1013</v>
      </c>
      <c r="C554" s="31" t="n">
        <v>46233</v>
      </c>
      <c r="D554" s="30" t="s">
        <v>964</v>
      </c>
      <c r="E554" s="32" t="n">
        <v>452</v>
      </c>
      <c r="F554" s="30" t="s">
        <v>28</v>
      </c>
      <c r="G554" s="30" t="s">
        <v>960</v>
      </c>
    </row>
    <row r="555" customFormat="false" ht="15" hidden="false" customHeight="false" outlineLevel="0" collapsed="false">
      <c r="B555" s="30" t="s">
        <v>1018</v>
      </c>
      <c r="C555" s="31" t="n">
        <v>46233</v>
      </c>
      <c r="D555" s="30" t="s">
        <v>964</v>
      </c>
      <c r="E555" s="32" t="n">
        <v>1999.4</v>
      </c>
      <c r="F555" s="30" t="s">
        <v>26</v>
      </c>
      <c r="G555" s="30" t="s">
        <v>960</v>
      </c>
    </row>
    <row r="556" customFormat="false" ht="15" hidden="false" customHeight="false" outlineLevel="0" collapsed="false">
      <c r="B556" s="30" t="s">
        <v>1022</v>
      </c>
      <c r="C556" s="31" t="n">
        <v>46233</v>
      </c>
      <c r="D556" s="30" t="s">
        <v>968</v>
      </c>
      <c r="E556" s="32" t="n">
        <v>4220</v>
      </c>
      <c r="F556" s="30" t="s">
        <v>26</v>
      </c>
      <c r="G556" s="30" t="s">
        <v>960</v>
      </c>
    </row>
    <row r="557" customFormat="false" ht="15" hidden="false" customHeight="false" outlineLevel="0" collapsed="false">
      <c r="B557" s="30" t="s">
        <v>981</v>
      </c>
      <c r="C557" s="31" t="n">
        <v>46233</v>
      </c>
      <c r="D557" s="30" t="s">
        <v>968</v>
      </c>
      <c r="E557" s="32" t="n">
        <v>2873</v>
      </c>
      <c r="F557" s="30" t="s">
        <v>28</v>
      </c>
      <c r="G557" s="30" t="s">
        <v>960</v>
      </c>
    </row>
    <row r="558" customFormat="false" ht="15" hidden="false" customHeight="false" outlineLevel="0" collapsed="false">
      <c r="B558" s="30" t="s">
        <v>969</v>
      </c>
      <c r="C558" s="31" t="n">
        <v>46233</v>
      </c>
      <c r="D558" s="30" t="s">
        <v>964</v>
      </c>
      <c r="E558" s="32" t="n">
        <v>3000</v>
      </c>
      <c r="F558" s="30" t="s">
        <v>28</v>
      </c>
      <c r="G558" s="30" t="s">
        <v>960</v>
      </c>
    </row>
    <row r="559" customFormat="false" ht="15" hidden="false" customHeight="false" outlineLevel="0" collapsed="false">
      <c r="B559" s="30" t="s">
        <v>1024</v>
      </c>
      <c r="C559" s="31" t="n">
        <v>46235</v>
      </c>
      <c r="D559" s="30" t="s">
        <v>991</v>
      </c>
      <c r="E559" s="32" t="n">
        <v>1397</v>
      </c>
      <c r="F559" s="30" t="s">
        <v>1037</v>
      </c>
      <c r="G559" s="30" t="s">
        <v>960</v>
      </c>
    </row>
    <row r="560" customFormat="false" ht="15" hidden="false" customHeight="false" outlineLevel="0" collapsed="false">
      <c r="B560" s="30" t="s">
        <v>1013</v>
      </c>
      <c r="C560" s="31" t="n">
        <v>46236</v>
      </c>
      <c r="D560" s="30" t="s">
        <v>964</v>
      </c>
      <c r="E560" s="32" t="n">
        <v>835</v>
      </c>
      <c r="F560" s="30" t="s">
        <v>28</v>
      </c>
      <c r="G560" s="30" t="s">
        <v>960</v>
      </c>
    </row>
    <row r="561" customFormat="false" ht="15" hidden="false" customHeight="false" outlineLevel="0" collapsed="false">
      <c r="B561" s="30" t="s">
        <v>1009</v>
      </c>
      <c r="C561" s="31" t="n">
        <v>46237</v>
      </c>
      <c r="D561" s="30" t="s">
        <v>988</v>
      </c>
      <c r="E561" s="32" t="n">
        <v>20101.44</v>
      </c>
      <c r="F561" s="30" t="s">
        <v>58</v>
      </c>
      <c r="G561" s="30" t="s">
        <v>960</v>
      </c>
    </row>
    <row r="562" customFormat="false" ht="15" hidden="false" customHeight="false" outlineLevel="0" collapsed="false">
      <c r="B562" s="30" t="s">
        <v>1017</v>
      </c>
      <c r="C562" s="31" t="n">
        <v>46237</v>
      </c>
      <c r="D562" s="30" t="s">
        <v>991</v>
      </c>
      <c r="E562" s="32" t="n">
        <v>100</v>
      </c>
      <c r="F562" s="30" t="s">
        <v>59</v>
      </c>
      <c r="G562" s="30" t="s">
        <v>960</v>
      </c>
    </row>
    <row r="563" customFormat="false" ht="15" hidden="false" customHeight="false" outlineLevel="0" collapsed="false">
      <c r="B563" s="30" t="s">
        <v>1010</v>
      </c>
      <c r="C563" s="31" t="n">
        <v>46237</v>
      </c>
      <c r="D563" s="30" t="s">
        <v>991</v>
      </c>
      <c r="E563" s="32" t="n">
        <v>600</v>
      </c>
      <c r="F563" s="30" t="s">
        <v>49</v>
      </c>
      <c r="G563" s="30" t="s">
        <v>960</v>
      </c>
    </row>
    <row r="564" customFormat="false" ht="15" hidden="false" customHeight="false" outlineLevel="0" collapsed="false">
      <c r="B564" s="30" t="s">
        <v>1014</v>
      </c>
      <c r="C564" s="31" t="n">
        <v>46239</v>
      </c>
      <c r="D564" s="30" t="s">
        <v>964</v>
      </c>
      <c r="E564" s="32" t="n">
        <v>553.75</v>
      </c>
      <c r="F564" s="30" t="s">
        <v>26</v>
      </c>
      <c r="G564" s="30" t="s">
        <v>960</v>
      </c>
    </row>
    <row r="565" customFormat="false" ht="15" hidden="false" customHeight="false" outlineLevel="0" collapsed="false">
      <c r="B565" s="30" t="s">
        <v>1041</v>
      </c>
      <c r="C565" s="31" t="n">
        <v>46240</v>
      </c>
      <c r="D565" s="30" t="s">
        <v>991</v>
      </c>
      <c r="E565" s="32" t="n">
        <v>4200</v>
      </c>
      <c r="F565" s="30" t="s">
        <v>51</v>
      </c>
      <c r="G565" s="30" t="s">
        <v>960</v>
      </c>
    </row>
    <row r="566" customFormat="false" ht="15" hidden="false" customHeight="false" outlineLevel="0" collapsed="false">
      <c r="B566" s="30" t="s">
        <v>1027</v>
      </c>
      <c r="C566" s="31" t="n">
        <v>46240</v>
      </c>
      <c r="D566" s="30" t="s">
        <v>991</v>
      </c>
      <c r="E566" s="32" t="n">
        <v>1612.82</v>
      </c>
      <c r="F566" s="30" t="s">
        <v>51</v>
      </c>
      <c r="G566" s="30" t="s">
        <v>960</v>
      </c>
    </row>
    <row r="567" customFormat="false" ht="15" hidden="false" customHeight="false" outlineLevel="0" collapsed="false">
      <c r="B567" s="30" t="s">
        <v>1032</v>
      </c>
      <c r="C567" s="31" t="n">
        <v>46240</v>
      </c>
      <c r="D567" s="30" t="s">
        <v>991</v>
      </c>
      <c r="E567" s="32" t="n">
        <v>2000</v>
      </c>
      <c r="F567" s="30" t="s">
        <v>51</v>
      </c>
      <c r="G567" s="30" t="s">
        <v>960</v>
      </c>
    </row>
    <row r="568" customFormat="false" ht="15" hidden="false" customHeight="false" outlineLevel="0" collapsed="false">
      <c r="B568" s="30" t="s">
        <v>1017</v>
      </c>
      <c r="C568" s="31" t="n">
        <v>46240</v>
      </c>
      <c r="D568" s="30" t="s">
        <v>991</v>
      </c>
      <c r="E568" s="32" t="n">
        <v>2300</v>
      </c>
      <c r="F568" s="30" t="s">
        <v>51</v>
      </c>
      <c r="G568" s="30" t="s">
        <v>960</v>
      </c>
    </row>
    <row r="569" customFormat="false" ht="15" hidden="false" customHeight="false" outlineLevel="0" collapsed="false">
      <c r="B569" s="30" t="s">
        <v>1038</v>
      </c>
      <c r="C569" s="31" t="n">
        <v>46240</v>
      </c>
      <c r="D569" s="30" t="s">
        <v>991</v>
      </c>
      <c r="E569" s="32" t="n">
        <v>6484</v>
      </c>
      <c r="F569" s="30" t="s">
        <v>51</v>
      </c>
      <c r="G569" s="30" t="s">
        <v>960</v>
      </c>
    </row>
    <row r="570" customFormat="false" ht="15" hidden="false" customHeight="false" outlineLevel="0" collapsed="false">
      <c r="B570" s="30" t="s">
        <v>1028</v>
      </c>
      <c r="C570" s="31" t="n">
        <v>46240</v>
      </c>
      <c r="D570" s="30" t="s">
        <v>991</v>
      </c>
      <c r="E570" s="32" t="n">
        <v>1518</v>
      </c>
      <c r="F570" s="30" t="s">
        <v>51</v>
      </c>
      <c r="G570" s="30" t="s">
        <v>960</v>
      </c>
    </row>
    <row r="571" customFormat="false" ht="15" hidden="false" customHeight="false" outlineLevel="0" collapsed="false">
      <c r="B571" s="30" t="s">
        <v>1033</v>
      </c>
      <c r="C571" s="31" t="n">
        <v>46240</v>
      </c>
      <c r="D571" s="30" t="s">
        <v>991</v>
      </c>
      <c r="E571" s="32" t="n">
        <v>1312.82</v>
      </c>
      <c r="F571" s="30" t="s">
        <v>51</v>
      </c>
      <c r="G571" s="30" t="s">
        <v>960</v>
      </c>
    </row>
    <row r="572" customFormat="false" ht="15" hidden="false" customHeight="false" outlineLevel="0" collapsed="false">
      <c r="B572" s="30" t="s">
        <v>1031</v>
      </c>
      <c r="C572" s="31" t="n">
        <v>46240</v>
      </c>
      <c r="D572" s="30" t="s">
        <v>991</v>
      </c>
      <c r="E572" s="32" t="n">
        <v>1781.5</v>
      </c>
      <c r="F572" s="30" t="s">
        <v>51</v>
      </c>
      <c r="G572" s="30" t="s">
        <v>960</v>
      </c>
    </row>
    <row r="573" customFormat="false" ht="15" hidden="false" customHeight="false" outlineLevel="0" collapsed="false">
      <c r="B573" s="30" t="s">
        <v>1021</v>
      </c>
      <c r="C573" s="31" t="n">
        <v>46240</v>
      </c>
      <c r="D573" s="30" t="s">
        <v>959</v>
      </c>
      <c r="E573" s="32" t="n">
        <v>1198.29</v>
      </c>
      <c r="F573" s="30" t="s">
        <v>26</v>
      </c>
      <c r="G573" s="30" t="s">
        <v>960</v>
      </c>
    </row>
    <row r="574" customFormat="false" ht="15" hidden="false" customHeight="false" outlineLevel="0" collapsed="false">
      <c r="B574" s="30" t="s">
        <v>1030</v>
      </c>
      <c r="C574" s="31" t="n">
        <v>46240</v>
      </c>
      <c r="D574" s="30" t="s">
        <v>991</v>
      </c>
      <c r="E574" s="32" t="n">
        <v>2542</v>
      </c>
      <c r="F574" s="30" t="s">
        <v>51</v>
      </c>
      <c r="G574" s="30" t="s">
        <v>960</v>
      </c>
    </row>
    <row r="575" customFormat="false" ht="15" hidden="false" customHeight="false" outlineLevel="0" collapsed="false">
      <c r="B575" s="30" t="s">
        <v>1029</v>
      </c>
      <c r="C575" s="31" t="n">
        <v>46240</v>
      </c>
      <c r="D575" s="30" t="s">
        <v>991</v>
      </c>
      <c r="E575" s="32" t="n">
        <v>1518</v>
      </c>
      <c r="F575" s="30" t="s">
        <v>51</v>
      </c>
      <c r="G575" s="30" t="s">
        <v>960</v>
      </c>
    </row>
    <row r="576" customFormat="false" ht="15" hidden="false" customHeight="false" outlineLevel="0" collapsed="false">
      <c r="B576" s="30" t="s">
        <v>1039</v>
      </c>
      <c r="C576" s="31" t="n">
        <v>46240</v>
      </c>
      <c r="D576" s="30" t="s">
        <v>991</v>
      </c>
      <c r="E576" s="32" t="n">
        <v>4500</v>
      </c>
      <c r="F576" s="30" t="s">
        <v>51</v>
      </c>
      <c r="G576" s="30" t="s">
        <v>960</v>
      </c>
    </row>
    <row r="577" customFormat="false" ht="15" hidden="false" customHeight="false" outlineLevel="0" collapsed="false">
      <c r="B577" s="30" t="s">
        <v>985</v>
      </c>
      <c r="C577" s="31" t="n">
        <v>46241</v>
      </c>
      <c r="D577" s="30" t="s">
        <v>991</v>
      </c>
      <c r="E577" s="32" t="n">
        <v>2500</v>
      </c>
      <c r="F577" s="30" t="s">
        <v>84</v>
      </c>
      <c r="G577" s="30" t="s">
        <v>960</v>
      </c>
    </row>
    <row r="578" customFormat="false" ht="15" hidden="false" customHeight="false" outlineLevel="0" collapsed="false">
      <c r="B578" s="30" t="s">
        <v>1042</v>
      </c>
      <c r="C578" s="31" t="n">
        <v>46241</v>
      </c>
      <c r="D578" s="30" t="s">
        <v>991</v>
      </c>
      <c r="E578" s="32" t="n">
        <v>3500</v>
      </c>
      <c r="F578" s="30" t="s">
        <v>81</v>
      </c>
      <c r="G578" s="30" t="s">
        <v>960</v>
      </c>
    </row>
    <row r="579" customFormat="false" ht="15" hidden="false" customHeight="false" outlineLevel="0" collapsed="false">
      <c r="B579" s="30" t="s">
        <v>1043</v>
      </c>
      <c r="C579" s="31" t="n">
        <v>46244</v>
      </c>
      <c r="D579" s="30" t="s">
        <v>991</v>
      </c>
      <c r="E579" s="32" t="n">
        <v>6484</v>
      </c>
      <c r="F579" s="30" t="s">
        <v>52</v>
      </c>
      <c r="G579" s="30" t="s">
        <v>960</v>
      </c>
    </row>
    <row r="580" customFormat="false" ht="15" hidden="false" customHeight="false" outlineLevel="0" collapsed="false">
      <c r="B580" s="30" t="s">
        <v>1014</v>
      </c>
      <c r="C580" s="31" t="n">
        <v>46244</v>
      </c>
      <c r="D580" s="30" t="s">
        <v>964</v>
      </c>
      <c r="E580" s="32" t="n">
        <v>1066</v>
      </c>
      <c r="F580" s="30" t="s">
        <v>26</v>
      </c>
      <c r="G580" s="30" t="s">
        <v>960</v>
      </c>
    </row>
    <row r="581" customFormat="false" ht="15" hidden="false" customHeight="false" outlineLevel="0" collapsed="false">
      <c r="B581" s="30" t="s">
        <v>1045</v>
      </c>
      <c r="C581" s="31" t="n">
        <v>46244</v>
      </c>
      <c r="D581" s="30" t="s">
        <v>988</v>
      </c>
      <c r="E581" s="32" t="n">
        <v>2055.6</v>
      </c>
      <c r="F581" s="30" t="s">
        <v>89</v>
      </c>
      <c r="G581" s="30" t="s">
        <v>960</v>
      </c>
    </row>
    <row r="582" customFormat="false" ht="15" hidden="false" customHeight="false" outlineLevel="0" collapsed="false">
      <c r="B582" s="30" t="s">
        <v>977</v>
      </c>
      <c r="C582" s="31" t="n">
        <v>46244</v>
      </c>
      <c r="D582" s="30" t="s">
        <v>991</v>
      </c>
      <c r="E582" s="32" t="n">
        <v>1100</v>
      </c>
      <c r="F582" s="30" t="s">
        <v>76</v>
      </c>
      <c r="G582" s="30" t="s">
        <v>960</v>
      </c>
    </row>
    <row r="583" customFormat="false" ht="15" hidden="false" customHeight="false" outlineLevel="0" collapsed="false">
      <c r="B583" s="30" t="s">
        <v>1010</v>
      </c>
      <c r="C583" s="31" t="n">
        <v>46244</v>
      </c>
      <c r="D583" s="30" t="s">
        <v>968</v>
      </c>
      <c r="E583" s="32" t="n">
        <v>600</v>
      </c>
      <c r="F583" s="30" t="s">
        <v>49</v>
      </c>
      <c r="G583" s="30" t="s">
        <v>960</v>
      </c>
    </row>
    <row r="584" customFormat="false" ht="15" hidden="false" customHeight="false" outlineLevel="0" collapsed="false">
      <c r="B584" s="30" t="s">
        <v>1015</v>
      </c>
      <c r="C584" s="31" t="n">
        <v>46245</v>
      </c>
      <c r="D584" s="30" t="s">
        <v>959</v>
      </c>
      <c r="E584" s="32" t="n">
        <v>900.76</v>
      </c>
      <c r="F584" s="30" t="s">
        <v>34</v>
      </c>
      <c r="G584" s="30" t="s">
        <v>960</v>
      </c>
    </row>
    <row r="585" customFormat="false" ht="15" hidden="false" customHeight="false" outlineLevel="0" collapsed="false">
      <c r="B585" s="30" t="s">
        <v>1014</v>
      </c>
      <c r="C585" s="31" t="n">
        <v>46246</v>
      </c>
      <c r="D585" s="30" t="s">
        <v>964</v>
      </c>
      <c r="E585" s="32" t="n">
        <v>2511.64</v>
      </c>
      <c r="F585" s="30" t="s">
        <v>26</v>
      </c>
      <c r="G585" s="30" t="s">
        <v>960</v>
      </c>
    </row>
    <row r="586" customFormat="false" ht="15" hidden="false" customHeight="false" outlineLevel="0" collapsed="false">
      <c r="B586" s="30" t="s">
        <v>1016</v>
      </c>
      <c r="C586" s="31" t="n">
        <v>46246</v>
      </c>
      <c r="D586" s="30" t="s">
        <v>968</v>
      </c>
      <c r="E586" s="32" t="n">
        <v>4500</v>
      </c>
      <c r="F586" s="30" t="s">
        <v>26</v>
      </c>
      <c r="G586" s="30" t="s">
        <v>960</v>
      </c>
    </row>
    <row r="587" customFormat="false" ht="15" hidden="false" customHeight="false" outlineLevel="0" collapsed="false">
      <c r="B587" s="30" t="s">
        <v>1016</v>
      </c>
      <c r="C587" s="31" t="n">
        <v>46246</v>
      </c>
      <c r="D587" s="30" t="s">
        <v>968</v>
      </c>
      <c r="E587" s="32" t="n">
        <v>4670</v>
      </c>
      <c r="F587" s="30" t="s">
        <v>26</v>
      </c>
      <c r="G587" s="30" t="s">
        <v>960</v>
      </c>
    </row>
    <row r="588" customFormat="false" ht="15" hidden="false" customHeight="false" outlineLevel="0" collapsed="false">
      <c r="B588" s="30" t="s">
        <v>1014</v>
      </c>
      <c r="C588" s="31" t="n">
        <v>46247</v>
      </c>
      <c r="D588" s="30" t="s">
        <v>968</v>
      </c>
      <c r="E588" s="32" t="n">
        <v>3600</v>
      </c>
      <c r="F588" s="30" t="s">
        <v>26</v>
      </c>
      <c r="G588" s="30" t="s">
        <v>960</v>
      </c>
    </row>
    <row r="589" customFormat="false" ht="15" hidden="false" customHeight="false" outlineLevel="0" collapsed="false">
      <c r="B589" s="30" t="s">
        <v>1019</v>
      </c>
      <c r="C589" s="31" t="n">
        <v>46249</v>
      </c>
      <c r="D589" s="30" t="s">
        <v>959</v>
      </c>
      <c r="E589" s="32" t="n">
        <v>350</v>
      </c>
      <c r="F589" s="30" t="s">
        <v>60</v>
      </c>
      <c r="G589" s="30" t="s">
        <v>960</v>
      </c>
    </row>
    <row r="590" customFormat="false" ht="15" hidden="false" customHeight="false" outlineLevel="0" collapsed="false">
      <c r="B590" s="30" t="s">
        <v>1018</v>
      </c>
      <c r="C590" s="31" t="n">
        <v>46249</v>
      </c>
      <c r="D590" s="30" t="s">
        <v>968</v>
      </c>
      <c r="E590" s="32" t="n">
        <v>3750</v>
      </c>
      <c r="F590" s="30" t="s">
        <v>26</v>
      </c>
      <c r="G590" s="30" t="s">
        <v>960</v>
      </c>
    </row>
    <row r="591" customFormat="false" ht="15" hidden="false" customHeight="false" outlineLevel="0" collapsed="false">
      <c r="B591" s="30" t="s">
        <v>1020</v>
      </c>
      <c r="C591" s="31" t="n">
        <v>46250</v>
      </c>
      <c r="D591" s="30" t="s">
        <v>973</v>
      </c>
      <c r="E591" s="32" t="n">
        <v>928.14</v>
      </c>
      <c r="F591" s="30" t="s">
        <v>64</v>
      </c>
      <c r="G591" s="30" t="s">
        <v>960</v>
      </c>
    </row>
    <row r="592" customFormat="false" ht="15" hidden="false" customHeight="false" outlineLevel="0" collapsed="false">
      <c r="B592" s="30" t="s">
        <v>1010</v>
      </c>
      <c r="C592" s="31" t="n">
        <v>46251</v>
      </c>
      <c r="D592" s="30" t="s">
        <v>968</v>
      </c>
      <c r="E592" s="32" t="n">
        <v>600</v>
      </c>
      <c r="F592" s="30" t="s">
        <v>49</v>
      </c>
      <c r="G592" s="30" t="s">
        <v>960</v>
      </c>
    </row>
    <row r="593" customFormat="false" ht="15" hidden="false" customHeight="false" outlineLevel="0" collapsed="false">
      <c r="B593" s="30" t="s">
        <v>1021</v>
      </c>
      <c r="C593" s="31" t="n">
        <v>46251</v>
      </c>
      <c r="D593" s="30" t="s">
        <v>959</v>
      </c>
      <c r="E593" s="32" t="n">
        <v>978.2</v>
      </c>
      <c r="F593" s="30" t="s">
        <v>26</v>
      </c>
      <c r="G593" s="30" t="s">
        <v>960</v>
      </c>
    </row>
    <row r="594" customFormat="false" ht="15" hidden="false" customHeight="false" outlineLevel="0" collapsed="false">
      <c r="B594" s="30" t="s">
        <v>1022</v>
      </c>
      <c r="C594" s="31" t="n">
        <v>46252</v>
      </c>
      <c r="D594" s="30" t="s">
        <v>968</v>
      </c>
      <c r="E594" s="32" t="n">
        <v>4220</v>
      </c>
      <c r="F594" s="30" t="s">
        <v>26</v>
      </c>
      <c r="G594" s="30" t="s">
        <v>960</v>
      </c>
    </row>
    <row r="595" customFormat="false" ht="15" hidden="false" customHeight="false" outlineLevel="0" collapsed="false">
      <c r="B595" s="30" t="s">
        <v>1018</v>
      </c>
      <c r="C595" s="31" t="n">
        <v>46252</v>
      </c>
      <c r="D595" s="30" t="s">
        <v>968</v>
      </c>
      <c r="E595" s="32" t="n">
        <v>4980</v>
      </c>
      <c r="F595" s="30" t="s">
        <v>26</v>
      </c>
      <c r="G595" s="30" t="s">
        <v>960</v>
      </c>
    </row>
    <row r="596" customFormat="false" ht="15" hidden="false" customHeight="false" outlineLevel="0" collapsed="false">
      <c r="B596" s="30" t="s">
        <v>1014</v>
      </c>
      <c r="C596" s="31" t="n">
        <v>46252</v>
      </c>
      <c r="D596" s="30" t="s">
        <v>964</v>
      </c>
      <c r="E596" s="32" t="n">
        <v>2975</v>
      </c>
      <c r="F596" s="30" t="s">
        <v>26</v>
      </c>
      <c r="G596" s="30" t="s">
        <v>960</v>
      </c>
    </row>
    <row r="597" customFormat="false" ht="15" hidden="false" customHeight="false" outlineLevel="0" collapsed="false">
      <c r="B597" s="30" t="s">
        <v>1014</v>
      </c>
      <c r="C597" s="31" t="n">
        <v>46253</v>
      </c>
      <c r="D597" s="30" t="s">
        <v>968</v>
      </c>
      <c r="E597" s="32" t="n">
        <v>4700</v>
      </c>
      <c r="F597" s="30" t="s">
        <v>26</v>
      </c>
      <c r="G597" s="30" t="s">
        <v>960</v>
      </c>
    </row>
    <row r="598" customFormat="false" ht="15" hidden="false" customHeight="false" outlineLevel="0" collapsed="false">
      <c r="B598" s="30" t="s">
        <v>1024</v>
      </c>
      <c r="C598" s="31" t="n">
        <v>46254</v>
      </c>
      <c r="D598" s="30" t="s">
        <v>991</v>
      </c>
      <c r="E598" s="32" t="n">
        <v>499.4</v>
      </c>
      <c r="F598" s="30" t="s">
        <v>948</v>
      </c>
      <c r="G598" s="30" t="s">
        <v>960</v>
      </c>
    </row>
    <row r="599" customFormat="false" ht="15" hidden="false" customHeight="false" outlineLevel="0" collapsed="false">
      <c r="B599" s="30" t="s">
        <v>1018</v>
      </c>
      <c r="C599" s="31" t="n">
        <v>46254</v>
      </c>
      <c r="D599" s="30" t="s">
        <v>968</v>
      </c>
      <c r="E599" s="32" t="n">
        <v>3750</v>
      </c>
      <c r="F599" s="30" t="s">
        <v>26</v>
      </c>
      <c r="G599" s="30" t="s">
        <v>960</v>
      </c>
    </row>
    <row r="600" customFormat="false" ht="15" hidden="false" customHeight="false" outlineLevel="0" collapsed="false">
      <c r="B600" s="30" t="s">
        <v>1030</v>
      </c>
      <c r="C600" s="31" t="n">
        <v>46254</v>
      </c>
      <c r="D600" s="30" t="s">
        <v>991</v>
      </c>
      <c r="E600" s="32" t="n">
        <v>550</v>
      </c>
      <c r="F600" s="30" t="s">
        <v>59</v>
      </c>
      <c r="G600" s="30" t="s">
        <v>960</v>
      </c>
    </row>
    <row r="601" customFormat="false" ht="15" hidden="false" customHeight="false" outlineLevel="0" collapsed="false">
      <c r="B601" s="30" t="s">
        <v>1026</v>
      </c>
      <c r="C601" s="31" t="n">
        <v>46254</v>
      </c>
      <c r="D601" s="30" t="s">
        <v>959</v>
      </c>
      <c r="E601" s="32" t="n">
        <v>270</v>
      </c>
      <c r="F601" s="30" t="s">
        <v>64</v>
      </c>
      <c r="G601" s="30" t="s">
        <v>960</v>
      </c>
    </row>
    <row r="602" customFormat="false" ht="15" hidden="false" customHeight="false" outlineLevel="0" collapsed="false">
      <c r="B602" s="30" t="s">
        <v>1031</v>
      </c>
      <c r="C602" s="31" t="n">
        <v>46254</v>
      </c>
      <c r="D602" s="30" t="s">
        <v>991</v>
      </c>
      <c r="E602" s="32" t="n">
        <v>500</v>
      </c>
      <c r="F602" s="30" t="s">
        <v>59</v>
      </c>
      <c r="G602" s="30" t="s">
        <v>960</v>
      </c>
    </row>
    <row r="603" customFormat="false" ht="15" hidden="false" customHeight="false" outlineLevel="0" collapsed="false">
      <c r="B603" s="30" t="s">
        <v>1023</v>
      </c>
      <c r="C603" s="31" t="n">
        <v>46254</v>
      </c>
      <c r="D603" s="30" t="s">
        <v>959</v>
      </c>
      <c r="E603" s="32" t="n">
        <v>248</v>
      </c>
      <c r="F603" s="30" t="s">
        <v>62</v>
      </c>
      <c r="G603" s="30" t="s">
        <v>960</v>
      </c>
    </row>
    <row r="604" customFormat="false" ht="15" hidden="false" customHeight="false" outlineLevel="0" collapsed="false">
      <c r="B604" s="30" t="s">
        <v>1024</v>
      </c>
      <c r="C604" s="31" t="n">
        <v>46254</v>
      </c>
      <c r="D604" s="30" t="s">
        <v>991</v>
      </c>
      <c r="E604" s="32" t="n">
        <v>2147</v>
      </c>
      <c r="F604" s="30" t="s">
        <v>1025</v>
      </c>
      <c r="G604" s="30" t="s">
        <v>960</v>
      </c>
    </row>
    <row r="605" customFormat="false" ht="15" hidden="false" customHeight="false" outlineLevel="0" collapsed="false">
      <c r="B605" s="30" t="s">
        <v>1032</v>
      </c>
      <c r="C605" s="31" t="n">
        <v>46254</v>
      </c>
      <c r="D605" s="30" t="s">
        <v>991</v>
      </c>
      <c r="E605" s="32" t="n">
        <v>300</v>
      </c>
      <c r="F605" s="30" t="s">
        <v>59</v>
      </c>
      <c r="G605" s="30" t="s">
        <v>960</v>
      </c>
    </row>
    <row r="606" customFormat="false" ht="15" hidden="false" customHeight="false" outlineLevel="0" collapsed="false">
      <c r="B606" s="30" t="s">
        <v>1033</v>
      </c>
      <c r="C606" s="31" t="n">
        <v>46254</v>
      </c>
      <c r="D606" s="30" t="s">
        <v>991</v>
      </c>
      <c r="E606" s="32" t="n">
        <v>300</v>
      </c>
      <c r="F606" s="30" t="s">
        <v>59</v>
      </c>
      <c r="G606" s="30" t="s">
        <v>960</v>
      </c>
    </row>
    <row r="607" customFormat="false" ht="15" hidden="false" customHeight="false" outlineLevel="0" collapsed="false">
      <c r="B607" s="30" t="s">
        <v>987</v>
      </c>
      <c r="C607" s="31" t="n">
        <v>46254</v>
      </c>
      <c r="D607" s="30" t="s">
        <v>988</v>
      </c>
      <c r="E607" s="32" t="n">
        <v>2088</v>
      </c>
      <c r="F607" s="30" t="s">
        <v>58</v>
      </c>
      <c r="G607" s="30" t="s">
        <v>960</v>
      </c>
    </row>
    <row r="608" customFormat="false" ht="15" hidden="false" customHeight="false" outlineLevel="0" collapsed="false">
      <c r="B608" s="30" t="s">
        <v>1029</v>
      </c>
      <c r="C608" s="31" t="n">
        <v>46254</v>
      </c>
      <c r="D608" s="30" t="s">
        <v>991</v>
      </c>
      <c r="E608" s="32" t="n">
        <v>500</v>
      </c>
      <c r="F608" s="30" t="s">
        <v>59</v>
      </c>
      <c r="G608" s="30" t="s">
        <v>960</v>
      </c>
    </row>
    <row r="609" customFormat="false" ht="15" hidden="false" customHeight="false" outlineLevel="0" collapsed="false">
      <c r="B609" s="30" t="s">
        <v>989</v>
      </c>
      <c r="C609" s="31" t="n">
        <v>46254</v>
      </c>
      <c r="D609" s="30" t="s">
        <v>959</v>
      </c>
      <c r="E609" s="32" t="n">
        <v>130</v>
      </c>
      <c r="F609" s="30" t="s">
        <v>65</v>
      </c>
      <c r="G609" s="30" t="s">
        <v>960</v>
      </c>
    </row>
    <row r="610" customFormat="false" ht="15" hidden="false" customHeight="false" outlineLevel="0" collapsed="false">
      <c r="B610" s="30" t="s">
        <v>1022</v>
      </c>
      <c r="C610" s="31" t="n">
        <v>46254</v>
      </c>
      <c r="D610" s="30" t="s">
        <v>964</v>
      </c>
      <c r="E610" s="32" t="n">
        <v>1980</v>
      </c>
      <c r="F610" s="30" t="s">
        <v>26</v>
      </c>
      <c r="G610" s="30" t="s">
        <v>960</v>
      </c>
    </row>
    <row r="611" customFormat="false" ht="15" hidden="false" customHeight="false" outlineLevel="0" collapsed="false">
      <c r="B611" s="30" t="s">
        <v>1027</v>
      </c>
      <c r="C611" s="31" t="n">
        <v>46254</v>
      </c>
      <c r="D611" s="30" t="s">
        <v>991</v>
      </c>
      <c r="E611" s="32" t="n">
        <v>200</v>
      </c>
      <c r="F611" s="30" t="s">
        <v>59</v>
      </c>
      <c r="G611" s="30" t="s">
        <v>960</v>
      </c>
    </row>
    <row r="612" customFormat="false" ht="15" hidden="false" customHeight="false" outlineLevel="0" collapsed="false">
      <c r="B612" s="30" t="s">
        <v>1028</v>
      </c>
      <c r="C612" s="31" t="n">
        <v>46254</v>
      </c>
      <c r="D612" s="30" t="s">
        <v>991</v>
      </c>
      <c r="E612" s="32" t="n">
        <v>400</v>
      </c>
      <c r="F612" s="30" t="s">
        <v>59</v>
      </c>
      <c r="G612" s="30" t="s">
        <v>960</v>
      </c>
    </row>
    <row r="613" customFormat="false" ht="15" hidden="false" customHeight="false" outlineLevel="0" collapsed="false">
      <c r="B613" s="30" t="s">
        <v>990</v>
      </c>
      <c r="C613" s="31" t="n">
        <v>46255</v>
      </c>
      <c r="D613" s="30" t="s">
        <v>988</v>
      </c>
      <c r="E613" s="32" t="n">
        <v>42329</v>
      </c>
      <c r="F613" s="30" t="s">
        <v>58</v>
      </c>
      <c r="G613" s="30" t="s">
        <v>960</v>
      </c>
    </row>
    <row r="614" customFormat="false" ht="15" hidden="false" customHeight="false" outlineLevel="0" collapsed="false">
      <c r="B614" s="30" t="s">
        <v>1014</v>
      </c>
      <c r="C614" s="31" t="n">
        <v>46255</v>
      </c>
      <c r="D614" s="30" t="s">
        <v>968</v>
      </c>
      <c r="E614" s="32" t="n">
        <v>3600</v>
      </c>
      <c r="F614" s="30" t="s">
        <v>26</v>
      </c>
      <c r="G614" s="30" t="s">
        <v>960</v>
      </c>
    </row>
    <row r="615" customFormat="false" ht="15" hidden="false" customHeight="false" outlineLevel="0" collapsed="false">
      <c r="B615" s="30" t="s">
        <v>1014</v>
      </c>
      <c r="C615" s="31" t="n">
        <v>46256</v>
      </c>
      <c r="D615" s="30" t="s">
        <v>968</v>
      </c>
      <c r="E615" s="32" t="n">
        <v>4500</v>
      </c>
      <c r="F615" s="30" t="s">
        <v>26</v>
      </c>
      <c r="G615" s="30" t="s">
        <v>960</v>
      </c>
    </row>
    <row r="616" customFormat="false" ht="15" hidden="false" customHeight="false" outlineLevel="0" collapsed="false">
      <c r="B616" s="30" t="s">
        <v>1018</v>
      </c>
      <c r="C616" s="31" t="n">
        <v>46256</v>
      </c>
      <c r="D616" s="30" t="s">
        <v>968</v>
      </c>
      <c r="E616" s="32" t="n">
        <v>4980</v>
      </c>
      <c r="F616" s="30" t="s">
        <v>26</v>
      </c>
      <c r="G616" s="30" t="s">
        <v>960</v>
      </c>
    </row>
    <row r="617" customFormat="false" ht="15" hidden="false" customHeight="false" outlineLevel="0" collapsed="false">
      <c r="B617" s="30" t="s">
        <v>1022</v>
      </c>
      <c r="C617" s="31" t="n">
        <v>46256</v>
      </c>
      <c r="D617" s="30" t="s">
        <v>964</v>
      </c>
      <c r="E617" s="32" t="n">
        <v>2695.54</v>
      </c>
      <c r="F617" s="30" t="s">
        <v>26</v>
      </c>
      <c r="G617" s="30" t="s">
        <v>960</v>
      </c>
    </row>
    <row r="618" customFormat="false" ht="15" hidden="false" customHeight="false" outlineLevel="0" collapsed="false">
      <c r="B618" s="30" t="s">
        <v>987</v>
      </c>
      <c r="C618" s="31" t="n">
        <v>46256</v>
      </c>
      <c r="D618" s="30" t="s">
        <v>988</v>
      </c>
      <c r="E618" s="32" t="n">
        <v>3127.85</v>
      </c>
      <c r="F618" s="30" t="s">
        <v>58</v>
      </c>
      <c r="G618" s="30" t="s">
        <v>960</v>
      </c>
    </row>
    <row r="619" customFormat="false" ht="15" hidden="false" customHeight="false" outlineLevel="0" collapsed="false">
      <c r="B619" s="30" t="s">
        <v>992</v>
      </c>
      <c r="C619" s="31" t="n">
        <v>46256</v>
      </c>
      <c r="D619" s="30" t="s">
        <v>988</v>
      </c>
      <c r="E619" s="32" t="n">
        <v>12013.66</v>
      </c>
      <c r="F619" s="30" t="s">
        <v>63</v>
      </c>
      <c r="G619" s="30" t="s">
        <v>960</v>
      </c>
    </row>
    <row r="620" customFormat="false" ht="15" hidden="false" customHeight="false" outlineLevel="0" collapsed="false">
      <c r="B620" s="30" t="s">
        <v>993</v>
      </c>
      <c r="C620" s="31" t="n">
        <v>46257</v>
      </c>
      <c r="D620" s="30" t="s">
        <v>988</v>
      </c>
      <c r="E620" s="32" t="n">
        <v>12445.02</v>
      </c>
      <c r="F620" s="30" t="s">
        <v>63</v>
      </c>
      <c r="G620" s="30" t="s">
        <v>960</v>
      </c>
    </row>
    <row r="621" customFormat="false" ht="15" hidden="false" customHeight="false" outlineLevel="0" collapsed="false">
      <c r="B621" s="30" t="s">
        <v>1010</v>
      </c>
      <c r="C621" s="31" t="n">
        <v>46258</v>
      </c>
      <c r="D621" s="30" t="s">
        <v>968</v>
      </c>
      <c r="E621" s="32" t="n">
        <v>600</v>
      </c>
      <c r="F621" s="30" t="s">
        <v>49</v>
      </c>
      <c r="G621" s="30" t="s">
        <v>960</v>
      </c>
    </row>
    <row r="622" customFormat="false" ht="15" hidden="false" customHeight="false" outlineLevel="0" collapsed="false">
      <c r="B622" s="30" t="s">
        <v>1022</v>
      </c>
      <c r="C622" s="31" t="n">
        <v>46258</v>
      </c>
      <c r="D622" s="30" t="s">
        <v>968</v>
      </c>
      <c r="E622" s="32" t="n">
        <v>4220</v>
      </c>
      <c r="F622" s="30" t="s">
        <v>26</v>
      </c>
      <c r="G622" s="30" t="s">
        <v>960</v>
      </c>
    </row>
    <row r="623" customFormat="false" ht="15" hidden="false" customHeight="false" outlineLevel="0" collapsed="false">
      <c r="B623" s="30" t="s">
        <v>1034</v>
      </c>
      <c r="C623" s="31" t="n">
        <v>46258</v>
      </c>
      <c r="D623" s="30" t="s">
        <v>988</v>
      </c>
      <c r="E623" s="32" t="n">
        <v>6000</v>
      </c>
      <c r="F623" s="30" t="s">
        <v>58</v>
      </c>
      <c r="G623" s="30" t="s">
        <v>960</v>
      </c>
    </row>
    <row r="624" customFormat="false" ht="15" hidden="false" customHeight="false" outlineLevel="0" collapsed="false">
      <c r="B624" s="30" t="s">
        <v>965</v>
      </c>
      <c r="C624" s="31" t="n">
        <v>46259</v>
      </c>
      <c r="D624" s="30" t="s">
        <v>964</v>
      </c>
      <c r="E624" s="32" t="n">
        <v>1471</v>
      </c>
      <c r="F624" s="30" t="s">
        <v>35</v>
      </c>
      <c r="G624" s="30" t="s">
        <v>960</v>
      </c>
    </row>
    <row r="625" customFormat="false" ht="15" hidden="false" customHeight="false" outlineLevel="0" collapsed="false">
      <c r="B625" s="30" t="s">
        <v>971</v>
      </c>
      <c r="C625" s="31" t="n">
        <v>46260</v>
      </c>
      <c r="D625" s="30" t="s">
        <v>968</v>
      </c>
      <c r="E625" s="32" t="n">
        <v>2760</v>
      </c>
      <c r="F625" s="30" t="s">
        <v>28</v>
      </c>
      <c r="G625" s="30" t="s">
        <v>960</v>
      </c>
    </row>
    <row r="626" customFormat="false" ht="15" hidden="false" customHeight="false" outlineLevel="0" collapsed="false">
      <c r="B626" s="30" t="s">
        <v>1013</v>
      </c>
      <c r="C626" s="31" t="n">
        <v>46260</v>
      </c>
      <c r="D626" s="30" t="s">
        <v>968</v>
      </c>
      <c r="E626" s="32" t="n">
        <v>1700</v>
      </c>
      <c r="F626" s="30" t="s">
        <v>28</v>
      </c>
      <c r="G626" s="30" t="s">
        <v>960</v>
      </c>
    </row>
    <row r="627" customFormat="false" ht="15" hidden="false" customHeight="false" outlineLevel="0" collapsed="false">
      <c r="B627" s="30" t="s">
        <v>1014</v>
      </c>
      <c r="C627" s="31" t="n">
        <v>46260</v>
      </c>
      <c r="D627" s="30" t="s">
        <v>968</v>
      </c>
      <c r="E627" s="32" t="n">
        <v>4500</v>
      </c>
      <c r="F627" s="30" t="s">
        <v>26</v>
      </c>
      <c r="G627" s="30" t="s">
        <v>960</v>
      </c>
    </row>
    <row r="628" customFormat="false" ht="15" hidden="false" customHeight="false" outlineLevel="0" collapsed="false">
      <c r="B628" s="30" t="s">
        <v>1035</v>
      </c>
      <c r="C628" s="31" t="n">
        <v>46261</v>
      </c>
      <c r="D628" s="30" t="s">
        <v>959</v>
      </c>
      <c r="E628" s="32" t="n">
        <v>450</v>
      </c>
      <c r="F628" s="30" t="s">
        <v>68</v>
      </c>
      <c r="G628" s="30" t="s">
        <v>960</v>
      </c>
    </row>
    <row r="629" customFormat="false" ht="15" hidden="false" customHeight="false" outlineLevel="0" collapsed="false">
      <c r="B629" s="30" t="s">
        <v>998</v>
      </c>
      <c r="C629" s="31" t="n">
        <v>46262</v>
      </c>
      <c r="D629" s="30" t="s">
        <v>959</v>
      </c>
      <c r="E629" s="32" t="n">
        <v>1272</v>
      </c>
      <c r="F629" s="30" t="s">
        <v>36</v>
      </c>
      <c r="G629" s="30" t="s">
        <v>960</v>
      </c>
    </row>
    <row r="630" customFormat="false" ht="15" hidden="false" customHeight="false" outlineLevel="0" collapsed="false">
      <c r="B630" s="30" t="s">
        <v>994</v>
      </c>
      <c r="C630" s="31" t="n">
        <v>46262</v>
      </c>
      <c r="D630" s="30" t="s">
        <v>988</v>
      </c>
      <c r="E630" s="32" t="n">
        <v>15436.91</v>
      </c>
      <c r="F630" s="30" t="s">
        <v>58</v>
      </c>
      <c r="G630" s="30" t="s">
        <v>960</v>
      </c>
    </row>
    <row r="631" customFormat="false" ht="15" hidden="false" customHeight="false" outlineLevel="0" collapsed="false">
      <c r="B631" s="30" t="s">
        <v>1036</v>
      </c>
      <c r="C631" s="31" t="n">
        <v>46262</v>
      </c>
      <c r="D631" s="30" t="s">
        <v>959</v>
      </c>
      <c r="E631" s="32" t="n">
        <v>280</v>
      </c>
      <c r="F631" s="30" t="s">
        <v>69</v>
      </c>
      <c r="G631" s="30" t="s">
        <v>960</v>
      </c>
    </row>
    <row r="632" customFormat="false" ht="15" hidden="false" customHeight="false" outlineLevel="0" collapsed="false">
      <c r="B632" s="30" t="s">
        <v>1014</v>
      </c>
      <c r="C632" s="31" t="n">
        <v>46263</v>
      </c>
      <c r="D632" s="30" t="s">
        <v>968</v>
      </c>
      <c r="E632" s="32" t="n">
        <v>4847</v>
      </c>
      <c r="F632" s="30" t="s">
        <v>26</v>
      </c>
      <c r="G632" s="30" t="s">
        <v>960</v>
      </c>
    </row>
    <row r="633" customFormat="false" ht="15" hidden="false" customHeight="false" outlineLevel="0" collapsed="false">
      <c r="B633" s="30" t="s">
        <v>969</v>
      </c>
      <c r="C633" s="31" t="n">
        <v>46264</v>
      </c>
      <c r="D633" s="30" t="s">
        <v>964</v>
      </c>
      <c r="E633" s="32" t="n">
        <v>3000</v>
      </c>
      <c r="F633" s="30" t="s">
        <v>28</v>
      </c>
      <c r="G633" s="30" t="s">
        <v>960</v>
      </c>
    </row>
    <row r="634" customFormat="false" ht="15" hidden="false" customHeight="false" outlineLevel="0" collapsed="false">
      <c r="B634" s="30" t="s">
        <v>1013</v>
      </c>
      <c r="C634" s="31" t="n">
        <v>46264</v>
      </c>
      <c r="D634" s="30" t="s">
        <v>968</v>
      </c>
      <c r="E634" s="32" t="n">
        <v>1679.4</v>
      </c>
      <c r="F634" s="30" t="s">
        <v>28</v>
      </c>
      <c r="G634" s="30" t="s">
        <v>960</v>
      </c>
    </row>
    <row r="635" customFormat="false" ht="15" hidden="false" customHeight="false" outlineLevel="0" collapsed="false">
      <c r="B635" s="30" t="s">
        <v>1014</v>
      </c>
      <c r="C635" s="31" t="n">
        <v>46264</v>
      </c>
      <c r="D635" s="30" t="s">
        <v>968</v>
      </c>
      <c r="E635" s="32" t="n">
        <v>4500</v>
      </c>
      <c r="F635" s="30" t="s">
        <v>26</v>
      </c>
      <c r="G635" s="30" t="s">
        <v>960</v>
      </c>
    </row>
    <row r="636" customFormat="false" ht="15" hidden="false" customHeight="false" outlineLevel="0" collapsed="false">
      <c r="B636" s="30" t="s">
        <v>1022</v>
      </c>
      <c r="C636" s="31" t="n">
        <v>46264</v>
      </c>
      <c r="D636" s="30" t="s">
        <v>968</v>
      </c>
      <c r="E636" s="32" t="n">
        <v>4220</v>
      </c>
      <c r="F636" s="30" t="s">
        <v>26</v>
      </c>
      <c r="G636" s="30" t="s">
        <v>960</v>
      </c>
    </row>
    <row r="637" customFormat="false" ht="15" hidden="false" customHeight="false" outlineLevel="0" collapsed="false">
      <c r="B637" s="30" t="s">
        <v>1010</v>
      </c>
      <c r="C637" s="31" t="n">
        <v>46265</v>
      </c>
      <c r="D637" s="30" t="s">
        <v>968</v>
      </c>
      <c r="E637" s="32" t="n">
        <v>600</v>
      </c>
      <c r="F637" s="30" t="s">
        <v>49</v>
      </c>
      <c r="G637" s="30" t="s">
        <v>960</v>
      </c>
    </row>
    <row r="638" customFormat="false" ht="15" hidden="false" customHeight="false" outlineLevel="0" collapsed="false">
      <c r="B638" s="30" t="s">
        <v>1009</v>
      </c>
      <c r="C638" s="31" t="n">
        <v>46266</v>
      </c>
      <c r="D638" s="30" t="s">
        <v>988</v>
      </c>
      <c r="E638" s="32" t="n">
        <v>20101.44</v>
      </c>
      <c r="F638" s="30" t="s">
        <v>58</v>
      </c>
      <c r="G638" s="30" t="s">
        <v>960</v>
      </c>
    </row>
    <row r="639" customFormat="false" ht="15" hidden="false" customHeight="false" outlineLevel="0" collapsed="false">
      <c r="B639" s="30" t="s">
        <v>1024</v>
      </c>
      <c r="C639" s="31" t="n">
        <v>46266</v>
      </c>
      <c r="D639" s="30" t="s">
        <v>991</v>
      </c>
      <c r="E639" s="32" t="n">
        <v>1397</v>
      </c>
      <c r="F639" s="30" t="s">
        <v>1037</v>
      </c>
      <c r="G639" s="30" t="s">
        <v>960</v>
      </c>
    </row>
    <row r="640" customFormat="false" ht="15" hidden="false" customHeight="false" outlineLevel="0" collapsed="false">
      <c r="B640" s="30" t="s">
        <v>1014</v>
      </c>
      <c r="C640" s="31" t="n">
        <v>46270</v>
      </c>
      <c r="D640" s="30" t="s">
        <v>964</v>
      </c>
      <c r="E640" s="32" t="n">
        <v>553.75</v>
      </c>
      <c r="F640" s="30" t="s">
        <v>26</v>
      </c>
      <c r="G640" s="30" t="s">
        <v>960</v>
      </c>
    </row>
    <row r="641" customFormat="false" ht="15" hidden="false" customHeight="false" outlineLevel="0" collapsed="false">
      <c r="B641" s="30" t="s">
        <v>1005</v>
      </c>
      <c r="C641" s="31" t="n">
        <v>46270</v>
      </c>
      <c r="D641" s="30" t="s">
        <v>991</v>
      </c>
      <c r="E641" s="32" t="n">
        <v>90</v>
      </c>
      <c r="F641" s="30" t="s">
        <v>78</v>
      </c>
      <c r="G641" s="30" t="s">
        <v>960</v>
      </c>
    </row>
    <row r="642" customFormat="false" ht="15" hidden="false" customHeight="false" outlineLevel="0" collapsed="false">
      <c r="B642" s="30" t="s">
        <v>1039</v>
      </c>
      <c r="C642" s="31" t="n">
        <v>46271</v>
      </c>
      <c r="D642" s="30" t="s">
        <v>991</v>
      </c>
      <c r="E642" s="32" t="n">
        <v>4500</v>
      </c>
      <c r="F642" s="30" t="s">
        <v>51</v>
      </c>
      <c r="G642" s="30" t="s">
        <v>960</v>
      </c>
    </row>
    <row r="643" customFormat="false" ht="15" hidden="false" customHeight="false" outlineLevel="0" collapsed="false">
      <c r="B643" s="30" t="s">
        <v>1029</v>
      </c>
      <c r="C643" s="31" t="n">
        <v>46271</v>
      </c>
      <c r="D643" s="30" t="s">
        <v>991</v>
      </c>
      <c r="E643" s="32" t="n">
        <v>1518</v>
      </c>
      <c r="F643" s="30" t="s">
        <v>51</v>
      </c>
      <c r="G643" s="30" t="s">
        <v>960</v>
      </c>
    </row>
    <row r="644" customFormat="false" ht="15" hidden="false" customHeight="false" outlineLevel="0" collapsed="false">
      <c r="B644" s="30" t="s">
        <v>1028</v>
      </c>
      <c r="C644" s="31" t="n">
        <v>46271</v>
      </c>
      <c r="D644" s="30" t="s">
        <v>991</v>
      </c>
      <c r="E644" s="32" t="n">
        <v>1518</v>
      </c>
      <c r="F644" s="30" t="s">
        <v>51</v>
      </c>
      <c r="G644" s="30" t="s">
        <v>960</v>
      </c>
    </row>
    <row r="645" customFormat="false" ht="15" hidden="false" customHeight="false" outlineLevel="0" collapsed="false">
      <c r="B645" s="30" t="s">
        <v>1030</v>
      </c>
      <c r="C645" s="31" t="n">
        <v>46271</v>
      </c>
      <c r="D645" s="30" t="s">
        <v>991</v>
      </c>
      <c r="E645" s="32" t="n">
        <v>2542</v>
      </c>
      <c r="F645" s="30" t="s">
        <v>51</v>
      </c>
      <c r="G645" s="30" t="s">
        <v>960</v>
      </c>
    </row>
    <row r="646" customFormat="false" ht="15" hidden="false" customHeight="false" outlineLevel="0" collapsed="false">
      <c r="B646" s="30" t="s">
        <v>1032</v>
      </c>
      <c r="C646" s="31" t="n">
        <v>46271</v>
      </c>
      <c r="D646" s="30" t="s">
        <v>991</v>
      </c>
      <c r="E646" s="32" t="n">
        <v>2000</v>
      </c>
      <c r="F646" s="30" t="s">
        <v>51</v>
      </c>
      <c r="G646" s="30" t="s">
        <v>960</v>
      </c>
    </row>
    <row r="647" customFormat="false" ht="15" hidden="false" customHeight="false" outlineLevel="0" collapsed="false">
      <c r="B647" s="30" t="s">
        <v>1038</v>
      </c>
      <c r="C647" s="31" t="n">
        <v>46271</v>
      </c>
      <c r="D647" s="30" t="s">
        <v>991</v>
      </c>
      <c r="E647" s="32" t="n">
        <v>6484</v>
      </c>
      <c r="F647" s="30" t="s">
        <v>51</v>
      </c>
      <c r="G647" s="30" t="s">
        <v>960</v>
      </c>
    </row>
    <row r="648" customFormat="false" ht="15" hidden="false" customHeight="false" outlineLevel="0" collapsed="false">
      <c r="B648" s="30" t="s">
        <v>1041</v>
      </c>
      <c r="C648" s="31" t="n">
        <v>46271</v>
      </c>
      <c r="D648" s="30" t="s">
        <v>991</v>
      </c>
      <c r="E648" s="32" t="n">
        <v>4200</v>
      </c>
      <c r="F648" s="30" t="s">
        <v>51</v>
      </c>
      <c r="G648" s="30" t="s">
        <v>960</v>
      </c>
    </row>
    <row r="649" customFormat="false" ht="15" hidden="false" customHeight="false" outlineLevel="0" collapsed="false">
      <c r="B649" s="30" t="s">
        <v>1027</v>
      </c>
      <c r="C649" s="31" t="n">
        <v>46271</v>
      </c>
      <c r="D649" s="30" t="s">
        <v>991</v>
      </c>
      <c r="E649" s="32" t="n">
        <v>1612.82</v>
      </c>
      <c r="F649" s="30" t="s">
        <v>51</v>
      </c>
      <c r="G649" s="30" t="s">
        <v>960</v>
      </c>
    </row>
    <row r="650" customFormat="false" ht="15" hidden="false" customHeight="false" outlineLevel="0" collapsed="false">
      <c r="B650" s="30" t="s">
        <v>1031</v>
      </c>
      <c r="C650" s="31" t="n">
        <v>46271</v>
      </c>
      <c r="D650" s="30" t="s">
        <v>991</v>
      </c>
      <c r="E650" s="32" t="n">
        <v>1781.5</v>
      </c>
      <c r="F650" s="30" t="s">
        <v>51</v>
      </c>
      <c r="G650" s="30" t="s">
        <v>960</v>
      </c>
    </row>
    <row r="651" customFormat="false" ht="15" hidden="false" customHeight="false" outlineLevel="0" collapsed="false">
      <c r="B651" s="30" t="s">
        <v>1017</v>
      </c>
      <c r="C651" s="31" t="n">
        <v>46271</v>
      </c>
      <c r="D651" s="30" t="s">
        <v>991</v>
      </c>
      <c r="E651" s="32" t="n">
        <v>2300</v>
      </c>
      <c r="F651" s="30" t="s">
        <v>51</v>
      </c>
      <c r="G651" s="30" t="s">
        <v>960</v>
      </c>
    </row>
    <row r="652" customFormat="false" ht="15" hidden="false" customHeight="false" outlineLevel="0" collapsed="false">
      <c r="B652" s="30" t="s">
        <v>1033</v>
      </c>
      <c r="C652" s="31" t="n">
        <v>46271</v>
      </c>
      <c r="D652" s="30" t="s">
        <v>991</v>
      </c>
      <c r="E652" s="32" t="n">
        <v>1312.82</v>
      </c>
      <c r="F652" s="30" t="s">
        <v>51</v>
      </c>
      <c r="G652" s="30" t="s">
        <v>960</v>
      </c>
    </row>
    <row r="653" customFormat="false" ht="15" hidden="false" customHeight="false" outlineLevel="0" collapsed="false">
      <c r="B653" s="30" t="s">
        <v>1010</v>
      </c>
      <c r="C653" s="31" t="n">
        <v>46272</v>
      </c>
      <c r="D653" s="30" t="s">
        <v>968</v>
      </c>
      <c r="E653" s="32" t="n">
        <v>600</v>
      </c>
      <c r="F653" s="30" t="s">
        <v>49</v>
      </c>
      <c r="G653" s="30" t="s">
        <v>960</v>
      </c>
    </row>
    <row r="654" customFormat="false" ht="15" hidden="false" customHeight="false" outlineLevel="0" collapsed="false">
      <c r="B654" s="30" t="s">
        <v>985</v>
      </c>
      <c r="C654" s="31" t="n">
        <v>46272</v>
      </c>
      <c r="D654" s="30" t="s">
        <v>991</v>
      </c>
      <c r="E654" s="32" t="n">
        <v>2500</v>
      </c>
      <c r="F654" s="30" t="s">
        <v>84</v>
      </c>
      <c r="G654" s="30" t="s">
        <v>960</v>
      </c>
    </row>
    <row r="655" customFormat="false" ht="15" hidden="false" customHeight="false" outlineLevel="0" collapsed="false">
      <c r="B655" s="30" t="s">
        <v>1042</v>
      </c>
      <c r="C655" s="31" t="n">
        <v>46272</v>
      </c>
      <c r="D655" s="30" t="s">
        <v>991</v>
      </c>
      <c r="E655" s="32" t="n">
        <v>3500</v>
      </c>
      <c r="F655" s="30" t="s">
        <v>81</v>
      </c>
      <c r="G655" s="30" t="s">
        <v>960</v>
      </c>
    </row>
    <row r="656" customFormat="false" ht="15" hidden="false" customHeight="false" outlineLevel="0" collapsed="false">
      <c r="B656" s="30" t="s">
        <v>1043</v>
      </c>
      <c r="C656" s="31" t="n">
        <v>46275</v>
      </c>
      <c r="D656" s="30" t="s">
        <v>991</v>
      </c>
      <c r="E656" s="32" t="n">
        <v>6484</v>
      </c>
      <c r="F656" s="30" t="s">
        <v>52</v>
      </c>
      <c r="G656" s="30" t="s">
        <v>960</v>
      </c>
    </row>
    <row r="657" customFormat="false" ht="15" hidden="false" customHeight="false" outlineLevel="0" collapsed="false">
      <c r="B657" s="30" t="s">
        <v>977</v>
      </c>
      <c r="C657" s="31" t="n">
        <v>46275</v>
      </c>
      <c r="D657" s="30" t="s">
        <v>991</v>
      </c>
      <c r="E657" s="32" t="n">
        <v>1100</v>
      </c>
      <c r="F657" s="30" t="s">
        <v>76</v>
      </c>
      <c r="G657" s="30" t="s">
        <v>960</v>
      </c>
    </row>
    <row r="658" customFormat="false" ht="15" hidden="false" customHeight="false" outlineLevel="0" collapsed="false">
      <c r="B658" s="30" t="s">
        <v>1045</v>
      </c>
      <c r="C658" s="31" t="n">
        <v>46275</v>
      </c>
      <c r="D658" s="30" t="s">
        <v>988</v>
      </c>
      <c r="E658" s="32" t="n">
        <v>2055.6</v>
      </c>
      <c r="F658" s="30" t="s">
        <v>89</v>
      </c>
      <c r="G658" s="30" t="s">
        <v>960</v>
      </c>
    </row>
    <row r="659" customFormat="false" ht="15" hidden="false" customHeight="false" outlineLevel="0" collapsed="false">
      <c r="B659" s="30" t="s">
        <v>1016</v>
      </c>
      <c r="C659" s="31" t="n">
        <v>46277</v>
      </c>
      <c r="D659" s="30" t="s">
        <v>968</v>
      </c>
      <c r="E659" s="32" t="n">
        <v>4670</v>
      </c>
      <c r="F659" s="30" t="s">
        <v>26</v>
      </c>
      <c r="G659" s="30" t="s">
        <v>960</v>
      </c>
    </row>
    <row r="660" customFormat="false" ht="15" hidden="false" customHeight="false" outlineLevel="0" collapsed="false">
      <c r="B660" s="30" t="s">
        <v>1016</v>
      </c>
      <c r="C660" s="31" t="n">
        <v>46277</v>
      </c>
      <c r="D660" s="30" t="s">
        <v>968</v>
      </c>
      <c r="E660" s="32" t="n">
        <v>4500</v>
      </c>
      <c r="F660" s="30" t="s">
        <v>26</v>
      </c>
      <c r="G660" s="30" t="s">
        <v>960</v>
      </c>
    </row>
    <row r="661" customFormat="false" ht="15" hidden="false" customHeight="false" outlineLevel="0" collapsed="false">
      <c r="B661" s="30" t="s">
        <v>1014</v>
      </c>
      <c r="C661" s="31" t="n">
        <v>46278</v>
      </c>
      <c r="D661" s="30" t="s">
        <v>968</v>
      </c>
      <c r="E661" s="32" t="n">
        <v>3600</v>
      </c>
      <c r="F661" s="30" t="s">
        <v>26</v>
      </c>
      <c r="G661" s="30" t="s">
        <v>960</v>
      </c>
    </row>
    <row r="662" customFormat="false" ht="15" hidden="false" customHeight="false" outlineLevel="0" collapsed="false">
      <c r="B662" s="30" t="s">
        <v>1010</v>
      </c>
      <c r="C662" s="31" t="n">
        <v>46279</v>
      </c>
      <c r="D662" s="30" t="s">
        <v>968</v>
      </c>
      <c r="E662" s="32" t="n">
        <v>600</v>
      </c>
      <c r="F662" s="30" t="s">
        <v>49</v>
      </c>
      <c r="G662" s="30" t="s">
        <v>960</v>
      </c>
    </row>
    <row r="663" customFormat="false" ht="15" hidden="false" customHeight="false" outlineLevel="0" collapsed="false">
      <c r="B663" s="30" t="s">
        <v>1019</v>
      </c>
      <c r="C663" s="31" t="n">
        <v>46280</v>
      </c>
      <c r="D663" s="30" t="s">
        <v>959</v>
      </c>
      <c r="E663" s="32" t="n">
        <v>350</v>
      </c>
      <c r="F663" s="30" t="s">
        <v>60</v>
      </c>
      <c r="G663" s="30" t="s">
        <v>960</v>
      </c>
    </row>
    <row r="664" customFormat="false" ht="15" hidden="false" customHeight="false" outlineLevel="0" collapsed="false">
      <c r="B664" s="30" t="s">
        <v>1020</v>
      </c>
      <c r="C664" s="31" t="n">
        <v>46281</v>
      </c>
      <c r="D664" s="30" t="s">
        <v>973</v>
      </c>
      <c r="E664" s="32" t="n">
        <v>928.14</v>
      </c>
      <c r="F664" s="30" t="s">
        <v>64</v>
      </c>
      <c r="G664" s="30" t="s">
        <v>960</v>
      </c>
    </row>
    <row r="665" customFormat="false" ht="15" hidden="false" customHeight="false" outlineLevel="0" collapsed="false">
      <c r="B665" s="30" t="s">
        <v>1013</v>
      </c>
      <c r="C665" s="31" t="n">
        <v>46283</v>
      </c>
      <c r="D665" s="30" t="s">
        <v>968</v>
      </c>
      <c r="E665" s="32" t="n">
        <v>1730.1</v>
      </c>
      <c r="F665" s="30" t="s">
        <v>28</v>
      </c>
      <c r="G665" s="30" t="s">
        <v>960</v>
      </c>
    </row>
    <row r="666" customFormat="false" ht="15" hidden="false" customHeight="false" outlineLevel="0" collapsed="false">
      <c r="B666" s="30" t="s">
        <v>1018</v>
      </c>
      <c r="C666" s="31" t="n">
        <v>46283</v>
      </c>
      <c r="D666" s="30" t="s">
        <v>968</v>
      </c>
      <c r="E666" s="32" t="n">
        <v>4980</v>
      </c>
      <c r="F666" s="30" t="s">
        <v>26</v>
      </c>
      <c r="G666" s="30" t="s">
        <v>960</v>
      </c>
    </row>
    <row r="667" customFormat="false" ht="15" hidden="false" customHeight="false" outlineLevel="0" collapsed="false">
      <c r="B667" s="30" t="s">
        <v>1014</v>
      </c>
      <c r="C667" s="31" t="n">
        <v>46283</v>
      </c>
      <c r="D667" s="30" t="s">
        <v>964</v>
      </c>
      <c r="E667" s="32" t="n">
        <v>2975</v>
      </c>
      <c r="F667" s="30" t="s">
        <v>26</v>
      </c>
      <c r="G667" s="30" t="s">
        <v>960</v>
      </c>
    </row>
    <row r="668" customFormat="false" ht="15" hidden="false" customHeight="false" outlineLevel="0" collapsed="false">
      <c r="B668" s="30" t="s">
        <v>1024</v>
      </c>
      <c r="C668" s="31" t="n">
        <v>46285</v>
      </c>
      <c r="D668" s="30" t="s">
        <v>991</v>
      </c>
      <c r="E668" s="32" t="n">
        <v>499.4</v>
      </c>
      <c r="F668" s="30" t="s">
        <v>948</v>
      </c>
      <c r="G668" s="30" t="s">
        <v>960</v>
      </c>
    </row>
    <row r="669" customFormat="false" ht="15" hidden="false" customHeight="false" outlineLevel="0" collapsed="false">
      <c r="B669" s="30" t="s">
        <v>1031</v>
      </c>
      <c r="C669" s="31" t="n">
        <v>46285</v>
      </c>
      <c r="D669" s="30" t="s">
        <v>991</v>
      </c>
      <c r="E669" s="32" t="n">
        <v>500</v>
      </c>
      <c r="F669" s="30" t="s">
        <v>59</v>
      </c>
      <c r="G669" s="30" t="s">
        <v>960</v>
      </c>
    </row>
    <row r="670" customFormat="false" ht="15" hidden="false" customHeight="false" outlineLevel="0" collapsed="false">
      <c r="B670" s="30" t="s">
        <v>1024</v>
      </c>
      <c r="C670" s="31" t="n">
        <v>46285</v>
      </c>
      <c r="D670" s="30" t="s">
        <v>991</v>
      </c>
      <c r="E670" s="32" t="n">
        <v>2147</v>
      </c>
      <c r="F670" s="30" t="s">
        <v>1025</v>
      </c>
      <c r="G670" s="30" t="s">
        <v>960</v>
      </c>
    </row>
    <row r="671" customFormat="false" ht="15" hidden="false" customHeight="false" outlineLevel="0" collapsed="false">
      <c r="B671" s="30" t="s">
        <v>1033</v>
      </c>
      <c r="C671" s="31" t="n">
        <v>46285</v>
      </c>
      <c r="D671" s="30" t="s">
        <v>991</v>
      </c>
      <c r="E671" s="32" t="n">
        <v>300</v>
      </c>
      <c r="F671" s="30" t="s">
        <v>59</v>
      </c>
      <c r="G671" s="30" t="s">
        <v>960</v>
      </c>
    </row>
    <row r="672" customFormat="false" ht="15" hidden="false" customHeight="false" outlineLevel="0" collapsed="false">
      <c r="B672" s="30" t="s">
        <v>1029</v>
      </c>
      <c r="C672" s="31" t="n">
        <v>46285</v>
      </c>
      <c r="D672" s="30" t="s">
        <v>991</v>
      </c>
      <c r="E672" s="32" t="n">
        <v>500</v>
      </c>
      <c r="F672" s="30" t="s">
        <v>59</v>
      </c>
      <c r="G672" s="30" t="s">
        <v>960</v>
      </c>
    </row>
    <row r="673" customFormat="false" ht="15" hidden="false" customHeight="false" outlineLevel="0" collapsed="false">
      <c r="B673" s="30" t="s">
        <v>1028</v>
      </c>
      <c r="C673" s="31" t="n">
        <v>46285</v>
      </c>
      <c r="D673" s="30" t="s">
        <v>991</v>
      </c>
      <c r="E673" s="32" t="n">
        <v>400</v>
      </c>
      <c r="F673" s="30" t="s">
        <v>59</v>
      </c>
      <c r="G673" s="30" t="s">
        <v>960</v>
      </c>
    </row>
    <row r="674" customFormat="false" ht="15" hidden="false" customHeight="false" outlineLevel="0" collapsed="false">
      <c r="B674" s="30" t="s">
        <v>1032</v>
      </c>
      <c r="C674" s="31" t="n">
        <v>46285</v>
      </c>
      <c r="D674" s="30" t="s">
        <v>991</v>
      </c>
      <c r="E674" s="32" t="n">
        <v>300</v>
      </c>
      <c r="F674" s="30" t="s">
        <v>59</v>
      </c>
      <c r="G674" s="30" t="s">
        <v>960</v>
      </c>
    </row>
    <row r="675" customFormat="false" ht="15" hidden="false" customHeight="false" outlineLevel="0" collapsed="false">
      <c r="B675" s="30" t="s">
        <v>1030</v>
      </c>
      <c r="C675" s="31" t="n">
        <v>46285</v>
      </c>
      <c r="D675" s="30" t="s">
        <v>991</v>
      </c>
      <c r="E675" s="32" t="n">
        <v>550</v>
      </c>
      <c r="F675" s="30" t="s">
        <v>59</v>
      </c>
      <c r="G675" s="30" t="s">
        <v>960</v>
      </c>
    </row>
    <row r="676" customFormat="false" ht="15" hidden="false" customHeight="false" outlineLevel="0" collapsed="false">
      <c r="B676" s="30" t="s">
        <v>1027</v>
      </c>
      <c r="C676" s="31" t="n">
        <v>46285</v>
      </c>
      <c r="D676" s="30" t="s">
        <v>991</v>
      </c>
      <c r="E676" s="32" t="n">
        <v>200</v>
      </c>
      <c r="F676" s="30" t="s">
        <v>59</v>
      </c>
      <c r="G676" s="30" t="s">
        <v>960</v>
      </c>
    </row>
    <row r="677" customFormat="false" ht="15" hidden="false" customHeight="false" outlineLevel="0" collapsed="false">
      <c r="B677" s="30" t="s">
        <v>987</v>
      </c>
      <c r="C677" s="31" t="n">
        <v>46285</v>
      </c>
      <c r="D677" s="30" t="s">
        <v>988</v>
      </c>
      <c r="E677" s="32" t="n">
        <v>2088</v>
      </c>
      <c r="F677" s="30" t="s">
        <v>58</v>
      </c>
      <c r="G677" s="30" t="s">
        <v>960</v>
      </c>
    </row>
    <row r="678" customFormat="false" ht="15" hidden="false" customHeight="false" outlineLevel="0" collapsed="false">
      <c r="B678" s="30" t="s">
        <v>1023</v>
      </c>
      <c r="C678" s="31" t="n">
        <v>46285</v>
      </c>
      <c r="D678" s="30" t="s">
        <v>959</v>
      </c>
      <c r="E678" s="32" t="n">
        <v>248</v>
      </c>
      <c r="F678" s="30" t="s">
        <v>62</v>
      </c>
      <c r="G678" s="30" t="s">
        <v>960</v>
      </c>
    </row>
    <row r="679" customFormat="false" ht="15" hidden="false" customHeight="false" outlineLevel="0" collapsed="false">
      <c r="B679" s="30" t="s">
        <v>1026</v>
      </c>
      <c r="C679" s="31" t="n">
        <v>46285</v>
      </c>
      <c r="D679" s="30" t="s">
        <v>959</v>
      </c>
      <c r="E679" s="32" t="n">
        <v>270</v>
      </c>
      <c r="F679" s="30" t="s">
        <v>64</v>
      </c>
      <c r="G679" s="30" t="s">
        <v>960</v>
      </c>
    </row>
    <row r="680" customFormat="false" ht="15" hidden="false" customHeight="false" outlineLevel="0" collapsed="false">
      <c r="B680" s="30" t="s">
        <v>989</v>
      </c>
      <c r="C680" s="31" t="n">
        <v>46285</v>
      </c>
      <c r="D680" s="30" t="s">
        <v>959</v>
      </c>
      <c r="E680" s="32" t="n">
        <v>130</v>
      </c>
      <c r="F680" s="30" t="s">
        <v>65</v>
      </c>
      <c r="G680" s="30" t="s">
        <v>960</v>
      </c>
    </row>
    <row r="681" customFormat="false" ht="15" hidden="false" customHeight="false" outlineLevel="0" collapsed="false">
      <c r="B681" s="30" t="s">
        <v>1014</v>
      </c>
      <c r="C681" s="31" t="n">
        <v>46285</v>
      </c>
      <c r="D681" s="30" t="s">
        <v>968</v>
      </c>
      <c r="E681" s="32" t="n">
        <v>2700</v>
      </c>
      <c r="F681" s="30" t="s">
        <v>26</v>
      </c>
      <c r="G681" s="30" t="s">
        <v>960</v>
      </c>
    </row>
    <row r="682" customFormat="false" ht="15" hidden="false" customHeight="false" outlineLevel="0" collapsed="false">
      <c r="B682" s="30" t="s">
        <v>1014</v>
      </c>
      <c r="C682" s="31" t="n">
        <v>46286</v>
      </c>
      <c r="D682" s="30" t="s">
        <v>968</v>
      </c>
      <c r="E682" s="32" t="n">
        <v>3693</v>
      </c>
      <c r="F682" s="30" t="s">
        <v>26</v>
      </c>
      <c r="G682" s="30" t="s">
        <v>960</v>
      </c>
    </row>
    <row r="683" customFormat="false" ht="15" hidden="false" customHeight="false" outlineLevel="0" collapsed="false">
      <c r="B683" s="30" t="s">
        <v>1010</v>
      </c>
      <c r="C683" s="31" t="n">
        <v>46286</v>
      </c>
      <c r="D683" s="30" t="s">
        <v>968</v>
      </c>
      <c r="E683" s="32" t="n">
        <v>600</v>
      </c>
      <c r="F683" s="30" t="s">
        <v>49</v>
      </c>
      <c r="G683" s="30" t="s">
        <v>960</v>
      </c>
    </row>
    <row r="684" customFormat="false" ht="15" hidden="false" customHeight="false" outlineLevel="0" collapsed="false">
      <c r="B684" s="30" t="s">
        <v>990</v>
      </c>
      <c r="C684" s="31" t="n">
        <v>46286</v>
      </c>
      <c r="D684" s="30" t="s">
        <v>988</v>
      </c>
      <c r="E684" s="32" t="n">
        <v>42329</v>
      </c>
      <c r="F684" s="30" t="s">
        <v>58</v>
      </c>
      <c r="G684" s="30" t="s">
        <v>960</v>
      </c>
    </row>
    <row r="685" customFormat="false" ht="15" hidden="false" customHeight="false" outlineLevel="0" collapsed="false">
      <c r="B685" s="30" t="s">
        <v>1018</v>
      </c>
      <c r="C685" s="31" t="n">
        <v>46287</v>
      </c>
      <c r="D685" s="30" t="s">
        <v>968</v>
      </c>
      <c r="E685" s="32" t="n">
        <v>4980</v>
      </c>
      <c r="F685" s="30" t="s">
        <v>26</v>
      </c>
      <c r="G685" s="30" t="s">
        <v>960</v>
      </c>
    </row>
    <row r="686" customFormat="false" ht="15" hidden="false" customHeight="false" outlineLevel="0" collapsed="false">
      <c r="B686" s="30" t="s">
        <v>992</v>
      </c>
      <c r="C686" s="31" t="n">
        <v>46287</v>
      </c>
      <c r="D686" s="30" t="s">
        <v>988</v>
      </c>
      <c r="E686" s="32" t="n">
        <v>12013.66</v>
      </c>
      <c r="F686" s="30" t="s">
        <v>63</v>
      </c>
      <c r="G686" s="30" t="s">
        <v>960</v>
      </c>
    </row>
    <row r="687" customFormat="false" ht="15" hidden="false" customHeight="false" outlineLevel="0" collapsed="false">
      <c r="B687" s="30" t="s">
        <v>993</v>
      </c>
      <c r="C687" s="31" t="n">
        <v>46288</v>
      </c>
      <c r="D687" s="30" t="s">
        <v>988</v>
      </c>
      <c r="E687" s="32" t="n">
        <v>12445.02</v>
      </c>
      <c r="F687" s="30" t="s">
        <v>63</v>
      </c>
      <c r="G687" s="30" t="s">
        <v>960</v>
      </c>
    </row>
    <row r="688" customFormat="false" ht="15" hidden="false" customHeight="false" outlineLevel="0" collapsed="false">
      <c r="B688" s="30" t="s">
        <v>1034</v>
      </c>
      <c r="C688" s="31" t="n">
        <v>46289</v>
      </c>
      <c r="D688" s="30" t="s">
        <v>988</v>
      </c>
      <c r="E688" s="32" t="n">
        <v>6000</v>
      </c>
      <c r="F688" s="30" t="s">
        <v>58</v>
      </c>
      <c r="G688" s="30" t="s">
        <v>960</v>
      </c>
    </row>
    <row r="689" customFormat="false" ht="15" hidden="false" customHeight="false" outlineLevel="0" collapsed="false">
      <c r="B689" s="30" t="s">
        <v>965</v>
      </c>
      <c r="C689" s="31" t="n">
        <v>46290</v>
      </c>
      <c r="D689" s="30" t="s">
        <v>964</v>
      </c>
      <c r="E689" s="32" t="n">
        <v>1471</v>
      </c>
      <c r="F689" s="30" t="s">
        <v>35</v>
      </c>
      <c r="G689" s="30" t="s">
        <v>960</v>
      </c>
    </row>
    <row r="690" customFormat="false" ht="15" hidden="false" customHeight="false" outlineLevel="0" collapsed="false">
      <c r="B690" s="30" t="s">
        <v>971</v>
      </c>
      <c r="C690" s="31" t="n">
        <v>46291</v>
      </c>
      <c r="D690" s="30" t="s">
        <v>968</v>
      </c>
      <c r="E690" s="32" t="n">
        <v>2761</v>
      </c>
      <c r="F690" s="30" t="s">
        <v>28</v>
      </c>
      <c r="G690" s="30" t="s">
        <v>960</v>
      </c>
    </row>
    <row r="691" customFormat="false" ht="15" hidden="false" customHeight="false" outlineLevel="0" collapsed="false">
      <c r="B691" s="30" t="s">
        <v>1014</v>
      </c>
      <c r="C691" s="31" t="n">
        <v>46291</v>
      </c>
      <c r="D691" s="30" t="s">
        <v>968</v>
      </c>
      <c r="E691" s="32" t="n">
        <v>2700</v>
      </c>
      <c r="F691" s="30" t="s">
        <v>26</v>
      </c>
      <c r="G691" s="30" t="s">
        <v>960</v>
      </c>
    </row>
    <row r="692" customFormat="false" ht="15" hidden="false" customHeight="false" outlineLevel="0" collapsed="false">
      <c r="B692" s="30" t="s">
        <v>1035</v>
      </c>
      <c r="C692" s="31" t="n">
        <v>46292</v>
      </c>
      <c r="D692" s="30" t="s">
        <v>959</v>
      </c>
      <c r="E692" s="32" t="n">
        <v>450</v>
      </c>
      <c r="F692" s="30" t="s">
        <v>68</v>
      </c>
      <c r="G692" s="30" t="s">
        <v>960</v>
      </c>
    </row>
    <row r="693" customFormat="false" ht="15" hidden="false" customHeight="false" outlineLevel="0" collapsed="false">
      <c r="B693" s="30" t="s">
        <v>994</v>
      </c>
      <c r="C693" s="31" t="n">
        <v>46293</v>
      </c>
      <c r="D693" s="30" t="s">
        <v>988</v>
      </c>
      <c r="E693" s="32" t="n">
        <v>15436.91</v>
      </c>
      <c r="F693" s="30" t="s">
        <v>58</v>
      </c>
      <c r="G693" s="30" t="s">
        <v>960</v>
      </c>
    </row>
    <row r="694" customFormat="false" ht="15" hidden="false" customHeight="false" outlineLevel="0" collapsed="false">
      <c r="B694" s="30" t="s">
        <v>1010</v>
      </c>
      <c r="C694" s="31" t="n">
        <v>46293</v>
      </c>
      <c r="D694" s="30" t="s">
        <v>968</v>
      </c>
      <c r="E694" s="32" t="n">
        <v>600</v>
      </c>
      <c r="F694" s="30" t="s">
        <v>49</v>
      </c>
      <c r="G694" s="30" t="s">
        <v>960</v>
      </c>
    </row>
    <row r="695" customFormat="false" ht="15" hidden="false" customHeight="false" outlineLevel="0" collapsed="false">
      <c r="B695" s="30" t="s">
        <v>998</v>
      </c>
      <c r="C695" s="31" t="n">
        <v>46293</v>
      </c>
      <c r="D695" s="30" t="s">
        <v>959</v>
      </c>
      <c r="E695" s="32" t="n">
        <v>1272</v>
      </c>
      <c r="F695" s="30" t="s">
        <v>36</v>
      </c>
      <c r="G695" s="30" t="s">
        <v>960</v>
      </c>
    </row>
    <row r="696" customFormat="false" ht="15" hidden="false" customHeight="false" outlineLevel="0" collapsed="false">
      <c r="B696" s="30" t="s">
        <v>1036</v>
      </c>
      <c r="C696" s="31" t="n">
        <v>46293</v>
      </c>
      <c r="D696" s="30" t="s">
        <v>959</v>
      </c>
      <c r="E696" s="32" t="n">
        <v>280</v>
      </c>
      <c r="F696" s="30" t="s">
        <v>69</v>
      </c>
      <c r="G696" s="30" t="s">
        <v>960</v>
      </c>
    </row>
    <row r="697" customFormat="false" ht="15" hidden="false" customHeight="false" outlineLevel="0" collapsed="false">
      <c r="B697" s="30" t="s">
        <v>1014</v>
      </c>
      <c r="C697" s="31" t="n">
        <v>46295</v>
      </c>
      <c r="D697" s="30" t="s">
        <v>968</v>
      </c>
      <c r="E697" s="32" t="n">
        <v>2863</v>
      </c>
      <c r="F697" s="30" t="s">
        <v>26</v>
      </c>
      <c r="G697" s="30" t="s">
        <v>960</v>
      </c>
    </row>
    <row r="698" customFormat="false" ht="15" hidden="false" customHeight="false" outlineLevel="0" collapsed="false">
      <c r="B698" s="30" t="s">
        <v>1009</v>
      </c>
      <c r="C698" s="31" t="n">
        <v>46296</v>
      </c>
      <c r="D698" s="30" t="s">
        <v>988</v>
      </c>
      <c r="E698" s="32" t="n">
        <v>20101.44</v>
      </c>
      <c r="F698" s="30" t="s">
        <v>58</v>
      </c>
      <c r="G698" s="30" t="s">
        <v>960</v>
      </c>
    </row>
    <row r="699" customFormat="false" ht="15" hidden="false" customHeight="false" outlineLevel="0" collapsed="false">
      <c r="B699" s="30" t="s">
        <v>1024</v>
      </c>
      <c r="C699" s="31" t="n">
        <v>46296</v>
      </c>
      <c r="D699" s="30" t="s">
        <v>991</v>
      </c>
      <c r="E699" s="32" t="n">
        <v>1397</v>
      </c>
      <c r="F699" s="30" t="s">
        <v>1037</v>
      </c>
      <c r="G699" s="30" t="s">
        <v>960</v>
      </c>
    </row>
    <row r="700" customFormat="false" ht="15" hidden="false" customHeight="false" outlineLevel="0" collapsed="false">
      <c r="B700" s="30" t="s">
        <v>1010</v>
      </c>
      <c r="C700" s="31" t="n">
        <v>46300</v>
      </c>
      <c r="D700" s="30" t="s">
        <v>968</v>
      </c>
      <c r="E700" s="32" t="n">
        <v>600</v>
      </c>
      <c r="F700" s="30" t="s">
        <v>49</v>
      </c>
      <c r="G700" s="30" t="s">
        <v>960</v>
      </c>
    </row>
    <row r="701" customFormat="false" ht="15" hidden="false" customHeight="false" outlineLevel="0" collapsed="false">
      <c r="B701" s="30" t="s">
        <v>1030</v>
      </c>
      <c r="C701" s="31" t="n">
        <v>46301</v>
      </c>
      <c r="D701" s="30" t="s">
        <v>991</v>
      </c>
      <c r="E701" s="32" t="n">
        <v>2542</v>
      </c>
      <c r="F701" s="30" t="s">
        <v>51</v>
      </c>
      <c r="G701" s="30" t="s">
        <v>960</v>
      </c>
    </row>
    <row r="702" customFormat="false" ht="15" hidden="false" customHeight="false" outlineLevel="0" collapsed="false">
      <c r="B702" s="30" t="s">
        <v>1031</v>
      </c>
      <c r="C702" s="31" t="n">
        <v>46301</v>
      </c>
      <c r="D702" s="30" t="s">
        <v>991</v>
      </c>
      <c r="E702" s="32" t="n">
        <v>1781.5</v>
      </c>
      <c r="F702" s="30" t="s">
        <v>51</v>
      </c>
      <c r="G702" s="30" t="s">
        <v>960</v>
      </c>
    </row>
    <row r="703" customFormat="false" ht="15" hidden="false" customHeight="false" outlineLevel="0" collapsed="false">
      <c r="B703" s="30" t="s">
        <v>1038</v>
      </c>
      <c r="C703" s="31" t="n">
        <v>46301</v>
      </c>
      <c r="D703" s="30" t="s">
        <v>991</v>
      </c>
      <c r="E703" s="32" t="n">
        <v>6484</v>
      </c>
      <c r="F703" s="30" t="s">
        <v>51</v>
      </c>
      <c r="G703" s="30" t="s">
        <v>960</v>
      </c>
    </row>
    <row r="704" customFormat="false" ht="15" hidden="false" customHeight="false" outlineLevel="0" collapsed="false">
      <c r="B704" s="30" t="s">
        <v>1039</v>
      </c>
      <c r="C704" s="31" t="n">
        <v>46301</v>
      </c>
      <c r="D704" s="30" t="s">
        <v>991</v>
      </c>
      <c r="E704" s="32" t="n">
        <v>4500</v>
      </c>
      <c r="F704" s="30" t="s">
        <v>51</v>
      </c>
      <c r="G704" s="30" t="s">
        <v>960</v>
      </c>
    </row>
    <row r="705" customFormat="false" ht="15" hidden="false" customHeight="false" outlineLevel="0" collapsed="false">
      <c r="B705" s="30" t="s">
        <v>1027</v>
      </c>
      <c r="C705" s="31" t="n">
        <v>46301</v>
      </c>
      <c r="D705" s="30" t="s">
        <v>991</v>
      </c>
      <c r="E705" s="32" t="n">
        <v>1612.82</v>
      </c>
      <c r="F705" s="30" t="s">
        <v>51</v>
      </c>
      <c r="G705" s="30" t="s">
        <v>960</v>
      </c>
    </row>
    <row r="706" customFormat="false" ht="15" hidden="false" customHeight="false" outlineLevel="0" collapsed="false">
      <c r="B706" s="30" t="s">
        <v>1028</v>
      </c>
      <c r="C706" s="31" t="n">
        <v>46301</v>
      </c>
      <c r="D706" s="30" t="s">
        <v>991</v>
      </c>
      <c r="E706" s="32" t="n">
        <v>1518</v>
      </c>
      <c r="F706" s="30" t="s">
        <v>51</v>
      </c>
      <c r="G706" s="30" t="s">
        <v>960</v>
      </c>
    </row>
    <row r="707" customFormat="false" ht="15" hidden="false" customHeight="false" outlineLevel="0" collapsed="false">
      <c r="B707" s="30" t="s">
        <v>1029</v>
      </c>
      <c r="C707" s="31" t="n">
        <v>46301</v>
      </c>
      <c r="D707" s="30" t="s">
        <v>991</v>
      </c>
      <c r="E707" s="32" t="n">
        <v>1518</v>
      </c>
      <c r="F707" s="30" t="s">
        <v>51</v>
      </c>
      <c r="G707" s="30" t="s">
        <v>960</v>
      </c>
    </row>
    <row r="708" customFormat="false" ht="15" hidden="false" customHeight="false" outlineLevel="0" collapsed="false">
      <c r="B708" s="30" t="s">
        <v>1041</v>
      </c>
      <c r="C708" s="31" t="n">
        <v>46301</v>
      </c>
      <c r="D708" s="30" t="s">
        <v>991</v>
      </c>
      <c r="E708" s="32" t="n">
        <v>4200</v>
      </c>
      <c r="F708" s="30" t="s">
        <v>51</v>
      </c>
      <c r="G708" s="30" t="s">
        <v>960</v>
      </c>
    </row>
    <row r="709" customFormat="false" ht="15" hidden="false" customHeight="false" outlineLevel="0" collapsed="false">
      <c r="B709" s="30" t="s">
        <v>1033</v>
      </c>
      <c r="C709" s="31" t="n">
        <v>46301</v>
      </c>
      <c r="D709" s="30" t="s">
        <v>991</v>
      </c>
      <c r="E709" s="32" t="n">
        <v>1312.82</v>
      </c>
      <c r="F709" s="30" t="s">
        <v>51</v>
      </c>
      <c r="G709" s="30" t="s">
        <v>960</v>
      </c>
    </row>
    <row r="710" customFormat="false" ht="15" hidden="false" customHeight="false" outlineLevel="0" collapsed="false">
      <c r="B710" s="30" t="s">
        <v>1032</v>
      </c>
      <c r="C710" s="31" t="n">
        <v>46301</v>
      </c>
      <c r="D710" s="30" t="s">
        <v>991</v>
      </c>
      <c r="E710" s="32" t="n">
        <v>2000</v>
      </c>
      <c r="F710" s="30" t="s">
        <v>51</v>
      </c>
      <c r="G710" s="30" t="s">
        <v>960</v>
      </c>
    </row>
    <row r="711" customFormat="false" ht="15" hidden="false" customHeight="false" outlineLevel="0" collapsed="false">
      <c r="B711" s="30" t="s">
        <v>1017</v>
      </c>
      <c r="C711" s="31" t="n">
        <v>46301</v>
      </c>
      <c r="D711" s="30" t="s">
        <v>991</v>
      </c>
      <c r="E711" s="32" t="n">
        <v>2300</v>
      </c>
      <c r="F711" s="30" t="s">
        <v>51</v>
      </c>
      <c r="G711" s="30" t="s">
        <v>960</v>
      </c>
    </row>
    <row r="712" customFormat="false" ht="15" hidden="false" customHeight="false" outlineLevel="0" collapsed="false">
      <c r="B712" s="30" t="s">
        <v>985</v>
      </c>
      <c r="C712" s="31" t="n">
        <v>46302</v>
      </c>
      <c r="D712" s="30" t="s">
        <v>991</v>
      </c>
      <c r="E712" s="32" t="n">
        <v>2500</v>
      </c>
      <c r="F712" s="30" t="s">
        <v>84</v>
      </c>
      <c r="G712" s="30" t="s">
        <v>960</v>
      </c>
    </row>
    <row r="713" customFormat="false" ht="15" hidden="false" customHeight="false" outlineLevel="0" collapsed="false">
      <c r="B713" s="30" t="s">
        <v>1042</v>
      </c>
      <c r="C713" s="31" t="n">
        <v>46302</v>
      </c>
      <c r="D713" s="30" t="s">
        <v>991</v>
      </c>
      <c r="E713" s="32" t="n">
        <v>3500</v>
      </c>
      <c r="F713" s="30" t="s">
        <v>81</v>
      </c>
      <c r="G713" s="30" t="s">
        <v>960</v>
      </c>
    </row>
    <row r="714" customFormat="false" ht="15" hidden="false" customHeight="false" outlineLevel="0" collapsed="false">
      <c r="B714" s="30" t="s">
        <v>1045</v>
      </c>
      <c r="C714" s="31" t="n">
        <v>46305</v>
      </c>
      <c r="D714" s="30" t="s">
        <v>988</v>
      </c>
      <c r="E714" s="32" t="n">
        <v>2055.6</v>
      </c>
      <c r="F714" s="30" t="s">
        <v>89</v>
      </c>
      <c r="G714" s="30" t="s">
        <v>960</v>
      </c>
    </row>
    <row r="715" customFormat="false" ht="15" hidden="false" customHeight="false" outlineLevel="0" collapsed="false">
      <c r="B715" s="30" t="s">
        <v>1043</v>
      </c>
      <c r="C715" s="31" t="n">
        <v>46305</v>
      </c>
      <c r="D715" s="30" t="s">
        <v>991</v>
      </c>
      <c r="E715" s="32" t="n">
        <v>6484</v>
      </c>
      <c r="F715" s="30" t="s">
        <v>52</v>
      </c>
      <c r="G715" s="30" t="s">
        <v>960</v>
      </c>
    </row>
    <row r="716" customFormat="false" ht="15" hidden="false" customHeight="false" outlineLevel="0" collapsed="false">
      <c r="B716" s="30" t="s">
        <v>977</v>
      </c>
      <c r="C716" s="31" t="n">
        <v>46305</v>
      </c>
      <c r="D716" s="30" t="s">
        <v>991</v>
      </c>
      <c r="E716" s="32" t="n">
        <v>1100</v>
      </c>
      <c r="F716" s="30" t="s">
        <v>76</v>
      </c>
      <c r="G716" s="30" t="s">
        <v>960</v>
      </c>
    </row>
    <row r="717" customFormat="false" ht="15" hidden="false" customHeight="false" outlineLevel="0" collapsed="false">
      <c r="B717" s="30" t="s">
        <v>1010</v>
      </c>
      <c r="C717" s="31" t="n">
        <v>46307</v>
      </c>
      <c r="D717" s="30" t="s">
        <v>968</v>
      </c>
      <c r="E717" s="32" t="n">
        <v>600</v>
      </c>
      <c r="F717" s="30" t="s">
        <v>49</v>
      </c>
      <c r="G717" s="30" t="s">
        <v>960</v>
      </c>
    </row>
    <row r="718" customFormat="false" ht="15" hidden="false" customHeight="false" outlineLevel="0" collapsed="false">
      <c r="B718" s="30" t="s">
        <v>1018</v>
      </c>
      <c r="C718" s="31" t="n">
        <v>46310</v>
      </c>
      <c r="D718" s="30" t="s">
        <v>968</v>
      </c>
      <c r="E718" s="32" t="n">
        <v>4980</v>
      </c>
      <c r="F718" s="30" t="s">
        <v>26</v>
      </c>
      <c r="G718" s="30" t="s">
        <v>960</v>
      </c>
    </row>
    <row r="719" customFormat="false" ht="15" hidden="false" customHeight="false" outlineLevel="0" collapsed="false">
      <c r="B719" s="30" t="s">
        <v>1019</v>
      </c>
      <c r="C719" s="31" t="n">
        <v>46310</v>
      </c>
      <c r="D719" s="30" t="s">
        <v>959</v>
      </c>
      <c r="E719" s="32" t="n">
        <v>350</v>
      </c>
      <c r="F719" s="30" t="s">
        <v>60</v>
      </c>
      <c r="G719" s="30" t="s">
        <v>960</v>
      </c>
    </row>
    <row r="720" customFormat="false" ht="15" hidden="false" customHeight="false" outlineLevel="0" collapsed="false">
      <c r="B720" s="30" t="s">
        <v>1020</v>
      </c>
      <c r="C720" s="31" t="n">
        <v>46311</v>
      </c>
      <c r="D720" s="30" t="s">
        <v>973</v>
      </c>
      <c r="E720" s="32" t="n">
        <v>928.14</v>
      </c>
      <c r="F720" s="30" t="s">
        <v>64</v>
      </c>
      <c r="G720" s="30" t="s">
        <v>960</v>
      </c>
    </row>
    <row r="721" customFormat="false" ht="15" hidden="false" customHeight="false" outlineLevel="0" collapsed="false">
      <c r="B721" s="30" t="s">
        <v>1010</v>
      </c>
      <c r="C721" s="31" t="n">
        <v>46314</v>
      </c>
      <c r="D721" s="30" t="s">
        <v>968</v>
      </c>
      <c r="E721" s="32" t="n">
        <v>600</v>
      </c>
      <c r="F721" s="30" t="s">
        <v>49</v>
      </c>
      <c r="G721" s="30" t="s">
        <v>960</v>
      </c>
    </row>
    <row r="722" customFormat="false" ht="15" hidden="false" customHeight="false" outlineLevel="0" collapsed="false">
      <c r="B722" s="30" t="s">
        <v>1027</v>
      </c>
      <c r="C722" s="31" t="n">
        <v>46315</v>
      </c>
      <c r="D722" s="30" t="s">
        <v>991</v>
      </c>
      <c r="E722" s="32" t="n">
        <v>200</v>
      </c>
      <c r="F722" s="30" t="s">
        <v>59</v>
      </c>
      <c r="G722" s="30" t="s">
        <v>960</v>
      </c>
    </row>
    <row r="723" customFormat="false" ht="15" hidden="false" customHeight="false" outlineLevel="0" collapsed="false">
      <c r="B723" s="30" t="s">
        <v>1028</v>
      </c>
      <c r="C723" s="31" t="n">
        <v>46315</v>
      </c>
      <c r="D723" s="30" t="s">
        <v>991</v>
      </c>
      <c r="E723" s="32" t="n">
        <v>400</v>
      </c>
      <c r="F723" s="30" t="s">
        <v>59</v>
      </c>
      <c r="G723" s="30" t="s">
        <v>960</v>
      </c>
    </row>
    <row r="724" customFormat="false" ht="15" hidden="false" customHeight="false" outlineLevel="0" collapsed="false">
      <c r="B724" s="30" t="s">
        <v>1029</v>
      </c>
      <c r="C724" s="31" t="n">
        <v>46315</v>
      </c>
      <c r="D724" s="30" t="s">
        <v>991</v>
      </c>
      <c r="E724" s="32" t="n">
        <v>500</v>
      </c>
      <c r="F724" s="30" t="s">
        <v>59</v>
      </c>
      <c r="G724" s="30" t="s">
        <v>960</v>
      </c>
    </row>
    <row r="725" customFormat="false" ht="15" hidden="false" customHeight="false" outlineLevel="0" collapsed="false">
      <c r="B725" s="30" t="s">
        <v>1032</v>
      </c>
      <c r="C725" s="31" t="n">
        <v>46315</v>
      </c>
      <c r="D725" s="30" t="s">
        <v>991</v>
      </c>
      <c r="E725" s="32" t="n">
        <v>300</v>
      </c>
      <c r="F725" s="30" t="s">
        <v>59</v>
      </c>
      <c r="G725" s="30" t="s">
        <v>960</v>
      </c>
    </row>
    <row r="726" customFormat="false" ht="15" hidden="false" customHeight="false" outlineLevel="0" collapsed="false">
      <c r="B726" s="30" t="s">
        <v>1033</v>
      </c>
      <c r="C726" s="31" t="n">
        <v>46315</v>
      </c>
      <c r="D726" s="30" t="s">
        <v>991</v>
      </c>
      <c r="E726" s="32" t="n">
        <v>300</v>
      </c>
      <c r="F726" s="30" t="s">
        <v>59</v>
      </c>
      <c r="G726" s="30" t="s">
        <v>960</v>
      </c>
    </row>
    <row r="727" customFormat="false" ht="15" hidden="false" customHeight="false" outlineLevel="0" collapsed="false">
      <c r="B727" s="30" t="s">
        <v>989</v>
      </c>
      <c r="C727" s="31" t="n">
        <v>46315</v>
      </c>
      <c r="D727" s="30" t="s">
        <v>959</v>
      </c>
      <c r="E727" s="32" t="n">
        <v>130</v>
      </c>
      <c r="F727" s="30" t="s">
        <v>65</v>
      </c>
      <c r="G727" s="30" t="s">
        <v>960</v>
      </c>
    </row>
    <row r="728" customFormat="false" ht="15" hidden="false" customHeight="false" outlineLevel="0" collapsed="false">
      <c r="B728" s="30" t="s">
        <v>1030</v>
      </c>
      <c r="C728" s="31" t="n">
        <v>46315</v>
      </c>
      <c r="D728" s="30" t="s">
        <v>991</v>
      </c>
      <c r="E728" s="32" t="n">
        <v>550</v>
      </c>
      <c r="F728" s="30" t="s">
        <v>59</v>
      </c>
      <c r="G728" s="30" t="s">
        <v>960</v>
      </c>
    </row>
    <row r="729" customFormat="false" ht="15" hidden="false" customHeight="false" outlineLevel="0" collapsed="false">
      <c r="B729" s="30" t="s">
        <v>1031</v>
      </c>
      <c r="C729" s="31" t="n">
        <v>46315</v>
      </c>
      <c r="D729" s="30" t="s">
        <v>991</v>
      </c>
      <c r="E729" s="32" t="n">
        <v>500</v>
      </c>
      <c r="F729" s="30" t="s">
        <v>59</v>
      </c>
      <c r="G729" s="30" t="s">
        <v>960</v>
      </c>
    </row>
    <row r="730" customFormat="false" ht="15" hidden="false" customHeight="false" outlineLevel="0" collapsed="false">
      <c r="B730" s="30" t="s">
        <v>987</v>
      </c>
      <c r="C730" s="31" t="n">
        <v>46315</v>
      </c>
      <c r="D730" s="30" t="s">
        <v>988</v>
      </c>
      <c r="E730" s="32" t="n">
        <v>2088</v>
      </c>
      <c r="F730" s="30" t="s">
        <v>58</v>
      </c>
      <c r="G730" s="30" t="s">
        <v>960</v>
      </c>
    </row>
    <row r="731" customFormat="false" ht="15" hidden="false" customHeight="false" outlineLevel="0" collapsed="false">
      <c r="B731" s="30" t="s">
        <v>1023</v>
      </c>
      <c r="C731" s="31" t="n">
        <v>46315</v>
      </c>
      <c r="D731" s="30" t="s">
        <v>959</v>
      </c>
      <c r="E731" s="32" t="n">
        <v>248</v>
      </c>
      <c r="F731" s="30" t="s">
        <v>62</v>
      </c>
      <c r="G731" s="30" t="s">
        <v>960</v>
      </c>
    </row>
    <row r="732" customFormat="false" ht="15" hidden="false" customHeight="false" outlineLevel="0" collapsed="false">
      <c r="B732" s="30" t="s">
        <v>1024</v>
      </c>
      <c r="C732" s="31" t="n">
        <v>46315</v>
      </c>
      <c r="D732" s="30" t="s">
        <v>991</v>
      </c>
      <c r="E732" s="32" t="n">
        <v>2147</v>
      </c>
      <c r="F732" s="30" t="s">
        <v>1025</v>
      </c>
      <c r="G732" s="30" t="s">
        <v>960</v>
      </c>
    </row>
    <row r="733" customFormat="false" ht="15" hidden="false" customHeight="false" outlineLevel="0" collapsed="false">
      <c r="B733" s="30" t="s">
        <v>990</v>
      </c>
      <c r="C733" s="31" t="n">
        <v>46316</v>
      </c>
      <c r="D733" s="30" t="s">
        <v>988</v>
      </c>
      <c r="E733" s="32" t="n">
        <v>42329</v>
      </c>
      <c r="F733" s="30" t="s">
        <v>58</v>
      </c>
      <c r="G733" s="30" t="s">
        <v>960</v>
      </c>
    </row>
    <row r="734" customFormat="false" ht="15" hidden="false" customHeight="false" outlineLevel="0" collapsed="false">
      <c r="B734" s="30" t="s">
        <v>1014</v>
      </c>
      <c r="C734" s="31" t="n">
        <v>46317</v>
      </c>
      <c r="D734" s="30" t="s">
        <v>968</v>
      </c>
      <c r="E734" s="32" t="n">
        <v>4500</v>
      </c>
      <c r="F734" s="30" t="s">
        <v>26</v>
      </c>
      <c r="G734" s="30" t="s">
        <v>960</v>
      </c>
    </row>
    <row r="735" customFormat="false" ht="15" hidden="false" customHeight="false" outlineLevel="0" collapsed="false">
      <c r="B735" s="30" t="s">
        <v>993</v>
      </c>
      <c r="C735" s="31" t="n">
        <v>46318</v>
      </c>
      <c r="D735" s="30" t="s">
        <v>988</v>
      </c>
      <c r="E735" s="32" t="n">
        <v>12445.02</v>
      </c>
      <c r="F735" s="30" t="s">
        <v>63</v>
      </c>
      <c r="G735" s="30" t="s">
        <v>960</v>
      </c>
    </row>
    <row r="736" customFormat="false" ht="15" hidden="false" customHeight="false" outlineLevel="0" collapsed="false">
      <c r="B736" s="30" t="s">
        <v>1014</v>
      </c>
      <c r="C736" s="31" t="n">
        <v>46321</v>
      </c>
      <c r="D736" s="30" t="s">
        <v>968</v>
      </c>
      <c r="E736" s="32" t="n">
        <v>4500</v>
      </c>
      <c r="F736" s="30" t="s">
        <v>26</v>
      </c>
      <c r="G736" s="30" t="s">
        <v>960</v>
      </c>
    </row>
    <row r="737" customFormat="false" ht="15" hidden="false" customHeight="false" outlineLevel="0" collapsed="false">
      <c r="B737" s="30" t="s">
        <v>1010</v>
      </c>
      <c r="C737" s="31" t="n">
        <v>46321</v>
      </c>
      <c r="D737" s="30" t="s">
        <v>968</v>
      </c>
      <c r="E737" s="32" t="n">
        <v>600</v>
      </c>
      <c r="F737" s="30" t="s">
        <v>49</v>
      </c>
      <c r="G737" s="30" t="s">
        <v>960</v>
      </c>
    </row>
    <row r="738" customFormat="false" ht="15" hidden="false" customHeight="false" outlineLevel="0" collapsed="false">
      <c r="B738" s="30" t="s">
        <v>1035</v>
      </c>
      <c r="C738" s="31" t="n">
        <v>46322</v>
      </c>
      <c r="D738" s="30" t="s">
        <v>959</v>
      </c>
      <c r="E738" s="32" t="n">
        <v>450</v>
      </c>
      <c r="F738" s="30" t="s">
        <v>68</v>
      </c>
      <c r="G738" s="30" t="s">
        <v>960</v>
      </c>
    </row>
    <row r="739" customFormat="false" ht="15" hidden="false" customHeight="false" outlineLevel="0" collapsed="false">
      <c r="B739" s="30" t="s">
        <v>994</v>
      </c>
      <c r="C739" s="31" t="n">
        <v>46323</v>
      </c>
      <c r="D739" s="30" t="s">
        <v>988</v>
      </c>
      <c r="E739" s="32" t="n">
        <v>15436.91</v>
      </c>
      <c r="F739" s="30" t="s">
        <v>58</v>
      </c>
      <c r="G739" s="30" t="s">
        <v>960</v>
      </c>
    </row>
    <row r="740" customFormat="false" ht="15" hidden="false" customHeight="false" outlineLevel="0" collapsed="false">
      <c r="B740" s="30" t="s">
        <v>1036</v>
      </c>
      <c r="C740" s="31" t="n">
        <v>46323</v>
      </c>
      <c r="D740" s="30" t="s">
        <v>959</v>
      </c>
      <c r="E740" s="32" t="n">
        <v>280</v>
      </c>
      <c r="F740" s="30" t="s">
        <v>69</v>
      </c>
      <c r="G740" s="30" t="s">
        <v>960</v>
      </c>
    </row>
    <row r="741" customFormat="false" ht="15" hidden="false" customHeight="false" outlineLevel="0" collapsed="false">
      <c r="B741" s="30" t="s">
        <v>998</v>
      </c>
      <c r="C741" s="31" t="n">
        <v>46323</v>
      </c>
      <c r="D741" s="30" t="s">
        <v>959</v>
      </c>
      <c r="E741" s="32" t="n">
        <v>1272</v>
      </c>
      <c r="F741" s="30" t="s">
        <v>36</v>
      </c>
      <c r="G741" s="30" t="s">
        <v>960</v>
      </c>
    </row>
    <row r="742" customFormat="false" ht="15" hidden="false" customHeight="false" outlineLevel="0" collapsed="false">
      <c r="B742" s="30" t="s">
        <v>1018</v>
      </c>
      <c r="C742" s="31" t="n">
        <v>46325</v>
      </c>
      <c r="D742" s="30" t="s">
        <v>968</v>
      </c>
      <c r="E742" s="32" t="n">
        <v>4950</v>
      </c>
      <c r="F742" s="30" t="s">
        <v>26</v>
      </c>
      <c r="G742" s="30" t="s">
        <v>960</v>
      </c>
    </row>
    <row r="743" customFormat="false" ht="15" hidden="false" customHeight="false" outlineLevel="0" collapsed="false">
      <c r="B743" s="30" t="s">
        <v>1014</v>
      </c>
      <c r="C743" s="31" t="n">
        <v>46325</v>
      </c>
      <c r="D743" s="30" t="s">
        <v>968</v>
      </c>
      <c r="E743" s="32" t="n">
        <v>4500</v>
      </c>
      <c r="F743" s="30" t="s">
        <v>26</v>
      </c>
      <c r="G743" s="30" t="s">
        <v>960</v>
      </c>
    </row>
    <row r="744" customFormat="false" ht="15" hidden="false" customHeight="false" outlineLevel="0" collapsed="false">
      <c r="B744" s="30" t="s">
        <v>1024</v>
      </c>
      <c r="C744" s="31" t="n">
        <v>46327</v>
      </c>
      <c r="D744" s="30" t="s">
        <v>991</v>
      </c>
      <c r="E744" s="32" t="n">
        <v>1397</v>
      </c>
      <c r="F744" s="30" t="s">
        <v>1037</v>
      </c>
      <c r="G744" s="30" t="s">
        <v>960</v>
      </c>
    </row>
    <row r="745" customFormat="false" ht="15" hidden="false" customHeight="false" outlineLevel="0" collapsed="false">
      <c r="B745" s="30" t="s">
        <v>1010</v>
      </c>
      <c r="C745" s="31" t="n">
        <v>46328</v>
      </c>
      <c r="D745" s="30" t="s">
        <v>968</v>
      </c>
      <c r="E745" s="32" t="n">
        <v>600</v>
      </c>
      <c r="F745" s="30" t="s">
        <v>49</v>
      </c>
      <c r="G745" s="30" t="s">
        <v>960</v>
      </c>
    </row>
    <row r="746" customFormat="false" ht="15" hidden="false" customHeight="false" outlineLevel="0" collapsed="false">
      <c r="B746" s="30" t="s">
        <v>1009</v>
      </c>
      <c r="C746" s="31" t="n">
        <v>46329</v>
      </c>
      <c r="D746" s="30" t="s">
        <v>988</v>
      </c>
      <c r="E746" s="32" t="n">
        <v>20101.44</v>
      </c>
      <c r="F746" s="30" t="s">
        <v>58</v>
      </c>
      <c r="G746" s="30" t="s">
        <v>960</v>
      </c>
    </row>
    <row r="747" customFormat="false" ht="15" hidden="false" customHeight="false" outlineLevel="0" collapsed="false">
      <c r="B747" s="30" t="s">
        <v>1005</v>
      </c>
      <c r="C747" s="31" t="n">
        <v>46331</v>
      </c>
      <c r="D747" s="30" t="s">
        <v>991</v>
      </c>
      <c r="E747" s="32" t="n">
        <v>90</v>
      </c>
      <c r="F747" s="30" t="s">
        <v>78</v>
      </c>
      <c r="G747" s="30" t="s">
        <v>960</v>
      </c>
    </row>
    <row r="748" customFormat="false" ht="15" hidden="false" customHeight="false" outlineLevel="0" collapsed="false">
      <c r="B748" s="30" t="s">
        <v>1038</v>
      </c>
      <c r="C748" s="31" t="n">
        <v>46332</v>
      </c>
      <c r="D748" s="30" t="s">
        <v>991</v>
      </c>
      <c r="E748" s="32" t="n">
        <v>6484</v>
      </c>
      <c r="F748" s="30" t="s">
        <v>51</v>
      </c>
      <c r="G748" s="30" t="s">
        <v>960</v>
      </c>
    </row>
    <row r="749" customFormat="false" ht="15" hidden="false" customHeight="false" outlineLevel="0" collapsed="false">
      <c r="B749" s="30" t="s">
        <v>1027</v>
      </c>
      <c r="C749" s="31" t="n">
        <v>46332</v>
      </c>
      <c r="D749" s="30" t="s">
        <v>991</v>
      </c>
      <c r="E749" s="32" t="n">
        <v>1612.82</v>
      </c>
      <c r="F749" s="30" t="s">
        <v>51</v>
      </c>
      <c r="G749" s="30" t="s">
        <v>960</v>
      </c>
    </row>
    <row r="750" customFormat="false" ht="15" hidden="false" customHeight="false" outlineLevel="0" collapsed="false">
      <c r="B750" s="30" t="s">
        <v>1041</v>
      </c>
      <c r="C750" s="31" t="n">
        <v>46332</v>
      </c>
      <c r="D750" s="30" t="s">
        <v>991</v>
      </c>
      <c r="E750" s="32" t="n">
        <v>4200</v>
      </c>
      <c r="F750" s="30" t="s">
        <v>51</v>
      </c>
      <c r="G750" s="30" t="s">
        <v>960</v>
      </c>
    </row>
    <row r="751" customFormat="false" ht="15" hidden="false" customHeight="false" outlineLevel="0" collapsed="false">
      <c r="B751" s="30" t="s">
        <v>1030</v>
      </c>
      <c r="C751" s="31" t="n">
        <v>46332</v>
      </c>
      <c r="D751" s="30" t="s">
        <v>991</v>
      </c>
      <c r="E751" s="32" t="n">
        <v>2542</v>
      </c>
      <c r="F751" s="30" t="s">
        <v>51</v>
      </c>
      <c r="G751" s="30" t="s">
        <v>960</v>
      </c>
    </row>
    <row r="752" customFormat="false" ht="15" hidden="false" customHeight="false" outlineLevel="0" collapsed="false">
      <c r="B752" s="30" t="s">
        <v>1017</v>
      </c>
      <c r="C752" s="31" t="n">
        <v>46332</v>
      </c>
      <c r="D752" s="30" t="s">
        <v>991</v>
      </c>
      <c r="E752" s="32" t="n">
        <v>2300</v>
      </c>
      <c r="F752" s="30" t="s">
        <v>51</v>
      </c>
      <c r="G752" s="30" t="s">
        <v>960</v>
      </c>
    </row>
    <row r="753" customFormat="false" ht="15" hidden="false" customHeight="false" outlineLevel="0" collapsed="false">
      <c r="B753" s="30" t="s">
        <v>1029</v>
      </c>
      <c r="C753" s="31" t="n">
        <v>46332</v>
      </c>
      <c r="D753" s="30" t="s">
        <v>991</v>
      </c>
      <c r="E753" s="32" t="n">
        <v>1518</v>
      </c>
      <c r="F753" s="30" t="s">
        <v>51</v>
      </c>
      <c r="G753" s="30" t="s">
        <v>960</v>
      </c>
    </row>
    <row r="754" customFormat="false" ht="15" hidden="false" customHeight="false" outlineLevel="0" collapsed="false">
      <c r="B754" s="30" t="s">
        <v>1039</v>
      </c>
      <c r="C754" s="31" t="n">
        <v>46332</v>
      </c>
      <c r="D754" s="30" t="s">
        <v>991</v>
      </c>
      <c r="E754" s="32" t="n">
        <v>4500</v>
      </c>
      <c r="F754" s="30" t="s">
        <v>51</v>
      </c>
      <c r="G754" s="30" t="s">
        <v>960</v>
      </c>
    </row>
    <row r="755" customFormat="false" ht="15" hidden="false" customHeight="false" outlineLevel="0" collapsed="false">
      <c r="B755" s="30" t="s">
        <v>1032</v>
      </c>
      <c r="C755" s="31" t="n">
        <v>46332</v>
      </c>
      <c r="D755" s="30" t="s">
        <v>991</v>
      </c>
      <c r="E755" s="32" t="n">
        <v>2000</v>
      </c>
      <c r="F755" s="30" t="s">
        <v>51</v>
      </c>
      <c r="G755" s="30" t="s">
        <v>960</v>
      </c>
    </row>
    <row r="756" customFormat="false" ht="15" hidden="false" customHeight="false" outlineLevel="0" collapsed="false">
      <c r="B756" s="30" t="s">
        <v>1028</v>
      </c>
      <c r="C756" s="31" t="n">
        <v>46332</v>
      </c>
      <c r="D756" s="30" t="s">
        <v>991</v>
      </c>
      <c r="E756" s="32" t="n">
        <v>1518</v>
      </c>
      <c r="F756" s="30" t="s">
        <v>51</v>
      </c>
      <c r="G756" s="30" t="s">
        <v>960</v>
      </c>
    </row>
    <row r="757" customFormat="false" ht="15" hidden="false" customHeight="false" outlineLevel="0" collapsed="false">
      <c r="B757" s="30" t="s">
        <v>1033</v>
      </c>
      <c r="C757" s="31" t="n">
        <v>46332</v>
      </c>
      <c r="D757" s="30" t="s">
        <v>991</v>
      </c>
      <c r="E757" s="32" t="n">
        <v>1312.82</v>
      </c>
      <c r="F757" s="30" t="s">
        <v>51</v>
      </c>
      <c r="G757" s="30" t="s">
        <v>960</v>
      </c>
    </row>
    <row r="758" customFormat="false" ht="15" hidden="false" customHeight="false" outlineLevel="0" collapsed="false">
      <c r="B758" s="30" t="s">
        <v>1031</v>
      </c>
      <c r="C758" s="31" t="n">
        <v>46332</v>
      </c>
      <c r="D758" s="30" t="s">
        <v>991</v>
      </c>
      <c r="E758" s="32" t="n">
        <v>1781.5</v>
      </c>
      <c r="F758" s="30" t="s">
        <v>51</v>
      </c>
      <c r="G758" s="30" t="s">
        <v>960</v>
      </c>
    </row>
    <row r="759" customFormat="false" ht="15" hidden="false" customHeight="false" outlineLevel="0" collapsed="false">
      <c r="B759" s="30" t="s">
        <v>985</v>
      </c>
      <c r="C759" s="31" t="n">
        <v>46333</v>
      </c>
      <c r="D759" s="30" t="s">
        <v>991</v>
      </c>
      <c r="E759" s="32" t="n">
        <v>2500</v>
      </c>
      <c r="F759" s="30" t="s">
        <v>84</v>
      </c>
      <c r="G759" s="30" t="s">
        <v>960</v>
      </c>
    </row>
    <row r="760" customFormat="false" ht="15" hidden="false" customHeight="false" outlineLevel="0" collapsed="false">
      <c r="B760" s="30" t="s">
        <v>1042</v>
      </c>
      <c r="C760" s="31" t="n">
        <v>46333</v>
      </c>
      <c r="D760" s="30" t="s">
        <v>991</v>
      </c>
      <c r="E760" s="32" t="n">
        <v>3500</v>
      </c>
      <c r="F760" s="30" t="s">
        <v>81</v>
      </c>
      <c r="G760" s="30" t="s">
        <v>960</v>
      </c>
    </row>
    <row r="761" customFormat="false" ht="15" hidden="false" customHeight="false" outlineLevel="0" collapsed="false">
      <c r="B761" s="30" t="s">
        <v>1010</v>
      </c>
      <c r="C761" s="31" t="n">
        <v>46335</v>
      </c>
      <c r="D761" s="30" t="s">
        <v>968</v>
      </c>
      <c r="E761" s="32" t="n">
        <v>600</v>
      </c>
      <c r="F761" s="30" t="s">
        <v>49</v>
      </c>
      <c r="G761" s="30" t="s">
        <v>960</v>
      </c>
    </row>
    <row r="762" customFormat="false" ht="15" hidden="false" customHeight="false" outlineLevel="0" collapsed="false">
      <c r="B762" s="30" t="s">
        <v>977</v>
      </c>
      <c r="C762" s="31" t="n">
        <v>46336</v>
      </c>
      <c r="D762" s="30" t="s">
        <v>991</v>
      </c>
      <c r="E762" s="32" t="n">
        <v>1100</v>
      </c>
      <c r="F762" s="30" t="s">
        <v>76</v>
      </c>
      <c r="G762" s="30" t="s">
        <v>960</v>
      </c>
    </row>
    <row r="763" customFormat="false" ht="15" hidden="false" customHeight="false" outlineLevel="0" collapsed="false">
      <c r="B763" s="30" t="s">
        <v>1043</v>
      </c>
      <c r="C763" s="31" t="n">
        <v>46336</v>
      </c>
      <c r="D763" s="30" t="s">
        <v>991</v>
      </c>
      <c r="E763" s="32" t="n">
        <v>6484</v>
      </c>
      <c r="F763" s="30" t="s">
        <v>52</v>
      </c>
      <c r="G763" s="30" t="s">
        <v>960</v>
      </c>
    </row>
    <row r="764" customFormat="false" ht="15" hidden="false" customHeight="false" outlineLevel="0" collapsed="false">
      <c r="B764" s="30" t="s">
        <v>1045</v>
      </c>
      <c r="C764" s="31" t="n">
        <v>46336</v>
      </c>
      <c r="D764" s="30" t="s">
        <v>988</v>
      </c>
      <c r="E764" s="32" t="n">
        <v>2055.6</v>
      </c>
      <c r="F764" s="30" t="s">
        <v>89</v>
      </c>
      <c r="G764" s="30" t="s">
        <v>960</v>
      </c>
    </row>
    <row r="765" customFormat="false" ht="15" hidden="false" customHeight="false" outlineLevel="0" collapsed="false">
      <c r="B765" s="30" t="s">
        <v>1019</v>
      </c>
      <c r="C765" s="31" t="n">
        <v>46341</v>
      </c>
      <c r="D765" s="30" t="s">
        <v>959</v>
      </c>
      <c r="E765" s="32" t="n">
        <v>350</v>
      </c>
      <c r="F765" s="30" t="s">
        <v>60</v>
      </c>
      <c r="G765" s="30" t="s">
        <v>960</v>
      </c>
    </row>
    <row r="766" customFormat="false" ht="15" hidden="false" customHeight="false" outlineLevel="0" collapsed="false">
      <c r="B766" s="30" t="s">
        <v>1010</v>
      </c>
      <c r="C766" s="31" t="n">
        <v>46342</v>
      </c>
      <c r="D766" s="30" t="s">
        <v>968</v>
      </c>
      <c r="E766" s="32" t="n">
        <v>600</v>
      </c>
      <c r="F766" s="30" t="s">
        <v>49</v>
      </c>
      <c r="G766" s="30" t="s">
        <v>960</v>
      </c>
    </row>
    <row r="767" customFormat="false" ht="15" hidden="false" customHeight="false" outlineLevel="0" collapsed="false">
      <c r="B767" s="30" t="s">
        <v>1020</v>
      </c>
      <c r="C767" s="31" t="n">
        <v>46342</v>
      </c>
      <c r="D767" s="30" t="s">
        <v>973</v>
      </c>
      <c r="E767" s="32" t="n">
        <v>928.14</v>
      </c>
      <c r="F767" s="30" t="s">
        <v>64</v>
      </c>
      <c r="G767" s="30" t="s">
        <v>960</v>
      </c>
    </row>
    <row r="768" customFormat="false" ht="15" hidden="false" customHeight="false" outlineLevel="0" collapsed="false">
      <c r="B768" s="30" t="s">
        <v>1032</v>
      </c>
      <c r="C768" s="31" t="n">
        <v>46346</v>
      </c>
      <c r="D768" s="30" t="s">
        <v>991</v>
      </c>
      <c r="E768" s="32" t="n">
        <v>300</v>
      </c>
      <c r="F768" s="30" t="s">
        <v>59</v>
      </c>
      <c r="G768" s="30" t="s">
        <v>960</v>
      </c>
    </row>
    <row r="769" customFormat="false" ht="15" hidden="false" customHeight="false" outlineLevel="0" collapsed="false">
      <c r="B769" s="30" t="s">
        <v>1031</v>
      </c>
      <c r="C769" s="31" t="n">
        <v>46346</v>
      </c>
      <c r="D769" s="30" t="s">
        <v>991</v>
      </c>
      <c r="E769" s="32" t="n">
        <v>500</v>
      </c>
      <c r="F769" s="30" t="s">
        <v>59</v>
      </c>
      <c r="G769" s="30" t="s">
        <v>960</v>
      </c>
    </row>
    <row r="770" customFormat="false" ht="15" hidden="false" customHeight="false" outlineLevel="0" collapsed="false">
      <c r="B770" s="30" t="s">
        <v>1024</v>
      </c>
      <c r="C770" s="31" t="n">
        <v>46346</v>
      </c>
      <c r="D770" s="30" t="s">
        <v>991</v>
      </c>
      <c r="E770" s="32" t="n">
        <v>2147</v>
      </c>
      <c r="F770" s="30" t="s">
        <v>1025</v>
      </c>
      <c r="G770" s="30" t="s">
        <v>960</v>
      </c>
    </row>
    <row r="771" customFormat="false" ht="15" hidden="false" customHeight="false" outlineLevel="0" collapsed="false">
      <c r="B771" s="30" t="s">
        <v>1033</v>
      </c>
      <c r="C771" s="31" t="n">
        <v>46346</v>
      </c>
      <c r="D771" s="30" t="s">
        <v>991</v>
      </c>
      <c r="E771" s="32" t="n">
        <v>300</v>
      </c>
      <c r="F771" s="30" t="s">
        <v>59</v>
      </c>
      <c r="G771" s="30" t="s">
        <v>960</v>
      </c>
    </row>
    <row r="772" customFormat="false" ht="15" hidden="false" customHeight="false" outlineLevel="0" collapsed="false">
      <c r="B772" s="30" t="s">
        <v>1030</v>
      </c>
      <c r="C772" s="31" t="n">
        <v>46346</v>
      </c>
      <c r="D772" s="30" t="s">
        <v>991</v>
      </c>
      <c r="E772" s="32" t="n">
        <v>550</v>
      </c>
      <c r="F772" s="30" t="s">
        <v>59</v>
      </c>
      <c r="G772" s="30" t="s">
        <v>960</v>
      </c>
    </row>
    <row r="773" customFormat="false" ht="15" hidden="false" customHeight="false" outlineLevel="0" collapsed="false">
      <c r="B773" s="30" t="s">
        <v>989</v>
      </c>
      <c r="C773" s="31" t="n">
        <v>46346</v>
      </c>
      <c r="D773" s="30" t="s">
        <v>959</v>
      </c>
      <c r="E773" s="32" t="n">
        <v>130</v>
      </c>
      <c r="F773" s="30" t="s">
        <v>65</v>
      </c>
      <c r="G773" s="30" t="s">
        <v>960</v>
      </c>
    </row>
    <row r="774" customFormat="false" ht="15" hidden="false" customHeight="false" outlineLevel="0" collapsed="false">
      <c r="B774" s="30" t="s">
        <v>1029</v>
      </c>
      <c r="C774" s="31" t="n">
        <v>46346</v>
      </c>
      <c r="D774" s="30" t="s">
        <v>991</v>
      </c>
      <c r="E774" s="32" t="n">
        <v>500</v>
      </c>
      <c r="F774" s="30" t="s">
        <v>59</v>
      </c>
      <c r="G774" s="30" t="s">
        <v>960</v>
      </c>
    </row>
    <row r="775" customFormat="false" ht="15" hidden="false" customHeight="false" outlineLevel="0" collapsed="false">
      <c r="B775" s="30" t="s">
        <v>1027</v>
      </c>
      <c r="C775" s="31" t="n">
        <v>46346</v>
      </c>
      <c r="D775" s="30" t="s">
        <v>991</v>
      </c>
      <c r="E775" s="32" t="n">
        <v>200</v>
      </c>
      <c r="F775" s="30" t="s">
        <v>59</v>
      </c>
      <c r="G775" s="30" t="s">
        <v>960</v>
      </c>
    </row>
    <row r="776" customFormat="false" ht="15" hidden="false" customHeight="false" outlineLevel="0" collapsed="false">
      <c r="B776" s="30" t="s">
        <v>987</v>
      </c>
      <c r="C776" s="31" t="n">
        <v>46346</v>
      </c>
      <c r="D776" s="30" t="s">
        <v>988</v>
      </c>
      <c r="E776" s="32" t="n">
        <v>2088</v>
      </c>
      <c r="F776" s="30" t="s">
        <v>58</v>
      </c>
      <c r="G776" s="30" t="s">
        <v>960</v>
      </c>
    </row>
    <row r="777" customFormat="false" ht="15" hidden="false" customHeight="false" outlineLevel="0" collapsed="false">
      <c r="B777" s="30" t="s">
        <v>1023</v>
      </c>
      <c r="C777" s="31" t="n">
        <v>46346</v>
      </c>
      <c r="D777" s="30" t="s">
        <v>959</v>
      </c>
      <c r="E777" s="32" t="n">
        <v>248</v>
      </c>
      <c r="F777" s="30" t="s">
        <v>62</v>
      </c>
      <c r="G777" s="30" t="s">
        <v>960</v>
      </c>
    </row>
    <row r="778" customFormat="false" ht="15" hidden="false" customHeight="false" outlineLevel="0" collapsed="false">
      <c r="B778" s="30" t="s">
        <v>1028</v>
      </c>
      <c r="C778" s="31" t="n">
        <v>46346</v>
      </c>
      <c r="D778" s="30" t="s">
        <v>991</v>
      </c>
      <c r="E778" s="32" t="n">
        <v>400</v>
      </c>
      <c r="F778" s="30" t="s">
        <v>59</v>
      </c>
      <c r="G778" s="30" t="s">
        <v>960</v>
      </c>
    </row>
    <row r="779" customFormat="false" ht="15" hidden="false" customHeight="false" outlineLevel="0" collapsed="false">
      <c r="B779" s="30" t="s">
        <v>990</v>
      </c>
      <c r="C779" s="31" t="n">
        <v>46347</v>
      </c>
      <c r="D779" s="30" t="s">
        <v>988</v>
      </c>
      <c r="E779" s="32" t="n">
        <v>42329</v>
      </c>
      <c r="F779" s="30" t="s">
        <v>58</v>
      </c>
      <c r="G779" s="30" t="s">
        <v>960</v>
      </c>
    </row>
    <row r="780" customFormat="false" ht="15" hidden="false" customHeight="false" outlineLevel="0" collapsed="false">
      <c r="B780" s="30" t="s">
        <v>1010</v>
      </c>
      <c r="C780" s="31" t="n">
        <v>46349</v>
      </c>
      <c r="D780" s="30" t="s">
        <v>968</v>
      </c>
      <c r="E780" s="32" t="n">
        <v>600</v>
      </c>
      <c r="F780" s="30" t="s">
        <v>49</v>
      </c>
      <c r="G780" s="30" t="s">
        <v>960</v>
      </c>
    </row>
    <row r="781" customFormat="false" ht="15" hidden="false" customHeight="false" outlineLevel="0" collapsed="false">
      <c r="B781" s="30" t="s">
        <v>993</v>
      </c>
      <c r="C781" s="31" t="n">
        <v>46349</v>
      </c>
      <c r="D781" s="30" t="s">
        <v>988</v>
      </c>
      <c r="E781" s="32" t="n">
        <v>12445.02</v>
      </c>
      <c r="F781" s="30" t="s">
        <v>63</v>
      </c>
      <c r="G781" s="30" t="s">
        <v>960</v>
      </c>
    </row>
    <row r="782" customFormat="false" ht="15" hidden="false" customHeight="false" outlineLevel="0" collapsed="false">
      <c r="B782" s="30" t="s">
        <v>1035</v>
      </c>
      <c r="C782" s="31" t="n">
        <v>46353</v>
      </c>
      <c r="D782" s="30" t="s">
        <v>959</v>
      </c>
      <c r="E782" s="32" t="n">
        <v>450</v>
      </c>
      <c r="F782" s="30" t="s">
        <v>68</v>
      </c>
      <c r="G782" s="30" t="s">
        <v>960</v>
      </c>
    </row>
    <row r="783" customFormat="false" ht="15" hidden="false" customHeight="false" outlineLevel="0" collapsed="false">
      <c r="B783" s="30" t="s">
        <v>998</v>
      </c>
      <c r="C783" s="31" t="n">
        <v>46354</v>
      </c>
      <c r="D783" s="30" t="s">
        <v>959</v>
      </c>
      <c r="E783" s="32" t="n">
        <v>1272</v>
      </c>
      <c r="F783" s="30" t="s">
        <v>36</v>
      </c>
      <c r="G783" s="30" t="s">
        <v>960</v>
      </c>
    </row>
    <row r="784" customFormat="false" ht="15" hidden="false" customHeight="false" outlineLevel="0" collapsed="false">
      <c r="B784" s="30" t="s">
        <v>994</v>
      </c>
      <c r="C784" s="31" t="n">
        <v>46354</v>
      </c>
      <c r="D784" s="30" t="s">
        <v>988</v>
      </c>
      <c r="E784" s="32" t="n">
        <v>15436.91</v>
      </c>
      <c r="F784" s="30" t="s">
        <v>58</v>
      </c>
      <c r="G784" s="30" t="s">
        <v>960</v>
      </c>
    </row>
    <row r="785" customFormat="false" ht="15" hidden="false" customHeight="false" outlineLevel="0" collapsed="false">
      <c r="B785" s="30" t="s">
        <v>1036</v>
      </c>
      <c r="C785" s="31" t="n">
        <v>46354</v>
      </c>
      <c r="D785" s="30" t="s">
        <v>959</v>
      </c>
      <c r="E785" s="32" t="n">
        <v>280</v>
      </c>
      <c r="F785" s="30" t="s">
        <v>69</v>
      </c>
      <c r="G785" s="30" t="s">
        <v>960</v>
      </c>
    </row>
    <row r="786" customFormat="false" ht="15" hidden="false" customHeight="false" outlineLevel="0" collapsed="false">
      <c r="B786" s="30" t="s">
        <v>1010</v>
      </c>
      <c r="C786" s="31" t="n">
        <v>46356</v>
      </c>
      <c r="D786" s="30" t="s">
        <v>968</v>
      </c>
      <c r="E786" s="32" t="n">
        <v>600</v>
      </c>
      <c r="F786" s="30" t="s">
        <v>49</v>
      </c>
      <c r="G786" s="30" t="s">
        <v>960</v>
      </c>
    </row>
    <row r="787" customFormat="false" ht="15" hidden="false" customHeight="false" outlineLevel="0" collapsed="false">
      <c r="B787" s="30" t="s">
        <v>1024</v>
      </c>
      <c r="C787" s="31" t="n">
        <v>46357</v>
      </c>
      <c r="D787" s="30" t="s">
        <v>991</v>
      </c>
      <c r="E787" s="32" t="n">
        <v>1397</v>
      </c>
      <c r="F787" s="30" t="s">
        <v>1037</v>
      </c>
      <c r="G787" s="30" t="s">
        <v>960</v>
      </c>
    </row>
    <row r="788" customFormat="false" ht="15" hidden="false" customHeight="false" outlineLevel="0" collapsed="false">
      <c r="B788" s="30" t="s">
        <v>1009</v>
      </c>
      <c r="C788" s="31" t="n">
        <v>46357</v>
      </c>
      <c r="D788" s="30" t="s">
        <v>988</v>
      </c>
      <c r="E788" s="32" t="n">
        <v>20101.44</v>
      </c>
      <c r="F788" s="30" t="s">
        <v>58</v>
      </c>
      <c r="G788" s="30" t="s">
        <v>960</v>
      </c>
    </row>
    <row r="789" customFormat="false" ht="15" hidden="false" customHeight="false" outlineLevel="0" collapsed="false">
      <c r="B789" s="30" t="s">
        <v>1033</v>
      </c>
      <c r="C789" s="31" t="n">
        <v>46362</v>
      </c>
      <c r="D789" s="30" t="s">
        <v>991</v>
      </c>
      <c r="E789" s="32" t="n">
        <v>1312.82</v>
      </c>
      <c r="F789" s="30" t="s">
        <v>51</v>
      </c>
      <c r="G789" s="30" t="s">
        <v>960</v>
      </c>
    </row>
    <row r="790" customFormat="false" ht="15" hidden="false" customHeight="false" outlineLevel="0" collapsed="false">
      <c r="B790" s="30" t="s">
        <v>1028</v>
      </c>
      <c r="C790" s="31" t="n">
        <v>46362</v>
      </c>
      <c r="D790" s="30" t="s">
        <v>991</v>
      </c>
      <c r="E790" s="32" t="n">
        <v>1518</v>
      </c>
      <c r="F790" s="30" t="s">
        <v>51</v>
      </c>
      <c r="G790" s="30" t="s">
        <v>960</v>
      </c>
    </row>
    <row r="791" customFormat="false" ht="15" hidden="false" customHeight="false" outlineLevel="0" collapsed="false">
      <c r="B791" s="30" t="s">
        <v>1017</v>
      </c>
      <c r="C791" s="31" t="n">
        <v>46362</v>
      </c>
      <c r="D791" s="30" t="s">
        <v>991</v>
      </c>
      <c r="E791" s="32" t="n">
        <v>2300</v>
      </c>
      <c r="F791" s="30" t="s">
        <v>51</v>
      </c>
      <c r="G791" s="30" t="s">
        <v>960</v>
      </c>
    </row>
    <row r="792" customFormat="false" ht="15" hidden="false" customHeight="false" outlineLevel="0" collapsed="false">
      <c r="B792" s="30" t="s">
        <v>1031</v>
      </c>
      <c r="C792" s="31" t="n">
        <v>46362</v>
      </c>
      <c r="D792" s="30" t="s">
        <v>991</v>
      </c>
      <c r="E792" s="32" t="n">
        <v>1781.5</v>
      </c>
      <c r="F792" s="30" t="s">
        <v>51</v>
      </c>
      <c r="G792" s="30" t="s">
        <v>960</v>
      </c>
    </row>
    <row r="793" customFormat="false" ht="15" hidden="false" customHeight="false" outlineLevel="0" collapsed="false">
      <c r="B793" s="30" t="s">
        <v>1032</v>
      </c>
      <c r="C793" s="31" t="n">
        <v>46362</v>
      </c>
      <c r="D793" s="30" t="s">
        <v>991</v>
      </c>
      <c r="E793" s="32" t="n">
        <v>2000</v>
      </c>
      <c r="F793" s="30" t="s">
        <v>51</v>
      </c>
      <c r="G793" s="30" t="s">
        <v>960</v>
      </c>
    </row>
    <row r="794" customFormat="false" ht="15" hidden="false" customHeight="false" outlineLevel="0" collapsed="false">
      <c r="B794" s="30" t="s">
        <v>1039</v>
      </c>
      <c r="C794" s="31" t="n">
        <v>46362</v>
      </c>
      <c r="D794" s="30" t="s">
        <v>991</v>
      </c>
      <c r="E794" s="32" t="n">
        <v>4500</v>
      </c>
      <c r="F794" s="30" t="s">
        <v>51</v>
      </c>
      <c r="G794" s="30" t="s">
        <v>960</v>
      </c>
    </row>
    <row r="795" customFormat="false" ht="15" hidden="false" customHeight="false" outlineLevel="0" collapsed="false">
      <c r="B795" s="30" t="s">
        <v>1041</v>
      </c>
      <c r="C795" s="31" t="n">
        <v>46362</v>
      </c>
      <c r="D795" s="30" t="s">
        <v>991</v>
      </c>
      <c r="E795" s="32" t="n">
        <v>4200</v>
      </c>
      <c r="F795" s="30" t="s">
        <v>51</v>
      </c>
      <c r="G795" s="30" t="s">
        <v>960</v>
      </c>
    </row>
    <row r="796" customFormat="false" ht="15" hidden="false" customHeight="false" outlineLevel="0" collapsed="false">
      <c r="B796" s="30" t="s">
        <v>1030</v>
      </c>
      <c r="C796" s="31" t="n">
        <v>46362</v>
      </c>
      <c r="D796" s="30" t="s">
        <v>991</v>
      </c>
      <c r="E796" s="32" t="n">
        <v>2542</v>
      </c>
      <c r="F796" s="30" t="s">
        <v>51</v>
      </c>
      <c r="G796" s="30" t="s">
        <v>960</v>
      </c>
    </row>
    <row r="797" customFormat="false" ht="15" hidden="false" customHeight="false" outlineLevel="0" collapsed="false">
      <c r="B797" s="30" t="s">
        <v>1029</v>
      </c>
      <c r="C797" s="31" t="n">
        <v>46362</v>
      </c>
      <c r="D797" s="30" t="s">
        <v>991</v>
      </c>
      <c r="E797" s="32" t="n">
        <v>1518</v>
      </c>
      <c r="F797" s="30" t="s">
        <v>51</v>
      </c>
      <c r="G797" s="30" t="s">
        <v>960</v>
      </c>
    </row>
    <row r="798" customFormat="false" ht="15" hidden="false" customHeight="false" outlineLevel="0" collapsed="false">
      <c r="B798" s="30" t="s">
        <v>1027</v>
      </c>
      <c r="C798" s="31" t="n">
        <v>46362</v>
      </c>
      <c r="D798" s="30" t="s">
        <v>991</v>
      </c>
      <c r="E798" s="32" t="n">
        <v>1612.82</v>
      </c>
      <c r="F798" s="30" t="s">
        <v>51</v>
      </c>
      <c r="G798" s="30" t="s">
        <v>960</v>
      </c>
    </row>
    <row r="799" customFormat="false" ht="15" hidden="false" customHeight="false" outlineLevel="0" collapsed="false">
      <c r="B799" s="30" t="s">
        <v>1038</v>
      </c>
      <c r="C799" s="31" t="n">
        <v>46362</v>
      </c>
      <c r="D799" s="30" t="s">
        <v>991</v>
      </c>
      <c r="E799" s="32" t="n">
        <v>6484</v>
      </c>
      <c r="F799" s="30" t="s">
        <v>51</v>
      </c>
      <c r="G799" s="30" t="s">
        <v>960</v>
      </c>
    </row>
    <row r="800" customFormat="false" ht="15" hidden="false" customHeight="false" outlineLevel="0" collapsed="false">
      <c r="B800" s="30" t="s">
        <v>985</v>
      </c>
      <c r="C800" s="31" t="n">
        <v>46363</v>
      </c>
      <c r="D800" s="30" t="s">
        <v>991</v>
      </c>
      <c r="E800" s="32" t="n">
        <v>2500</v>
      </c>
      <c r="F800" s="30" t="s">
        <v>84</v>
      </c>
      <c r="G800" s="30" t="s">
        <v>960</v>
      </c>
    </row>
    <row r="801" customFormat="false" ht="15" hidden="false" customHeight="false" outlineLevel="0" collapsed="false">
      <c r="B801" s="30" t="s">
        <v>1010</v>
      </c>
      <c r="C801" s="31" t="n">
        <v>46363</v>
      </c>
      <c r="D801" s="30" t="s">
        <v>968</v>
      </c>
      <c r="E801" s="32" t="n">
        <v>600</v>
      </c>
      <c r="F801" s="30" t="s">
        <v>49</v>
      </c>
      <c r="G801" s="30" t="s">
        <v>960</v>
      </c>
    </row>
    <row r="802" customFormat="false" ht="15" hidden="false" customHeight="false" outlineLevel="0" collapsed="false">
      <c r="B802" s="30" t="s">
        <v>1042</v>
      </c>
      <c r="C802" s="31" t="n">
        <v>46363</v>
      </c>
      <c r="D802" s="30" t="s">
        <v>991</v>
      </c>
      <c r="E802" s="32" t="n">
        <v>3500</v>
      </c>
      <c r="F802" s="30" t="s">
        <v>81</v>
      </c>
      <c r="G802" s="30" t="s">
        <v>960</v>
      </c>
    </row>
    <row r="803" customFormat="false" ht="15" hidden="false" customHeight="false" outlineLevel="0" collapsed="false">
      <c r="B803" s="30" t="s">
        <v>1045</v>
      </c>
      <c r="C803" s="31" t="n">
        <v>46366</v>
      </c>
      <c r="D803" s="30" t="s">
        <v>988</v>
      </c>
      <c r="E803" s="32" t="n">
        <v>2055.6</v>
      </c>
      <c r="F803" s="30" t="s">
        <v>89</v>
      </c>
      <c r="G803" s="30" t="s">
        <v>960</v>
      </c>
    </row>
    <row r="804" customFormat="false" ht="15" hidden="false" customHeight="false" outlineLevel="0" collapsed="false">
      <c r="B804" s="30" t="s">
        <v>977</v>
      </c>
      <c r="C804" s="31" t="n">
        <v>46366</v>
      </c>
      <c r="D804" s="30" t="s">
        <v>991</v>
      </c>
      <c r="E804" s="32" t="n">
        <v>1100</v>
      </c>
      <c r="F804" s="30" t="s">
        <v>76</v>
      </c>
      <c r="G804" s="30" t="s">
        <v>960</v>
      </c>
    </row>
    <row r="805" customFormat="false" ht="15" hidden="false" customHeight="false" outlineLevel="0" collapsed="false">
      <c r="B805" s="30" t="s">
        <v>1043</v>
      </c>
      <c r="C805" s="31" t="n">
        <v>46366</v>
      </c>
      <c r="D805" s="30" t="s">
        <v>991</v>
      </c>
      <c r="E805" s="32" t="n">
        <v>6484</v>
      </c>
      <c r="F805" s="30" t="s">
        <v>52</v>
      </c>
      <c r="G805" s="30" t="s">
        <v>960</v>
      </c>
    </row>
    <row r="806" customFormat="false" ht="15" hidden="false" customHeight="false" outlineLevel="0" collapsed="false">
      <c r="B806" s="30" t="s">
        <v>1010</v>
      </c>
      <c r="C806" s="31" t="n">
        <v>46370</v>
      </c>
      <c r="D806" s="30" t="s">
        <v>968</v>
      </c>
      <c r="E806" s="32" t="n">
        <v>600</v>
      </c>
      <c r="F806" s="30" t="s">
        <v>49</v>
      </c>
      <c r="G806" s="30" t="s">
        <v>960</v>
      </c>
    </row>
    <row r="807" customFormat="false" ht="15" hidden="false" customHeight="false" outlineLevel="0" collapsed="false">
      <c r="B807" s="30" t="s">
        <v>1019</v>
      </c>
      <c r="C807" s="31" t="n">
        <v>46371</v>
      </c>
      <c r="D807" s="30" t="s">
        <v>959</v>
      </c>
      <c r="E807" s="32" t="n">
        <v>350</v>
      </c>
      <c r="F807" s="30" t="s">
        <v>60</v>
      </c>
      <c r="G807" s="30" t="s">
        <v>960</v>
      </c>
    </row>
    <row r="808" customFormat="false" ht="15" hidden="false" customHeight="false" outlineLevel="0" collapsed="false">
      <c r="B808" s="30" t="s">
        <v>1024</v>
      </c>
      <c r="C808" s="31" t="n">
        <v>46376</v>
      </c>
      <c r="D808" s="30" t="s">
        <v>991</v>
      </c>
      <c r="E808" s="32" t="n">
        <v>2147</v>
      </c>
      <c r="F808" s="30" t="s">
        <v>1025</v>
      </c>
      <c r="G808" s="30" t="s">
        <v>960</v>
      </c>
    </row>
    <row r="809" customFormat="false" ht="15" hidden="false" customHeight="false" outlineLevel="0" collapsed="false">
      <c r="B809" s="30" t="s">
        <v>987</v>
      </c>
      <c r="C809" s="31" t="n">
        <v>46376</v>
      </c>
      <c r="D809" s="30" t="s">
        <v>988</v>
      </c>
      <c r="E809" s="32" t="n">
        <v>2088</v>
      </c>
      <c r="F809" s="30" t="s">
        <v>58</v>
      </c>
      <c r="G809" s="30" t="s">
        <v>960</v>
      </c>
    </row>
    <row r="810" customFormat="false" ht="15" hidden="false" customHeight="false" outlineLevel="0" collapsed="false">
      <c r="B810" s="30" t="s">
        <v>989</v>
      </c>
      <c r="C810" s="31" t="n">
        <v>46376</v>
      </c>
      <c r="D810" s="30" t="s">
        <v>959</v>
      </c>
      <c r="E810" s="32" t="n">
        <v>130</v>
      </c>
      <c r="F810" s="30" t="s">
        <v>65</v>
      </c>
      <c r="G810" s="30" t="s">
        <v>960</v>
      </c>
    </row>
    <row r="811" customFormat="false" ht="15" hidden="false" customHeight="false" outlineLevel="0" collapsed="false">
      <c r="B811" s="30" t="s">
        <v>1023</v>
      </c>
      <c r="C811" s="31" t="n">
        <v>46376</v>
      </c>
      <c r="D811" s="30" t="s">
        <v>959</v>
      </c>
      <c r="E811" s="32" t="n">
        <v>248</v>
      </c>
      <c r="F811" s="30" t="s">
        <v>62</v>
      </c>
      <c r="G811" s="30" t="s">
        <v>960</v>
      </c>
    </row>
    <row r="812" customFormat="false" ht="15" hidden="false" customHeight="false" outlineLevel="0" collapsed="false">
      <c r="B812" s="30" t="s">
        <v>1028</v>
      </c>
      <c r="C812" s="31" t="n">
        <v>46376</v>
      </c>
      <c r="D812" s="30" t="s">
        <v>991</v>
      </c>
      <c r="E812" s="32" t="n">
        <v>400</v>
      </c>
      <c r="F812" s="30" t="s">
        <v>59</v>
      </c>
      <c r="G812" s="30" t="s">
        <v>960</v>
      </c>
    </row>
    <row r="813" customFormat="false" ht="15" hidden="false" customHeight="false" outlineLevel="0" collapsed="false">
      <c r="B813" s="30" t="s">
        <v>1029</v>
      </c>
      <c r="C813" s="31" t="n">
        <v>46376</v>
      </c>
      <c r="D813" s="30" t="s">
        <v>991</v>
      </c>
      <c r="E813" s="32" t="n">
        <v>500</v>
      </c>
      <c r="F813" s="30" t="s">
        <v>59</v>
      </c>
      <c r="G813" s="30" t="s">
        <v>960</v>
      </c>
    </row>
    <row r="814" customFormat="false" ht="15" hidden="false" customHeight="false" outlineLevel="0" collapsed="false">
      <c r="B814" s="30" t="s">
        <v>1030</v>
      </c>
      <c r="C814" s="31" t="n">
        <v>46376</v>
      </c>
      <c r="D814" s="30" t="s">
        <v>991</v>
      </c>
      <c r="E814" s="32" t="n">
        <v>550</v>
      </c>
      <c r="F814" s="30" t="s">
        <v>59</v>
      </c>
      <c r="G814" s="30" t="s">
        <v>960</v>
      </c>
    </row>
    <row r="815" customFormat="false" ht="15" hidden="false" customHeight="false" outlineLevel="0" collapsed="false">
      <c r="B815" s="30" t="s">
        <v>1031</v>
      </c>
      <c r="C815" s="31" t="n">
        <v>46376</v>
      </c>
      <c r="D815" s="30" t="s">
        <v>991</v>
      </c>
      <c r="E815" s="32" t="n">
        <v>500</v>
      </c>
      <c r="F815" s="30" t="s">
        <v>59</v>
      </c>
      <c r="G815" s="30" t="s">
        <v>960</v>
      </c>
    </row>
    <row r="816" customFormat="false" ht="15" hidden="false" customHeight="false" outlineLevel="0" collapsed="false">
      <c r="B816" s="30" t="s">
        <v>1032</v>
      </c>
      <c r="C816" s="31" t="n">
        <v>46376</v>
      </c>
      <c r="D816" s="30" t="s">
        <v>991</v>
      </c>
      <c r="E816" s="32" t="n">
        <v>300</v>
      </c>
      <c r="F816" s="30" t="s">
        <v>59</v>
      </c>
      <c r="G816" s="30" t="s">
        <v>960</v>
      </c>
    </row>
    <row r="817" customFormat="false" ht="15" hidden="false" customHeight="false" outlineLevel="0" collapsed="false">
      <c r="B817" s="30" t="s">
        <v>1033</v>
      </c>
      <c r="C817" s="31" t="n">
        <v>46376</v>
      </c>
      <c r="D817" s="30" t="s">
        <v>991</v>
      </c>
      <c r="E817" s="32" t="n">
        <v>300</v>
      </c>
      <c r="F817" s="30" t="s">
        <v>59</v>
      </c>
      <c r="G817" s="30" t="s">
        <v>960</v>
      </c>
    </row>
    <row r="818" customFormat="false" ht="15" hidden="false" customHeight="false" outlineLevel="0" collapsed="false">
      <c r="B818" s="30" t="s">
        <v>1027</v>
      </c>
      <c r="C818" s="31" t="n">
        <v>46376</v>
      </c>
      <c r="D818" s="30" t="s">
        <v>991</v>
      </c>
      <c r="E818" s="32" t="n">
        <v>200</v>
      </c>
      <c r="F818" s="30" t="s">
        <v>59</v>
      </c>
      <c r="G818" s="30" t="s">
        <v>960</v>
      </c>
    </row>
    <row r="819" customFormat="false" ht="15" hidden="false" customHeight="false" outlineLevel="0" collapsed="false">
      <c r="B819" s="30" t="s">
        <v>1010</v>
      </c>
      <c r="C819" s="31" t="n">
        <v>46377</v>
      </c>
      <c r="D819" s="30" t="s">
        <v>968</v>
      </c>
      <c r="E819" s="32" t="n">
        <v>600</v>
      </c>
      <c r="F819" s="30" t="s">
        <v>49</v>
      </c>
      <c r="G819" s="30" t="s">
        <v>960</v>
      </c>
    </row>
    <row r="820" customFormat="false" ht="15" hidden="false" customHeight="false" outlineLevel="0" collapsed="false">
      <c r="B820" s="30" t="s">
        <v>990</v>
      </c>
      <c r="C820" s="31" t="n">
        <v>46377</v>
      </c>
      <c r="D820" s="30" t="s">
        <v>988</v>
      </c>
      <c r="E820" s="32" t="n">
        <v>42329</v>
      </c>
      <c r="F820" s="30" t="s">
        <v>58</v>
      </c>
      <c r="G820" s="30" t="s">
        <v>960</v>
      </c>
    </row>
    <row r="821" customFormat="false" ht="15" hidden="false" customHeight="false" outlineLevel="0" collapsed="false">
      <c r="B821" s="30" t="s">
        <v>993</v>
      </c>
      <c r="C821" s="31" t="n">
        <v>46379</v>
      </c>
      <c r="D821" s="30" t="s">
        <v>988</v>
      </c>
      <c r="E821" s="32" t="n">
        <v>12445.02</v>
      </c>
      <c r="F821" s="30" t="s">
        <v>63</v>
      </c>
      <c r="G821" s="30" t="s">
        <v>960</v>
      </c>
    </row>
    <row r="822" customFormat="false" ht="15" hidden="false" customHeight="false" outlineLevel="0" collapsed="false">
      <c r="B822" s="30" t="s">
        <v>1035</v>
      </c>
      <c r="C822" s="31" t="n">
        <v>46383</v>
      </c>
      <c r="D822" s="30" t="s">
        <v>959</v>
      </c>
      <c r="E822" s="32" t="n">
        <v>450</v>
      </c>
      <c r="F822" s="30" t="s">
        <v>68</v>
      </c>
      <c r="G822" s="30" t="s">
        <v>960</v>
      </c>
    </row>
    <row r="823" customFormat="false" ht="15" hidden="false" customHeight="false" outlineLevel="0" collapsed="false">
      <c r="B823" s="30" t="s">
        <v>1010</v>
      </c>
      <c r="C823" s="31" t="n">
        <v>46384</v>
      </c>
      <c r="D823" s="30" t="s">
        <v>968</v>
      </c>
      <c r="E823" s="32" t="n">
        <v>600</v>
      </c>
      <c r="F823" s="30" t="s">
        <v>49</v>
      </c>
      <c r="G823" s="30" t="s">
        <v>960</v>
      </c>
    </row>
    <row r="824" customFormat="false" ht="15" hidden="false" customHeight="false" outlineLevel="0" collapsed="false">
      <c r="B824" s="30" t="s">
        <v>1036</v>
      </c>
      <c r="C824" s="31" t="n">
        <v>46384</v>
      </c>
      <c r="D824" s="30" t="s">
        <v>959</v>
      </c>
      <c r="E824" s="32" t="n">
        <v>280</v>
      </c>
      <c r="F824" s="30" t="s">
        <v>69</v>
      </c>
      <c r="G824" s="30" t="s">
        <v>960</v>
      </c>
    </row>
    <row r="825" customFormat="false" ht="15" hidden="false" customHeight="false" outlineLevel="0" collapsed="false">
      <c r="B825" s="30" t="s">
        <v>994</v>
      </c>
      <c r="C825" s="31" t="n">
        <v>46384</v>
      </c>
      <c r="D825" s="30" t="s">
        <v>988</v>
      </c>
      <c r="E825" s="32" t="n">
        <v>15436.91</v>
      </c>
      <c r="F825" s="30" t="s">
        <v>58</v>
      </c>
      <c r="G825" s="30" t="s">
        <v>960</v>
      </c>
    </row>
    <row r="826" customFormat="false" ht="15" hidden="false" customHeight="false" outlineLevel="0" collapsed="false">
      <c r="B826" s="30" t="s">
        <v>998</v>
      </c>
      <c r="C826" s="31" t="n">
        <v>46384</v>
      </c>
      <c r="D826" s="30" t="s">
        <v>959</v>
      </c>
      <c r="E826" s="32" t="n">
        <v>1272</v>
      </c>
      <c r="F826" s="30" t="s">
        <v>36</v>
      </c>
      <c r="G826" s="30" t="s">
        <v>960</v>
      </c>
    </row>
    <row r="827" customFormat="false" ht="15" hidden="false" customHeight="false" outlineLevel="0" collapsed="false">
      <c r="B827" s="30" t="s">
        <v>1009</v>
      </c>
      <c r="C827" s="31" t="n">
        <v>46391</v>
      </c>
      <c r="D827" s="30" t="s">
        <v>988</v>
      </c>
      <c r="E827" s="32" t="n">
        <v>20101.44</v>
      </c>
      <c r="F827" s="30" t="s">
        <v>58</v>
      </c>
      <c r="G827" s="30" t="s">
        <v>960</v>
      </c>
    </row>
    <row r="828" customFormat="false" ht="15" hidden="false" customHeight="false" outlineLevel="0" collapsed="false">
      <c r="B828" s="30" t="s">
        <v>985</v>
      </c>
      <c r="C828" s="31" t="n">
        <v>46394</v>
      </c>
      <c r="D828" s="30" t="s">
        <v>991</v>
      </c>
      <c r="E828" s="32" t="n">
        <v>2500</v>
      </c>
      <c r="F828" s="30" t="s">
        <v>84</v>
      </c>
      <c r="G828" s="30" t="s">
        <v>960</v>
      </c>
    </row>
    <row r="829" customFormat="false" ht="15" hidden="false" customHeight="false" outlineLevel="0" collapsed="false">
      <c r="B829" s="30" t="s">
        <v>1045</v>
      </c>
      <c r="C829" s="31" t="n">
        <v>46397</v>
      </c>
      <c r="D829" s="30" t="s">
        <v>988</v>
      </c>
      <c r="E829" s="32" t="n">
        <v>2055.6</v>
      </c>
      <c r="F829" s="30" t="s">
        <v>89</v>
      </c>
      <c r="G829" s="30" t="s">
        <v>960</v>
      </c>
    </row>
    <row r="830" customFormat="false" ht="15" hidden="false" customHeight="false" outlineLevel="0" collapsed="false">
      <c r="B830" s="30" t="s">
        <v>987</v>
      </c>
      <c r="C830" s="31" t="n">
        <v>46407</v>
      </c>
      <c r="D830" s="30" t="s">
        <v>988</v>
      </c>
      <c r="E830" s="32" t="n">
        <v>2088</v>
      </c>
      <c r="F830" s="30" t="s">
        <v>58</v>
      </c>
      <c r="G830" s="30" t="s">
        <v>960</v>
      </c>
    </row>
    <row r="831" customFormat="false" ht="15" hidden="false" customHeight="false" outlineLevel="0" collapsed="false">
      <c r="B831" s="30" t="s">
        <v>990</v>
      </c>
      <c r="C831" s="31" t="n">
        <v>46408</v>
      </c>
      <c r="D831" s="30" t="s">
        <v>988</v>
      </c>
      <c r="E831" s="32" t="n">
        <v>42329</v>
      </c>
      <c r="F831" s="30" t="s">
        <v>58</v>
      </c>
      <c r="G831" s="30" t="s">
        <v>960</v>
      </c>
    </row>
    <row r="832" customFormat="false" ht="15" hidden="false" customHeight="false" outlineLevel="0" collapsed="false">
      <c r="B832" s="30" t="s">
        <v>993</v>
      </c>
      <c r="C832" s="31" t="n">
        <v>46410</v>
      </c>
      <c r="D832" s="30" t="s">
        <v>988</v>
      </c>
      <c r="E832" s="32" t="n">
        <v>12445.02</v>
      </c>
      <c r="F832" s="30" t="s">
        <v>63</v>
      </c>
      <c r="G832" s="30" t="s">
        <v>960</v>
      </c>
    </row>
    <row r="833" customFormat="false" ht="15" hidden="false" customHeight="false" outlineLevel="0" collapsed="false">
      <c r="B833" s="30" t="s">
        <v>998</v>
      </c>
      <c r="C833" s="31" t="n">
        <v>46415</v>
      </c>
      <c r="D833" s="30" t="s">
        <v>959</v>
      </c>
      <c r="E833" s="32" t="n">
        <v>1272</v>
      </c>
      <c r="F833" s="30" t="s">
        <v>36</v>
      </c>
      <c r="G833" s="30" t="s">
        <v>960</v>
      </c>
    </row>
    <row r="834" customFormat="false" ht="15" hidden="false" customHeight="false" outlineLevel="0" collapsed="false">
      <c r="B834" s="30" t="s">
        <v>994</v>
      </c>
      <c r="C834" s="31" t="n">
        <v>46415</v>
      </c>
      <c r="D834" s="30" t="s">
        <v>988</v>
      </c>
      <c r="E834" s="32" t="n">
        <v>15436.91</v>
      </c>
      <c r="F834" s="30" t="s">
        <v>58</v>
      </c>
      <c r="G834" s="30" t="s">
        <v>960</v>
      </c>
    </row>
    <row r="835" customFormat="false" ht="15" hidden="false" customHeight="false" outlineLevel="0" collapsed="false">
      <c r="B835" s="30" t="s">
        <v>1009</v>
      </c>
      <c r="C835" s="31" t="n">
        <v>46419</v>
      </c>
      <c r="D835" s="30" t="s">
        <v>988</v>
      </c>
      <c r="E835" s="32" t="n">
        <v>20101.44</v>
      </c>
      <c r="F835" s="30" t="s">
        <v>58</v>
      </c>
      <c r="G835" s="30" t="s">
        <v>960</v>
      </c>
    </row>
    <row r="836" customFormat="false" ht="15" hidden="false" customHeight="false" outlineLevel="0" collapsed="false">
      <c r="B836" s="30" t="s">
        <v>1045</v>
      </c>
      <c r="C836" s="31" t="n">
        <v>46428</v>
      </c>
      <c r="D836" s="30" t="s">
        <v>988</v>
      </c>
      <c r="E836" s="32" t="n">
        <v>2055.6</v>
      </c>
      <c r="F836" s="30" t="s">
        <v>89</v>
      </c>
      <c r="G836" s="30" t="s">
        <v>960</v>
      </c>
    </row>
    <row r="837" customFormat="false" ht="15" hidden="false" customHeight="false" outlineLevel="0" collapsed="false">
      <c r="B837" s="30" t="s">
        <v>987</v>
      </c>
      <c r="C837" s="31" t="n">
        <v>46438</v>
      </c>
      <c r="D837" s="30" t="s">
        <v>988</v>
      </c>
      <c r="E837" s="32" t="n">
        <v>2088</v>
      </c>
      <c r="F837" s="30" t="s">
        <v>58</v>
      </c>
      <c r="G837" s="30" t="s">
        <v>960</v>
      </c>
    </row>
    <row r="838" customFormat="false" ht="15" hidden="false" customHeight="false" outlineLevel="0" collapsed="false">
      <c r="B838" s="30" t="s">
        <v>990</v>
      </c>
      <c r="C838" s="31" t="n">
        <v>46439</v>
      </c>
      <c r="D838" s="30" t="s">
        <v>988</v>
      </c>
      <c r="E838" s="32" t="n">
        <v>42329</v>
      </c>
      <c r="F838" s="30" t="s">
        <v>58</v>
      </c>
      <c r="G838" s="30" t="s">
        <v>960</v>
      </c>
    </row>
    <row r="839" customFormat="false" ht="15" hidden="false" customHeight="false" outlineLevel="0" collapsed="false">
      <c r="B839" s="30" t="s">
        <v>993</v>
      </c>
      <c r="C839" s="31" t="n">
        <v>46441</v>
      </c>
      <c r="D839" s="30" t="s">
        <v>988</v>
      </c>
      <c r="E839" s="32" t="n">
        <v>12445.02</v>
      </c>
      <c r="F839" s="30" t="s">
        <v>63</v>
      </c>
      <c r="G839" s="30" t="s">
        <v>960</v>
      </c>
    </row>
    <row r="840" customFormat="false" ht="15" hidden="false" customHeight="false" outlineLevel="0" collapsed="false">
      <c r="B840" s="30" t="s">
        <v>998</v>
      </c>
      <c r="C840" s="31" t="n">
        <v>46446</v>
      </c>
      <c r="D840" s="30" t="s">
        <v>959</v>
      </c>
      <c r="E840" s="32" t="n">
        <v>1272</v>
      </c>
      <c r="F840" s="30" t="s">
        <v>36</v>
      </c>
      <c r="G840" s="30" t="s">
        <v>960</v>
      </c>
    </row>
    <row r="841" customFormat="false" ht="15" hidden="false" customHeight="false" outlineLevel="0" collapsed="false">
      <c r="B841" s="30" t="s">
        <v>994</v>
      </c>
      <c r="C841" s="31" t="n">
        <v>46446</v>
      </c>
      <c r="D841" s="30" t="s">
        <v>988</v>
      </c>
      <c r="E841" s="32" t="n">
        <v>15436.91</v>
      </c>
      <c r="F841" s="30" t="s">
        <v>58</v>
      </c>
      <c r="G841" s="30" t="s">
        <v>960</v>
      </c>
    </row>
    <row r="842" customFormat="false" ht="15" hidden="false" customHeight="false" outlineLevel="0" collapsed="false">
      <c r="B842" s="30" t="s">
        <v>1009</v>
      </c>
      <c r="C842" s="31" t="n">
        <v>46447</v>
      </c>
      <c r="D842" s="30" t="s">
        <v>988</v>
      </c>
      <c r="E842" s="32" t="n">
        <v>20101.44</v>
      </c>
      <c r="F842" s="30" t="s">
        <v>58</v>
      </c>
      <c r="G842" s="30" t="s">
        <v>960</v>
      </c>
    </row>
    <row r="843" customFormat="false" ht="15" hidden="false" customHeight="false" outlineLevel="0" collapsed="false">
      <c r="B843" s="30" t="s">
        <v>1045</v>
      </c>
      <c r="C843" s="31" t="n">
        <v>46456</v>
      </c>
      <c r="D843" s="30" t="s">
        <v>988</v>
      </c>
      <c r="E843" s="32" t="n">
        <v>2055.6</v>
      </c>
      <c r="F843" s="30" t="s">
        <v>89</v>
      </c>
      <c r="G843" s="30" t="s">
        <v>960</v>
      </c>
    </row>
    <row r="844" customFormat="false" ht="15" hidden="false" customHeight="false" outlineLevel="0" collapsed="false">
      <c r="B844" s="30" t="s">
        <v>987</v>
      </c>
      <c r="C844" s="31" t="n">
        <v>46466</v>
      </c>
      <c r="D844" s="30" t="s">
        <v>988</v>
      </c>
      <c r="E844" s="32" t="n">
        <v>2088</v>
      </c>
      <c r="F844" s="30" t="s">
        <v>58</v>
      </c>
      <c r="G844" s="30" t="s">
        <v>960</v>
      </c>
    </row>
    <row r="845" customFormat="false" ht="15" hidden="false" customHeight="false" outlineLevel="0" collapsed="false">
      <c r="B845" s="30" t="s">
        <v>990</v>
      </c>
      <c r="C845" s="31" t="n">
        <v>46467</v>
      </c>
      <c r="D845" s="30" t="s">
        <v>988</v>
      </c>
      <c r="E845" s="32" t="n">
        <v>42329</v>
      </c>
      <c r="F845" s="30" t="s">
        <v>58</v>
      </c>
      <c r="G845" s="30" t="s">
        <v>960</v>
      </c>
    </row>
    <row r="846" customFormat="false" ht="15" hidden="false" customHeight="false" outlineLevel="0" collapsed="false">
      <c r="B846" s="30" t="s">
        <v>993</v>
      </c>
      <c r="C846" s="31" t="n">
        <v>46469</v>
      </c>
      <c r="D846" s="30" t="s">
        <v>988</v>
      </c>
      <c r="E846" s="32" t="n">
        <v>12445.02</v>
      </c>
      <c r="F846" s="30" t="s">
        <v>63</v>
      </c>
      <c r="G846" s="30" t="s">
        <v>960</v>
      </c>
    </row>
    <row r="847" customFormat="false" ht="15" hidden="false" customHeight="false" outlineLevel="0" collapsed="false">
      <c r="B847" s="30" t="s">
        <v>994</v>
      </c>
      <c r="C847" s="31" t="n">
        <v>46474</v>
      </c>
      <c r="D847" s="30" t="s">
        <v>988</v>
      </c>
      <c r="E847" s="32" t="n">
        <v>15436.91</v>
      </c>
      <c r="F847" s="30" t="s">
        <v>58</v>
      </c>
      <c r="G847" s="30" t="s">
        <v>960</v>
      </c>
    </row>
    <row r="848" customFormat="false" ht="15" hidden="false" customHeight="false" outlineLevel="0" collapsed="false">
      <c r="B848" s="30" t="s">
        <v>998</v>
      </c>
      <c r="C848" s="31" t="n">
        <v>46474</v>
      </c>
      <c r="D848" s="30" t="s">
        <v>959</v>
      </c>
      <c r="E848" s="32" t="n">
        <v>1272</v>
      </c>
      <c r="F848" s="30" t="s">
        <v>36</v>
      </c>
      <c r="G848" s="30" t="s">
        <v>960</v>
      </c>
    </row>
    <row r="849" customFormat="false" ht="15" hidden="false" customHeight="false" outlineLevel="0" collapsed="false">
      <c r="B849" s="30" t="s">
        <v>1009</v>
      </c>
      <c r="C849" s="31" t="n">
        <v>46478</v>
      </c>
      <c r="D849" s="30" t="s">
        <v>988</v>
      </c>
      <c r="E849" s="32" t="n">
        <v>20101.44</v>
      </c>
      <c r="F849" s="30" t="s">
        <v>58</v>
      </c>
      <c r="G849" s="30" t="s">
        <v>960</v>
      </c>
    </row>
    <row r="850" customFormat="false" ht="15" hidden="false" customHeight="false" outlineLevel="0" collapsed="false">
      <c r="B850" s="30" t="s">
        <v>987</v>
      </c>
      <c r="C850" s="31" t="n">
        <v>46497</v>
      </c>
      <c r="D850" s="30" t="s">
        <v>988</v>
      </c>
      <c r="E850" s="32" t="n">
        <v>2088</v>
      </c>
      <c r="F850" s="30" t="s">
        <v>58</v>
      </c>
      <c r="G850" s="30" t="s">
        <v>960</v>
      </c>
    </row>
    <row r="851" customFormat="false" ht="15" hidden="false" customHeight="false" outlineLevel="0" collapsed="false">
      <c r="B851" s="30" t="s">
        <v>990</v>
      </c>
      <c r="C851" s="31" t="n">
        <v>46498</v>
      </c>
      <c r="D851" s="30" t="s">
        <v>988</v>
      </c>
      <c r="E851" s="32" t="n">
        <v>42329</v>
      </c>
      <c r="F851" s="30" t="s">
        <v>58</v>
      </c>
      <c r="G851" s="30" t="s">
        <v>960</v>
      </c>
    </row>
    <row r="852" customFormat="false" ht="15" hidden="false" customHeight="false" outlineLevel="0" collapsed="false">
      <c r="B852" s="30" t="s">
        <v>993</v>
      </c>
      <c r="C852" s="31" t="n">
        <v>46500</v>
      </c>
      <c r="D852" s="30" t="s">
        <v>988</v>
      </c>
      <c r="E852" s="32" t="n">
        <v>12445.02</v>
      </c>
      <c r="F852" s="30" t="s">
        <v>63</v>
      </c>
      <c r="G852" s="30" t="s">
        <v>960</v>
      </c>
    </row>
    <row r="853" customFormat="false" ht="15" hidden="false" customHeight="false" outlineLevel="0" collapsed="false">
      <c r="B853" s="30" t="s">
        <v>1045</v>
      </c>
      <c r="C853" s="31" t="n">
        <v>46504</v>
      </c>
      <c r="D853" s="30" t="s">
        <v>988</v>
      </c>
      <c r="E853" s="32" t="n">
        <v>2055.6</v>
      </c>
      <c r="F853" s="30" t="s">
        <v>89</v>
      </c>
      <c r="G853" s="30" t="s">
        <v>960</v>
      </c>
    </row>
    <row r="854" customFormat="false" ht="15" hidden="false" customHeight="false" outlineLevel="0" collapsed="false">
      <c r="B854" s="30" t="s">
        <v>994</v>
      </c>
      <c r="C854" s="31" t="n">
        <v>46505</v>
      </c>
      <c r="D854" s="30" t="s">
        <v>988</v>
      </c>
      <c r="E854" s="32" t="n">
        <v>15436.91</v>
      </c>
      <c r="F854" s="30" t="s">
        <v>58</v>
      </c>
      <c r="G854" s="30" t="s">
        <v>960</v>
      </c>
    </row>
    <row r="855" customFormat="false" ht="15" hidden="false" customHeight="false" outlineLevel="0" collapsed="false">
      <c r="B855" s="30" t="s">
        <v>998</v>
      </c>
      <c r="C855" s="31" t="n">
        <v>46505</v>
      </c>
      <c r="D855" s="30" t="s">
        <v>959</v>
      </c>
      <c r="E855" s="32" t="n">
        <v>1272</v>
      </c>
      <c r="F855" s="30" t="s">
        <v>36</v>
      </c>
      <c r="G855" s="30" t="s">
        <v>960</v>
      </c>
    </row>
    <row r="856" customFormat="false" ht="15" hidden="false" customHeight="false" outlineLevel="0" collapsed="false">
      <c r="B856" s="30" t="s">
        <v>1009</v>
      </c>
      <c r="C856" s="31" t="n">
        <v>46510</v>
      </c>
      <c r="D856" s="30" t="s">
        <v>988</v>
      </c>
      <c r="E856" s="32" t="n">
        <v>20101.44</v>
      </c>
      <c r="F856" s="30" t="s">
        <v>58</v>
      </c>
      <c r="G856" s="30" t="s">
        <v>960</v>
      </c>
    </row>
    <row r="857" customFormat="false" ht="15" hidden="false" customHeight="false" outlineLevel="0" collapsed="false">
      <c r="B857" s="30" t="s">
        <v>987</v>
      </c>
      <c r="C857" s="31" t="n">
        <v>46527</v>
      </c>
      <c r="D857" s="30" t="s">
        <v>988</v>
      </c>
      <c r="E857" s="32" t="n">
        <v>2088</v>
      </c>
      <c r="F857" s="30" t="s">
        <v>58</v>
      </c>
      <c r="G857" s="30" t="s">
        <v>960</v>
      </c>
    </row>
    <row r="858" customFormat="false" ht="15" hidden="false" customHeight="false" outlineLevel="0" collapsed="false">
      <c r="B858" s="30" t="s">
        <v>990</v>
      </c>
      <c r="C858" s="31" t="n">
        <v>46528</v>
      </c>
      <c r="D858" s="30" t="s">
        <v>988</v>
      </c>
      <c r="E858" s="32" t="n">
        <v>42329</v>
      </c>
      <c r="F858" s="30" t="s">
        <v>58</v>
      </c>
      <c r="G858" s="30" t="s">
        <v>960</v>
      </c>
    </row>
    <row r="859" customFormat="false" ht="15" hidden="false" customHeight="false" outlineLevel="0" collapsed="false">
      <c r="B859" s="30" t="s">
        <v>1045</v>
      </c>
      <c r="C859" s="31" t="n">
        <v>46534</v>
      </c>
      <c r="D859" s="30" t="s">
        <v>988</v>
      </c>
      <c r="E859" s="32" t="n">
        <v>2055.6</v>
      </c>
      <c r="F859" s="30" t="s">
        <v>89</v>
      </c>
      <c r="G859" s="30" t="s">
        <v>960</v>
      </c>
    </row>
    <row r="860" customFormat="false" ht="15" hidden="false" customHeight="false" outlineLevel="0" collapsed="false">
      <c r="B860" s="30" t="s">
        <v>994</v>
      </c>
      <c r="C860" s="31" t="n">
        <v>46535</v>
      </c>
      <c r="D860" s="30" t="s">
        <v>988</v>
      </c>
      <c r="E860" s="32" t="n">
        <v>15436.91</v>
      </c>
      <c r="F860" s="30" t="s">
        <v>58</v>
      </c>
      <c r="G860" s="30" t="s">
        <v>960</v>
      </c>
    </row>
    <row r="861" customFormat="false" ht="15" hidden="false" customHeight="false" outlineLevel="0" collapsed="false">
      <c r="B861" s="30" t="s">
        <v>998</v>
      </c>
      <c r="C861" s="31" t="n">
        <v>46535</v>
      </c>
      <c r="D861" s="30" t="s">
        <v>959</v>
      </c>
      <c r="E861" s="32" t="n">
        <v>1272</v>
      </c>
      <c r="F861" s="30" t="s">
        <v>36</v>
      </c>
      <c r="G861" s="30" t="s">
        <v>960</v>
      </c>
    </row>
    <row r="862" customFormat="false" ht="15" hidden="false" customHeight="false" outlineLevel="0" collapsed="false">
      <c r="B862" s="30" t="s">
        <v>1009</v>
      </c>
      <c r="C862" s="31" t="n">
        <v>46539</v>
      </c>
      <c r="D862" s="30" t="s">
        <v>988</v>
      </c>
      <c r="E862" s="32" t="n">
        <v>20101.44</v>
      </c>
      <c r="F862" s="30" t="s">
        <v>58</v>
      </c>
      <c r="G862" s="30" t="s">
        <v>960</v>
      </c>
    </row>
    <row r="863" customFormat="false" ht="15" hidden="false" customHeight="false" outlineLevel="0" collapsed="false">
      <c r="B863" s="30" t="s">
        <v>987</v>
      </c>
      <c r="C863" s="31" t="n">
        <v>46558</v>
      </c>
      <c r="D863" s="30" t="s">
        <v>988</v>
      </c>
      <c r="E863" s="32" t="n">
        <v>2088</v>
      </c>
      <c r="F863" s="30" t="s">
        <v>58</v>
      </c>
      <c r="G863" s="30" t="s">
        <v>960</v>
      </c>
    </row>
    <row r="864" customFormat="false" ht="15" hidden="false" customHeight="false" outlineLevel="0" collapsed="false">
      <c r="B864" s="30" t="s">
        <v>990</v>
      </c>
      <c r="C864" s="31" t="n">
        <v>46559</v>
      </c>
      <c r="D864" s="30" t="s">
        <v>988</v>
      </c>
      <c r="E864" s="32" t="n">
        <v>42329</v>
      </c>
      <c r="F864" s="30" t="s">
        <v>58</v>
      </c>
      <c r="G864" s="30" t="s">
        <v>960</v>
      </c>
    </row>
    <row r="865" customFormat="false" ht="15" hidden="false" customHeight="false" outlineLevel="0" collapsed="false">
      <c r="B865" s="30" t="s">
        <v>1045</v>
      </c>
      <c r="C865" s="31" t="n">
        <v>46565</v>
      </c>
      <c r="D865" s="30" t="s">
        <v>988</v>
      </c>
      <c r="E865" s="32" t="n">
        <v>2055.6</v>
      </c>
      <c r="F865" s="30" t="s">
        <v>89</v>
      </c>
      <c r="G865" s="30" t="s">
        <v>960</v>
      </c>
    </row>
    <row r="866" customFormat="false" ht="15" hidden="false" customHeight="false" outlineLevel="0" collapsed="false">
      <c r="B866" s="30" t="s">
        <v>998</v>
      </c>
      <c r="C866" s="31" t="n">
        <v>46566</v>
      </c>
      <c r="D866" s="30" t="s">
        <v>959</v>
      </c>
      <c r="E866" s="32" t="n">
        <v>1272</v>
      </c>
      <c r="F866" s="30" t="s">
        <v>36</v>
      </c>
      <c r="G866" s="30" t="s">
        <v>960</v>
      </c>
    </row>
    <row r="867" customFormat="false" ht="15" hidden="false" customHeight="false" outlineLevel="0" collapsed="false">
      <c r="B867" s="30" t="s">
        <v>994</v>
      </c>
      <c r="C867" s="31" t="n">
        <v>46566</v>
      </c>
      <c r="D867" s="30" t="s">
        <v>988</v>
      </c>
      <c r="E867" s="32" t="n">
        <v>15436.91</v>
      </c>
      <c r="F867" s="30" t="s">
        <v>58</v>
      </c>
      <c r="G867" s="30" t="s">
        <v>960</v>
      </c>
    </row>
    <row r="868" customFormat="false" ht="15" hidden="false" customHeight="false" outlineLevel="0" collapsed="false">
      <c r="B868" s="30" t="s">
        <v>1009</v>
      </c>
      <c r="C868" s="31" t="n">
        <v>46569</v>
      </c>
      <c r="D868" s="30" t="s">
        <v>988</v>
      </c>
      <c r="E868" s="32" t="n">
        <v>20101.44</v>
      </c>
      <c r="F868" s="30" t="s">
        <v>58</v>
      </c>
      <c r="G868" s="30" t="s">
        <v>960</v>
      </c>
    </row>
    <row r="869" customFormat="false" ht="15" hidden="false" customHeight="false" outlineLevel="0" collapsed="false">
      <c r="B869" s="30" t="s">
        <v>987</v>
      </c>
      <c r="C869" s="31" t="n">
        <v>46588</v>
      </c>
      <c r="D869" s="30" t="s">
        <v>988</v>
      </c>
      <c r="E869" s="32" t="n">
        <v>2088</v>
      </c>
      <c r="F869" s="30" t="s">
        <v>58</v>
      </c>
      <c r="G869" s="30" t="s">
        <v>960</v>
      </c>
    </row>
    <row r="870" customFormat="false" ht="15" hidden="false" customHeight="false" outlineLevel="0" collapsed="false">
      <c r="B870" s="30" t="s">
        <v>990</v>
      </c>
      <c r="C870" s="31" t="n">
        <v>46589</v>
      </c>
      <c r="D870" s="30" t="s">
        <v>988</v>
      </c>
      <c r="E870" s="32" t="n">
        <v>42329</v>
      </c>
      <c r="F870" s="30" t="s">
        <v>58</v>
      </c>
      <c r="G870" s="30" t="s">
        <v>960</v>
      </c>
    </row>
    <row r="871" customFormat="false" ht="15" hidden="false" customHeight="false" outlineLevel="0" collapsed="false">
      <c r="B871" s="30" t="s">
        <v>1045</v>
      </c>
      <c r="C871" s="31" t="n">
        <v>46595</v>
      </c>
      <c r="D871" s="30" t="s">
        <v>988</v>
      </c>
      <c r="E871" s="32" t="n">
        <v>2055.6</v>
      </c>
      <c r="F871" s="30" t="s">
        <v>89</v>
      </c>
      <c r="G871" s="30" t="s">
        <v>960</v>
      </c>
    </row>
    <row r="872" customFormat="false" ht="15" hidden="false" customHeight="false" outlineLevel="0" collapsed="false">
      <c r="B872" s="30" t="s">
        <v>998</v>
      </c>
      <c r="C872" s="31" t="n">
        <v>46596</v>
      </c>
      <c r="D872" s="30" t="s">
        <v>959</v>
      </c>
      <c r="E872" s="32" t="n">
        <v>1272</v>
      </c>
      <c r="F872" s="30" t="s">
        <v>36</v>
      </c>
      <c r="G872" s="30" t="s">
        <v>960</v>
      </c>
    </row>
    <row r="873" customFormat="false" ht="15" hidden="false" customHeight="false" outlineLevel="0" collapsed="false">
      <c r="B873" s="30" t="s">
        <v>994</v>
      </c>
      <c r="C873" s="31" t="n">
        <v>46596</v>
      </c>
      <c r="D873" s="30" t="s">
        <v>988</v>
      </c>
      <c r="E873" s="32" t="n">
        <v>15436.91</v>
      </c>
      <c r="F873" s="30" t="s">
        <v>58</v>
      </c>
      <c r="G873" s="30" t="s">
        <v>960</v>
      </c>
    </row>
    <row r="874" customFormat="false" ht="15" hidden="false" customHeight="false" outlineLevel="0" collapsed="false">
      <c r="B874" s="30" t="s">
        <v>1009</v>
      </c>
      <c r="C874" s="31" t="n">
        <v>46601</v>
      </c>
      <c r="D874" s="30" t="s">
        <v>988</v>
      </c>
      <c r="E874" s="32" t="n">
        <v>20101.44</v>
      </c>
      <c r="F874" s="30" t="s">
        <v>58</v>
      </c>
      <c r="G874" s="30" t="s">
        <v>960</v>
      </c>
    </row>
    <row r="875" customFormat="false" ht="15" hidden="false" customHeight="false" outlineLevel="0" collapsed="false">
      <c r="B875" s="30" t="s">
        <v>990</v>
      </c>
      <c r="C875" s="31" t="n">
        <v>46620</v>
      </c>
      <c r="D875" s="30" t="s">
        <v>988</v>
      </c>
      <c r="E875" s="32" t="n">
        <v>42329</v>
      </c>
      <c r="F875" s="30" t="s">
        <v>58</v>
      </c>
      <c r="G875" s="30" t="s">
        <v>960</v>
      </c>
    </row>
    <row r="876" customFormat="false" ht="15" hidden="false" customHeight="false" outlineLevel="0" collapsed="false">
      <c r="B876" s="30" t="s">
        <v>1045</v>
      </c>
      <c r="C876" s="31" t="n">
        <v>46626</v>
      </c>
      <c r="D876" s="30" t="s">
        <v>988</v>
      </c>
      <c r="E876" s="32" t="n">
        <v>2055.6</v>
      </c>
      <c r="F876" s="30" t="s">
        <v>89</v>
      </c>
      <c r="G876" s="30" t="s">
        <v>960</v>
      </c>
    </row>
    <row r="877" customFormat="false" ht="15" hidden="false" customHeight="false" outlineLevel="0" collapsed="false">
      <c r="B877" s="30" t="s">
        <v>994</v>
      </c>
      <c r="C877" s="31" t="n">
        <v>46627</v>
      </c>
      <c r="D877" s="30" t="s">
        <v>988</v>
      </c>
      <c r="E877" s="32" t="n">
        <v>15436.91</v>
      </c>
      <c r="F877" s="30" t="s">
        <v>58</v>
      </c>
      <c r="G877" s="30" t="s">
        <v>960</v>
      </c>
    </row>
    <row r="878" customFormat="false" ht="15" hidden="false" customHeight="false" outlineLevel="0" collapsed="false">
      <c r="B878" s="30" t="s">
        <v>998</v>
      </c>
      <c r="C878" s="31" t="n">
        <v>46627</v>
      </c>
      <c r="D878" s="30" t="s">
        <v>959</v>
      </c>
      <c r="E878" s="32" t="n">
        <v>1272</v>
      </c>
      <c r="F878" s="30" t="s">
        <v>36</v>
      </c>
      <c r="G878" s="30" t="s">
        <v>960</v>
      </c>
    </row>
    <row r="879" customFormat="false" ht="15" hidden="false" customHeight="false" outlineLevel="0" collapsed="false">
      <c r="B879" s="30" t="s">
        <v>1009</v>
      </c>
      <c r="C879" s="31" t="n">
        <v>46631</v>
      </c>
      <c r="D879" s="30" t="s">
        <v>988</v>
      </c>
      <c r="E879" s="32" t="n">
        <v>20101.44</v>
      </c>
      <c r="F879" s="30" t="s">
        <v>58</v>
      </c>
      <c r="G879" s="30" t="s">
        <v>960</v>
      </c>
    </row>
    <row r="880" customFormat="false" ht="15" hidden="false" customHeight="false" outlineLevel="0" collapsed="false">
      <c r="B880" s="30" t="s">
        <v>990</v>
      </c>
      <c r="C880" s="31" t="n">
        <v>46651</v>
      </c>
      <c r="D880" s="30" t="s">
        <v>988</v>
      </c>
      <c r="E880" s="32" t="n">
        <v>42329</v>
      </c>
      <c r="F880" s="30" t="s">
        <v>58</v>
      </c>
      <c r="G880" s="30" t="s">
        <v>960</v>
      </c>
    </row>
    <row r="881" customFormat="false" ht="15" hidden="false" customHeight="false" outlineLevel="0" collapsed="false">
      <c r="B881" s="30" t="s">
        <v>1045</v>
      </c>
      <c r="C881" s="31" t="n">
        <v>46657</v>
      </c>
      <c r="D881" s="30" t="s">
        <v>988</v>
      </c>
      <c r="E881" s="32" t="n">
        <v>2055.6</v>
      </c>
      <c r="F881" s="30" t="s">
        <v>89</v>
      </c>
      <c r="G881" s="30" t="s">
        <v>960</v>
      </c>
    </row>
    <row r="882" customFormat="false" ht="15" hidden="false" customHeight="false" outlineLevel="0" collapsed="false">
      <c r="B882" s="30" t="s">
        <v>994</v>
      </c>
      <c r="C882" s="31" t="n">
        <v>46658</v>
      </c>
      <c r="D882" s="30" t="s">
        <v>988</v>
      </c>
      <c r="E882" s="32" t="n">
        <v>15436.91</v>
      </c>
      <c r="F882" s="30" t="s">
        <v>58</v>
      </c>
      <c r="G882" s="30" t="s">
        <v>960</v>
      </c>
    </row>
    <row r="883" customFormat="false" ht="15" hidden="false" customHeight="false" outlineLevel="0" collapsed="false">
      <c r="B883" s="30" t="s">
        <v>998</v>
      </c>
      <c r="C883" s="31" t="n">
        <v>46658</v>
      </c>
      <c r="D883" s="30" t="s">
        <v>959</v>
      </c>
      <c r="E883" s="32" t="n">
        <v>1272</v>
      </c>
      <c r="F883" s="30" t="s">
        <v>36</v>
      </c>
      <c r="G883" s="30" t="s">
        <v>960</v>
      </c>
    </row>
    <row r="884" customFormat="false" ht="15" hidden="false" customHeight="false" outlineLevel="0" collapsed="false">
      <c r="B884" s="30" t="s">
        <v>1009</v>
      </c>
      <c r="C884" s="31" t="n">
        <v>46661</v>
      </c>
      <c r="D884" s="30" t="s">
        <v>988</v>
      </c>
      <c r="E884" s="32" t="n">
        <v>20101.44</v>
      </c>
      <c r="F884" s="30" t="s">
        <v>58</v>
      </c>
      <c r="G884" s="30" t="s">
        <v>960</v>
      </c>
    </row>
    <row r="885" customFormat="false" ht="15" hidden="false" customHeight="false" outlineLevel="0" collapsed="false">
      <c r="B885" s="30" t="s">
        <v>990</v>
      </c>
      <c r="C885" s="31" t="n">
        <v>46681</v>
      </c>
      <c r="D885" s="30" t="s">
        <v>988</v>
      </c>
      <c r="E885" s="32" t="n">
        <v>42329</v>
      </c>
      <c r="F885" s="30" t="s">
        <v>58</v>
      </c>
      <c r="G885" s="30" t="s">
        <v>960</v>
      </c>
    </row>
    <row r="886" customFormat="false" ht="15" hidden="false" customHeight="false" outlineLevel="0" collapsed="false">
      <c r="B886" s="30" t="s">
        <v>1045</v>
      </c>
      <c r="C886" s="31" t="n">
        <v>46687</v>
      </c>
      <c r="D886" s="30" t="s">
        <v>988</v>
      </c>
      <c r="E886" s="32" t="n">
        <v>2055.6</v>
      </c>
      <c r="F886" s="30" t="s">
        <v>89</v>
      </c>
      <c r="G886" s="30" t="s">
        <v>960</v>
      </c>
    </row>
    <row r="887" customFormat="false" ht="15" hidden="false" customHeight="false" outlineLevel="0" collapsed="false">
      <c r="B887" s="30" t="s">
        <v>998</v>
      </c>
      <c r="C887" s="31" t="n">
        <v>46688</v>
      </c>
      <c r="D887" s="30" t="s">
        <v>959</v>
      </c>
      <c r="E887" s="32" t="n">
        <v>1272</v>
      </c>
      <c r="F887" s="30" t="s">
        <v>36</v>
      </c>
      <c r="G887" s="30" t="s">
        <v>960</v>
      </c>
    </row>
    <row r="888" customFormat="false" ht="15" hidden="false" customHeight="false" outlineLevel="0" collapsed="false">
      <c r="B888" s="30" t="s">
        <v>994</v>
      </c>
      <c r="C888" s="31" t="n">
        <v>46688</v>
      </c>
      <c r="D888" s="30" t="s">
        <v>988</v>
      </c>
      <c r="E888" s="32" t="n">
        <v>15436.91</v>
      </c>
      <c r="F888" s="30" t="s">
        <v>58</v>
      </c>
      <c r="G888" s="30" t="s">
        <v>960</v>
      </c>
    </row>
    <row r="889" customFormat="false" ht="15" hidden="false" customHeight="false" outlineLevel="0" collapsed="false">
      <c r="B889" s="30" t="s">
        <v>1009</v>
      </c>
      <c r="C889" s="31" t="n">
        <v>46692</v>
      </c>
      <c r="D889" s="30" t="s">
        <v>988</v>
      </c>
      <c r="E889" s="32" t="n">
        <v>20101.44</v>
      </c>
      <c r="F889" s="30" t="s">
        <v>58</v>
      </c>
      <c r="G889" s="30" t="s">
        <v>960</v>
      </c>
    </row>
    <row r="890" customFormat="false" ht="15" hidden="false" customHeight="false" outlineLevel="0" collapsed="false">
      <c r="B890" s="30" t="s">
        <v>990</v>
      </c>
      <c r="C890" s="31" t="n">
        <v>46712</v>
      </c>
      <c r="D890" s="30" t="s">
        <v>988</v>
      </c>
      <c r="E890" s="32" t="n">
        <v>42329</v>
      </c>
      <c r="F890" s="30" t="s">
        <v>58</v>
      </c>
      <c r="G890" s="30" t="s">
        <v>960</v>
      </c>
    </row>
    <row r="891" customFormat="false" ht="15" hidden="false" customHeight="false" outlineLevel="0" collapsed="false">
      <c r="B891" s="30" t="s">
        <v>1045</v>
      </c>
      <c r="C891" s="31" t="n">
        <v>46718</v>
      </c>
      <c r="D891" s="30" t="s">
        <v>988</v>
      </c>
      <c r="E891" s="32" t="n">
        <v>2055.6</v>
      </c>
      <c r="F891" s="30" t="s">
        <v>89</v>
      </c>
      <c r="G891" s="30" t="s">
        <v>960</v>
      </c>
    </row>
    <row r="892" customFormat="false" ht="15" hidden="false" customHeight="false" outlineLevel="0" collapsed="false">
      <c r="B892" s="30" t="s">
        <v>994</v>
      </c>
      <c r="C892" s="31" t="n">
        <v>46719</v>
      </c>
      <c r="D892" s="30" t="s">
        <v>988</v>
      </c>
      <c r="E892" s="32" t="n">
        <v>15436.91</v>
      </c>
      <c r="F892" s="30" t="s">
        <v>58</v>
      </c>
      <c r="G892" s="30" t="s">
        <v>960</v>
      </c>
    </row>
    <row r="893" customFormat="false" ht="15" hidden="false" customHeight="false" outlineLevel="0" collapsed="false">
      <c r="B893" s="30" t="s">
        <v>998</v>
      </c>
      <c r="C893" s="31" t="n">
        <v>46719</v>
      </c>
      <c r="D893" s="30" t="s">
        <v>959</v>
      </c>
      <c r="E893" s="32" t="n">
        <v>1272</v>
      </c>
      <c r="F893" s="30" t="s">
        <v>36</v>
      </c>
      <c r="G893" s="30" t="s">
        <v>960</v>
      </c>
    </row>
    <row r="894" customFormat="false" ht="15" hidden="false" customHeight="false" outlineLevel="0" collapsed="false">
      <c r="B894" s="30" t="s">
        <v>1009</v>
      </c>
      <c r="C894" s="31" t="n">
        <v>46722</v>
      </c>
      <c r="D894" s="30" t="s">
        <v>988</v>
      </c>
      <c r="E894" s="32" t="n">
        <v>20101.44</v>
      </c>
      <c r="F894" s="30" t="s">
        <v>58</v>
      </c>
      <c r="G894" s="30" t="s">
        <v>960</v>
      </c>
    </row>
    <row r="895" customFormat="false" ht="15" hidden="false" customHeight="false" outlineLevel="0" collapsed="false">
      <c r="B895" s="30" t="s">
        <v>990</v>
      </c>
      <c r="C895" s="31" t="n">
        <v>46742</v>
      </c>
      <c r="D895" s="30" t="s">
        <v>988</v>
      </c>
      <c r="E895" s="32" t="n">
        <v>42329</v>
      </c>
      <c r="F895" s="30" t="s">
        <v>58</v>
      </c>
      <c r="G895" s="30" t="s">
        <v>960</v>
      </c>
    </row>
    <row r="896" customFormat="false" ht="15" hidden="false" customHeight="false" outlineLevel="0" collapsed="false">
      <c r="B896" s="30" t="s">
        <v>1045</v>
      </c>
      <c r="C896" s="31" t="n">
        <v>46748</v>
      </c>
      <c r="D896" s="30" t="s">
        <v>988</v>
      </c>
      <c r="E896" s="32" t="n">
        <v>2055.6</v>
      </c>
      <c r="F896" s="30" t="s">
        <v>89</v>
      </c>
      <c r="G896" s="30" t="s">
        <v>960</v>
      </c>
    </row>
    <row r="897" customFormat="false" ht="15" hidden="false" customHeight="false" outlineLevel="0" collapsed="false">
      <c r="B897" s="30" t="s">
        <v>998</v>
      </c>
      <c r="C897" s="31" t="n">
        <v>46749</v>
      </c>
      <c r="D897" s="30" t="s">
        <v>959</v>
      </c>
      <c r="E897" s="32" t="n">
        <v>1272</v>
      </c>
      <c r="F897" s="30" t="s">
        <v>36</v>
      </c>
      <c r="G897" s="30" t="s">
        <v>960</v>
      </c>
    </row>
    <row r="898" customFormat="false" ht="15" hidden="false" customHeight="false" outlineLevel="0" collapsed="false">
      <c r="B898" s="30" t="s">
        <v>1009</v>
      </c>
      <c r="C898" s="31" t="n">
        <v>46755</v>
      </c>
      <c r="D898" s="30" t="s">
        <v>988</v>
      </c>
      <c r="E898" s="32" t="n">
        <v>20101.44</v>
      </c>
      <c r="F898" s="30" t="s">
        <v>58</v>
      </c>
      <c r="G898" s="30" t="s">
        <v>960</v>
      </c>
    </row>
    <row r="899" customFormat="false" ht="15" hidden="false" customHeight="false" outlineLevel="0" collapsed="false">
      <c r="B899" s="30" t="s">
        <v>990</v>
      </c>
      <c r="C899" s="31" t="n">
        <v>46773</v>
      </c>
      <c r="D899" s="30" t="s">
        <v>988</v>
      </c>
      <c r="E899" s="32" t="n">
        <v>42329</v>
      </c>
      <c r="F899" s="30" t="s">
        <v>58</v>
      </c>
      <c r="G899" s="30" t="s">
        <v>960</v>
      </c>
    </row>
    <row r="900" customFormat="false" ht="15" hidden="false" customHeight="false" outlineLevel="0" collapsed="false">
      <c r="B900" s="30" t="s">
        <v>1045</v>
      </c>
      <c r="C900" s="31" t="n">
        <v>46779</v>
      </c>
      <c r="D900" s="30" t="s">
        <v>988</v>
      </c>
      <c r="E900" s="32" t="n">
        <v>2055.6</v>
      </c>
      <c r="F900" s="30" t="s">
        <v>89</v>
      </c>
      <c r="G900" s="30" t="s">
        <v>960</v>
      </c>
    </row>
    <row r="901" customFormat="false" ht="15" hidden="false" customHeight="false" outlineLevel="0" collapsed="false">
      <c r="B901" s="30" t="s">
        <v>998</v>
      </c>
      <c r="C901" s="31" t="n">
        <v>46780</v>
      </c>
      <c r="D901" s="30" t="s">
        <v>959</v>
      </c>
      <c r="E901" s="32" t="n">
        <v>1272</v>
      </c>
      <c r="F901" s="30" t="s">
        <v>36</v>
      </c>
      <c r="G901" s="30" t="s">
        <v>960</v>
      </c>
    </row>
    <row r="902" customFormat="false" ht="15" hidden="false" customHeight="false" outlineLevel="0" collapsed="false">
      <c r="B902" s="30" t="s">
        <v>1009</v>
      </c>
      <c r="C902" s="31" t="n">
        <v>46784</v>
      </c>
      <c r="D902" s="30" t="s">
        <v>988</v>
      </c>
      <c r="E902" s="32" t="n">
        <v>20101.44</v>
      </c>
      <c r="F902" s="30" t="s">
        <v>58</v>
      </c>
      <c r="G902" s="30" t="s">
        <v>960</v>
      </c>
    </row>
    <row r="903" customFormat="false" ht="15" hidden="false" customHeight="false" outlineLevel="0" collapsed="false">
      <c r="B903" s="30" t="s">
        <v>990</v>
      </c>
      <c r="C903" s="31" t="n">
        <v>46804</v>
      </c>
      <c r="D903" s="30" t="s">
        <v>988</v>
      </c>
      <c r="E903" s="32" t="n">
        <v>42329</v>
      </c>
      <c r="F903" s="30" t="s">
        <v>58</v>
      </c>
      <c r="G903" s="30" t="s">
        <v>960</v>
      </c>
    </row>
    <row r="904" customFormat="false" ht="15" hidden="false" customHeight="false" outlineLevel="0" collapsed="false">
      <c r="B904" s="30" t="s">
        <v>1045</v>
      </c>
      <c r="C904" s="31" t="n">
        <v>46810</v>
      </c>
      <c r="D904" s="30" t="s">
        <v>988</v>
      </c>
      <c r="E904" s="32" t="n">
        <v>2055.6</v>
      </c>
      <c r="F904" s="30" t="s">
        <v>89</v>
      </c>
      <c r="G904" s="30" t="s">
        <v>960</v>
      </c>
    </row>
    <row r="905" customFormat="false" ht="15" hidden="false" customHeight="false" outlineLevel="0" collapsed="false">
      <c r="B905" s="30" t="s">
        <v>998</v>
      </c>
      <c r="C905" s="31" t="n">
        <v>46811</v>
      </c>
      <c r="D905" s="30" t="s">
        <v>959</v>
      </c>
      <c r="E905" s="32" t="n">
        <v>1272</v>
      </c>
      <c r="F905" s="30" t="s">
        <v>36</v>
      </c>
      <c r="G905" s="30" t="s">
        <v>960</v>
      </c>
    </row>
    <row r="906" customFormat="false" ht="15" hidden="false" customHeight="false" outlineLevel="0" collapsed="false">
      <c r="B906" s="30" t="s">
        <v>1009</v>
      </c>
      <c r="C906" s="31" t="n">
        <v>46813</v>
      </c>
      <c r="D906" s="30" t="s">
        <v>988</v>
      </c>
      <c r="E906" s="32" t="n">
        <v>20101.44</v>
      </c>
      <c r="F906" s="30" t="s">
        <v>58</v>
      </c>
      <c r="G906" s="30" t="s">
        <v>960</v>
      </c>
    </row>
    <row r="907" customFormat="false" ht="15" hidden="false" customHeight="false" outlineLevel="0" collapsed="false">
      <c r="B907" s="30" t="s">
        <v>990</v>
      </c>
      <c r="C907" s="31" t="n">
        <v>46833</v>
      </c>
      <c r="D907" s="30" t="s">
        <v>988</v>
      </c>
      <c r="E907" s="32" t="n">
        <v>42329</v>
      </c>
      <c r="F907" s="30" t="s">
        <v>58</v>
      </c>
      <c r="G907" s="30" t="s">
        <v>960</v>
      </c>
    </row>
    <row r="908" customFormat="false" ht="15" hidden="false" customHeight="false" outlineLevel="0" collapsed="false">
      <c r="B908" s="30" t="s">
        <v>1045</v>
      </c>
      <c r="C908" s="31" t="n">
        <v>46839</v>
      </c>
      <c r="D908" s="30" t="s">
        <v>988</v>
      </c>
      <c r="E908" s="32" t="n">
        <v>2055.6</v>
      </c>
      <c r="F908" s="30" t="s">
        <v>89</v>
      </c>
      <c r="G908" s="30" t="s">
        <v>960</v>
      </c>
    </row>
    <row r="909" customFormat="false" ht="15" hidden="false" customHeight="false" outlineLevel="0" collapsed="false">
      <c r="B909" s="30" t="s">
        <v>998</v>
      </c>
      <c r="C909" s="31" t="n">
        <v>46840</v>
      </c>
      <c r="D909" s="30" t="s">
        <v>959</v>
      </c>
      <c r="E909" s="32" t="n">
        <v>1272</v>
      </c>
      <c r="F909" s="30" t="s">
        <v>36</v>
      </c>
      <c r="G909" s="30" t="s">
        <v>960</v>
      </c>
    </row>
    <row r="910" customFormat="false" ht="15" hidden="false" customHeight="false" outlineLevel="0" collapsed="false">
      <c r="B910" s="30" t="s">
        <v>1009</v>
      </c>
      <c r="C910" s="31" t="n">
        <v>46846</v>
      </c>
      <c r="D910" s="30" t="s">
        <v>988</v>
      </c>
      <c r="E910" s="32" t="n">
        <v>20101.44</v>
      </c>
      <c r="F910" s="30" t="s">
        <v>58</v>
      </c>
      <c r="G910" s="30" t="s">
        <v>960</v>
      </c>
    </row>
    <row r="911" customFormat="false" ht="15" hidden="false" customHeight="false" outlineLevel="0" collapsed="false">
      <c r="B911" s="30" t="s">
        <v>990</v>
      </c>
      <c r="C911" s="31" t="n">
        <v>46864</v>
      </c>
      <c r="D911" s="30" t="s">
        <v>988</v>
      </c>
      <c r="E911" s="32" t="n">
        <v>42329</v>
      </c>
      <c r="F911" s="30" t="s">
        <v>58</v>
      </c>
      <c r="G911" s="30" t="s">
        <v>960</v>
      </c>
    </row>
    <row r="912" customFormat="false" ht="15" hidden="false" customHeight="false" outlineLevel="0" collapsed="false">
      <c r="B912" s="30" t="s">
        <v>1045</v>
      </c>
      <c r="C912" s="31" t="n">
        <v>46870</v>
      </c>
      <c r="D912" s="30" t="s">
        <v>988</v>
      </c>
      <c r="E912" s="32" t="n">
        <v>2055.6</v>
      </c>
      <c r="F912" s="30" t="s">
        <v>89</v>
      </c>
      <c r="G912" s="30" t="s">
        <v>960</v>
      </c>
    </row>
    <row r="913" customFormat="false" ht="15" hidden="false" customHeight="false" outlineLevel="0" collapsed="false">
      <c r="B913" s="30" t="s">
        <v>998</v>
      </c>
      <c r="C913" s="31" t="n">
        <v>46871</v>
      </c>
      <c r="D913" s="30" t="s">
        <v>959</v>
      </c>
      <c r="E913" s="32" t="n">
        <v>1272</v>
      </c>
      <c r="F913" s="30" t="s">
        <v>36</v>
      </c>
      <c r="G913" s="30" t="s">
        <v>960</v>
      </c>
    </row>
    <row r="914" customFormat="false" ht="15" hidden="false" customHeight="false" outlineLevel="0" collapsed="false">
      <c r="B914" s="30" t="s">
        <v>1009</v>
      </c>
      <c r="C914" s="31" t="n">
        <v>46875</v>
      </c>
      <c r="D914" s="30" t="s">
        <v>988</v>
      </c>
      <c r="E914" s="32" t="n">
        <v>20101.44</v>
      </c>
      <c r="F914" s="30" t="s">
        <v>58</v>
      </c>
      <c r="G914" s="30" t="s">
        <v>960</v>
      </c>
    </row>
    <row r="915" customFormat="false" ht="15" hidden="false" customHeight="false" outlineLevel="0" collapsed="false">
      <c r="B915" s="30" t="s">
        <v>990</v>
      </c>
      <c r="C915" s="31" t="n">
        <v>46894</v>
      </c>
      <c r="D915" s="30" t="s">
        <v>988</v>
      </c>
      <c r="E915" s="32" t="n">
        <v>42329</v>
      </c>
      <c r="F915" s="30" t="s">
        <v>58</v>
      </c>
      <c r="G915" s="30" t="s">
        <v>960</v>
      </c>
    </row>
    <row r="916" customFormat="false" ht="15" hidden="false" customHeight="false" outlineLevel="0" collapsed="false">
      <c r="B916" s="30" t="s">
        <v>1045</v>
      </c>
      <c r="C916" s="31" t="n">
        <v>46900</v>
      </c>
      <c r="D916" s="30" t="s">
        <v>988</v>
      </c>
      <c r="E916" s="32" t="n">
        <v>2055.6</v>
      </c>
      <c r="F916" s="30" t="s">
        <v>89</v>
      </c>
      <c r="G916" s="30" t="s">
        <v>960</v>
      </c>
    </row>
    <row r="917" customFormat="false" ht="15" hidden="false" customHeight="false" outlineLevel="0" collapsed="false">
      <c r="B917" s="30" t="s">
        <v>998</v>
      </c>
      <c r="C917" s="31" t="n">
        <v>46901</v>
      </c>
      <c r="D917" s="30" t="s">
        <v>959</v>
      </c>
      <c r="E917" s="32" t="n">
        <v>1272</v>
      </c>
      <c r="F917" s="30" t="s">
        <v>36</v>
      </c>
      <c r="G917" s="30" t="s">
        <v>960</v>
      </c>
    </row>
    <row r="918" customFormat="false" ht="15" hidden="false" customHeight="false" outlineLevel="0" collapsed="false">
      <c r="B918" s="30" t="s">
        <v>1009</v>
      </c>
      <c r="C918" s="31" t="n">
        <v>46905</v>
      </c>
      <c r="D918" s="30" t="s">
        <v>988</v>
      </c>
      <c r="E918" s="32" t="n">
        <v>20101.44</v>
      </c>
      <c r="F918" s="30" t="s">
        <v>58</v>
      </c>
      <c r="G918" s="30" t="s">
        <v>960</v>
      </c>
    </row>
    <row r="919" customFormat="false" ht="15" hidden="false" customHeight="false" outlineLevel="0" collapsed="false">
      <c r="B919" s="30" t="s">
        <v>990</v>
      </c>
      <c r="C919" s="31" t="n">
        <v>46925</v>
      </c>
      <c r="D919" s="30" t="s">
        <v>988</v>
      </c>
      <c r="E919" s="32" t="n">
        <v>42329</v>
      </c>
      <c r="F919" s="30" t="s">
        <v>58</v>
      </c>
      <c r="G919" s="30" t="s">
        <v>960</v>
      </c>
    </row>
    <row r="920" customFormat="false" ht="15" hidden="false" customHeight="false" outlineLevel="0" collapsed="false">
      <c r="B920" s="30" t="s">
        <v>1045</v>
      </c>
      <c r="C920" s="31" t="n">
        <v>46931</v>
      </c>
      <c r="D920" s="30" t="s">
        <v>988</v>
      </c>
      <c r="E920" s="32" t="n">
        <v>2055.6</v>
      </c>
      <c r="F920" s="30" t="s">
        <v>89</v>
      </c>
      <c r="G920" s="30" t="s">
        <v>960</v>
      </c>
    </row>
    <row r="921" customFormat="false" ht="15" hidden="false" customHeight="false" outlineLevel="0" collapsed="false">
      <c r="B921" s="30" t="s">
        <v>998</v>
      </c>
      <c r="C921" s="31" t="n">
        <v>46932</v>
      </c>
      <c r="D921" s="30" t="s">
        <v>959</v>
      </c>
      <c r="E921" s="32" t="n">
        <v>1272</v>
      </c>
      <c r="F921" s="30" t="s">
        <v>36</v>
      </c>
      <c r="G921" s="30" t="s">
        <v>960</v>
      </c>
    </row>
    <row r="922" customFormat="false" ht="15" hidden="false" customHeight="false" outlineLevel="0" collapsed="false">
      <c r="B922" s="30" t="s">
        <v>1009</v>
      </c>
      <c r="C922" s="31" t="n">
        <v>46937</v>
      </c>
      <c r="D922" s="30" t="s">
        <v>988</v>
      </c>
      <c r="E922" s="32" t="n">
        <v>20101.44</v>
      </c>
      <c r="F922" s="30" t="s">
        <v>58</v>
      </c>
      <c r="G922" s="30" t="s">
        <v>960</v>
      </c>
    </row>
    <row r="923" customFormat="false" ht="15" hidden="false" customHeight="false" outlineLevel="0" collapsed="false">
      <c r="B923" s="30" t="s">
        <v>990</v>
      </c>
      <c r="C923" s="31" t="n">
        <v>46955</v>
      </c>
      <c r="D923" s="30" t="s">
        <v>988</v>
      </c>
      <c r="E923" s="32" t="n">
        <v>42329</v>
      </c>
      <c r="F923" s="30" t="s">
        <v>58</v>
      </c>
      <c r="G923" s="30" t="s">
        <v>960</v>
      </c>
    </row>
    <row r="924" customFormat="false" ht="15" hidden="false" customHeight="false" outlineLevel="0" collapsed="false">
      <c r="B924" s="30" t="s">
        <v>1045</v>
      </c>
      <c r="C924" s="31" t="n">
        <v>46961</v>
      </c>
      <c r="D924" s="30" t="s">
        <v>988</v>
      </c>
      <c r="E924" s="32" t="n">
        <v>2055.6</v>
      </c>
      <c r="F924" s="30" t="s">
        <v>89</v>
      </c>
      <c r="G924" s="30" t="s">
        <v>960</v>
      </c>
    </row>
    <row r="925" customFormat="false" ht="15" hidden="false" customHeight="false" outlineLevel="0" collapsed="false">
      <c r="B925" s="30" t="s">
        <v>998</v>
      </c>
      <c r="C925" s="31" t="n">
        <v>46962</v>
      </c>
      <c r="D925" s="30" t="s">
        <v>959</v>
      </c>
      <c r="E925" s="32" t="n">
        <v>1272</v>
      </c>
      <c r="F925" s="30" t="s">
        <v>36</v>
      </c>
      <c r="G925" s="30" t="s">
        <v>960</v>
      </c>
    </row>
    <row r="926" customFormat="false" ht="15" hidden="false" customHeight="false" outlineLevel="0" collapsed="false">
      <c r="B926" s="30" t="s">
        <v>1009</v>
      </c>
      <c r="C926" s="31" t="n">
        <v>46966</v>
      </c>
      <c r="D926" s="30" t="s">
        <v>988</v>
      </c>
      <c r="E926" s="32" t="n">
        <v>20101.44</v>
      </c>
      <c r="F926" s="30" t="s">
        <v>58</v>
      </c>
      <c r="G926" s="30" t="s">
        <v>960</v>
      </c>
    </row>
    <row r="927" customFormat="false" ht="15" hidden="false" customHeight="false" outlineLevel="0" collapsed="false">
      <c r="B927" s="30" t="s">
        <v>990</v>
      </c>
      <c r="C927" s="31" t="n">
        <v>46986</v>
      </c>
      <c r="D927" s="30" t="s">
        <v>988</v>
      </c>
      <c r="E927" s="32" t="n">
        <v>42329</v>
      </c>
      <c r="F927" s="30" t="s">
        <v>58</v>
      </c>
      <c r="G927" s="30" t="s">
        <v>960</v>
      </c>
    </row>
    <row r="928" customFormat="false" ht="15" hidden="false" customHeight="false" outlineLevel="0" collapsed="false">
      <c r="B928" s="30" t="s">
        <v>1045</v>
      </c>
      <c r="C928" s="31" t="n">
        <v>46992</v>
      </c>
      <c r="D928" s="30" t="s">
        <v>988</v>
      </c>
      <c r="E928" s="32" t="n">
        <v>2055.6</v>
      </c>
      <c r="F928" s="30" t="s">
        <v>89</v>
      </c>
      <c r="G928" s="30" t="s">
        <v>960</v>
      </c>
    </row>
    <row r="929" customFormat="false" ht="15" hidden="false" customHeight="false" outlineLevel="0" collapsed="false">
      <c r="B929" s="30" t="s">
        <v>998</v>
      </c>
      <c r="C929" s="31" t="n">
        <v>46993</v>
      </c>
      <c r="D929" s="30" t="s">
        <v>959</v>
      </c>
      <c r="E929" s="32" t="n">
        <v>1272</v>
      </c>
      <c r="F929" s="30" t="s">
        <v>36</v>
      </c>
      <c r="G929" s="30" t="s">
        <v>960</v>
      </c>
    </row>
    <row r="930" customFormat="false" ht="15" hidden="false" customHeight="false" outlineLevel="0" collapsed="false">
      <c r="B930" s="30" t="s">
        <v>1009</v>
      </c>
      <c r="C930" s="31" t="n">
        <v>46997</v>
      </c>
      <c r="D930" s="30" t="s">
        <v>988</v>
      </c>
      <c r="E930" s="32" t="n">
        <v>20101.44</v>
      </c>
      <c r="F930" s="30" t="s">
        <v>58</v>
      </c>
      <c r="G930" s="30" t="s">
        <v>960</v>
      </c>
    </row>
    <row r="931" customFormat="false" ht="15" hidden="false" customHeight="false" outlineLevel="0" collapsed="false">
      <c r="B931" s="30" t="s">
        <v>990</v>
      </c>
      <c r="C931" s="31" t="n">
        <v>47017</v>
      </c>
      <c r="D931" s="30" t="s">
        <v>988</v>
      </c>
      <c r="E931" s="32" t="n">
        <v>42329</v>
      </c>
      <c r="F931" s="30" t="s">
        <v>58</v>
      </c>
      <c r="G931" s="30" t="s">
        <v>960</v>
      </c>
    </row>
    <row r="932" customFormat="false" ht="15" hidden="false" customHeight="false" outlineLevel="0" collapsed="false">
      <c r="B932" s="30" t="s">
        <v>1045</v>
      </c>
      <c r="C932" s="31" t="n">
        <v>47023</v>
      </c>
      <c r="D932" s="30" t="s">
        <v>988</v>
      </c>
      <c r="E932" s="32" t="n">
        <v>2055.6</v>
      </c>
      <c r="F932" s="30" t="s">
        <v>89</v>
      </c>
      <c r="G932" s="30" t="s">
        <v>960</v>
      </c>
    </row>
    <row r="933" customFormat="false" ht="15" hidden="false" customHeight="false" outlineLevel="0" collapsed="false">
      <c r="B933" s="30" t="s">
        <v>998</v>
      </c>
      <c r="C933" s="31" t="n">
        <v>47024</v>
      </c>
      <c r="D933" s="30" t="s">
        <v>959</v>
      </c>
      <c r="E933" s="32" t="n">
        <v>1272</v>
      </c>
      <c r="F933" s="30" t="s">
        <v>36</v>
      </c>
      <c r="G933" s="30" t="s">
        <v>960</v>
      </c>
    </row>
    <row r="934" customFormat="false" ht="15" hidden="false" customHeight="false" outlineLevel="0" collapsed="false">
      <c r="B934" s="30" t="s">
        <v>1009</v>
      </c>
      <c r="C934" s="31" t="n">
        <v>47028</v>
      </c>
      <c r="D934" s="30" t="s">
        <v>988</v>
      </c>
      <c r="E934" s="32" t="n">
        <v>20101.44</v>
      </c>
      <c r="F934" s="30" t="s">
        <v>58</v>
      </c>
      <c r="G934" s="30" t="s">
        <v>960</v>
      </c>
    </row>
    <row r="935" customFormat="false" ht="15" hidden="false" customHeight="false" outlineLevel="0" collapsed="false">
      <c r="B935" s="30" t="s">
        <v>990</v>
      </c>
      <c r="C935" s="31" t="n">
        <v>47047</v>
      </c>
      <c r="D935" s="30" t="s">
        <v>988</v>
      </c>
      <c r="E935" s="32" t="n">
        <v>42329</v>
      </c>
      <c r="F935" s="30" t="s">
        <v>58</v>
      </c>
      <c r="G935" s="30" t="s">
        <v>960</v>
      </c>
    </row>
    <row r="936" customFormat="false" ht="15" hidden="false" customHeight="false" outlineLevel="0" collapsed="false">
      <c r="B936" s="30" t="s">
        <v>1045</v>
      </c>
      <c r="C936" s="31" t="n">
        <v>47053</v>
      </c>
      <c r="D936" s="30" t="s">
        <v>988</v>
      </c>
      <c r="E936" s="32" t="n">
        <v>2055.6</v>
      </c>
      <c r="F936" s="30" t="s">
        <v>89</v>
      </c>
      <c r="G936" s="30" t="s">
        <v>960</v>
      </c>
    </row>
    <row r="937" customFormat="false" ht="15" hidden="false" customHeight="false" outlineLevel="0" collapsed="false">
      <c r="B937" s="30" t="s">
        <v>998</v>
      </c>
      <c r="C937" s="31" t="n">
        <v>47054</v>
      </c>
      <c r="D937" s="30" t="s">
        <v>959</v>
      </c>
      <c r="E937" s="32" t="n">
        <v>1272</v>
      </c>
      <c r="F937" s="30" t="s">
        <v>36</v>
      </c>
      <c r="G937" s="30" t="s">
        <v>960</v>
      </c>
    </row>
    <row r="938" customFormat="false" ht="15" hidden="false" customHeight="false" outlineLevel="0" collapsed="false">
      <c r="B938" s="30" t="s">
        <v>1009</v>
      </c>
      <c r="C938" s="31" t="n">
        <v>47058</v>
      </c>
      <c r="D938" s="30" t="s">
        <v>988</v>
      </c>
      <c r="E938" s="32" t="n">
        <v>20101.44</v>
      </c>
      <c r="F938" s="30" t="s">
        <v>58</v>
      </c>
      <c r="G938" s="30" t="s">
        <v>960</v>
      </c>
    </row>
    <row r="939" customFormat="false" ht="15" hidden="false" customHeight="false" outlineLevel="0" collapsed="false">
      <c r="B939" s="30" t="s">
        <v>990</v>
      </c>
      <c r="C939" s="31" t="n">
        <v>47078</v>
      </c>
      <c r="D939" s="30" t="s">
        <v>988</v>
      </c>
      <c r="E939" s="32" t="n">
        <v>42329</v>
      </c>
      <c r="F939" s="30" t="s">
        <v>58</v>
      </c>
      <c r="G939" s="30" t="s">
        <v>960</v>
      </c>
    </row>
    <row r="940" customFormat="false" ht="15" hidden="false" customHeight="false" outlineLevel="0" collapsed="false">
      <c r="B940" s="30" t="s">
        <v>1045</v>
      </c>
      <c r="C940" s="31" t="n">
        <v>47084</v>
      </c>
      <c r="D940" s="30" t="s">
        <v>988</v>
      </c>
      <c r="E940" s="32" t="n">
        <v>2055.6</v>
      </c>
      <c r="F940" s="30" t="s">
        <v>89</v>
      </c>
      <c r="G940" s="30" t="s">
        <v>960</v>
      </c>
    </row>
    <row r="941" customFormat="false" ht="15" hidden="false" customHeight="false" outlineLevel="0" collapsed="false">
      <c r="B941" s="30" t="s">
        <v>998</v>
      </c>
      <c r="C941" s="31" t="n">
        <v>47085</v>
      </c>
      <c r="D941" s="30" t="s">
        <v>959</v>
      </c>
      <c r="E941" s="32" t="n">
        <v>1272</v>
      </c>
      <c r="F941" s="30" t="s">
        <v>36</v>
      </c>
      <c r="G941" s="30" t="s">
        <v>960</v>
      </c>
    </row>
    <row r="942" customFormat="false" ht="15" hidden="false" customHeight="false" outlineLevel="0" collapsed="false">
      <c r="B942" s="30" t="s">
        <v>1009</v>
      </c>
      <c r="C942" s="31" t="n">
        <v>47088</v>
      </c>
      <c r="D942" s="30" t="s">
        <v>988</v>
      </c>
      <c r="E942" s="32" t="n">
        <v>20101.44</v>
      </c>
      <c r="F942" s="30" t="s">
        <v>58</v>
      </c>
      <c r="G942" s="30" t="s">
        <v>960</v>
      </c>
    </row>
    <row r="943" customFormat="false" ht="15" hidden="false" customHeight="false" outlineLevel="0" collapsed="false">
      <c r="B943" s="30" t="s">
        <v>990</v>
      </c>
      <c r="C943" s="31" t="n">
        <v>47108</v>
      </c>
      <c r="D943" s="30" t="s">
        <v>988</v>
      </c>
      <c r="E943" s="32" t="n">
        <v>42329</v>
      </c>
      <c r="F943" s="30" t="s">
        <v>58</v>
      </c>
      <c r="G943" s="30" t="s">
        <v>960</v>
      </c>
    </row>
    <row r="944" customFormat="false" ht="15" hidden="false" customHeight="false" outlineLevel="0" collapsed="false">
      <c r="B944" s="30" t="s">
        <v>1045</v>
      </c>
      <c r="C944" s="31" t="n">
        <v>47114</v>
      </c>
      <c r="D944" s="30" t="s">
        <v>988</v>
      </c>
      <c r="E944" s="32" t="n">
        <v>2055.6</v>
      </c>
      <c r="F944" s="30" t="s">
        <v>89</v>
      </c>
      <c r="G944" s="30" t="s">
        <v>960</v>
      </c>
    </row>
    <row r="945" customFormat="false" ht="15" hidden="false" customHeight="false" outlineLevel="0" collapsed="false">
      <c r="B945" s="30" t="s">
        <v>998</v>
      </c>
      <c r="C945" s="31" t="n">
        <v>47115</v>
      </c>
      <c r="D945" s="30" t="s">
        <v>959</v>
      </c>
      <c r="E945" s="32" t="n">
        <v>1272</v>
      </c>
      <c r="F945" s="30" t="s">
        <v>36</v>
      </c>
      <c r="G945" s="30" t="s">
        <v>960</v>
      </c>
    </row>
    <row r="946" customFormat="false" ht="15" hidden="false" customHeight="false" outlineLevel="0" collapsed="false">
      <c r="B946" s="30" t="s">
        <v>1009</v>
      </c>
      <c r="C946" s="31" t="n">
        <v>47120</v>
      </c>
      <c r="D946" s="30" t="s">
        <v>988</v>
      </c>
      <c r="E946" s="32" t="n">
        <v>20101.44</v>
      </c>
      <c r="F946" s="30" t="s">
        <v>58</v>
      </c>
      <c r="G946" s="30" t="s">
        <v>960</v>
      </c>
    </row>
    <row r="947" customFormat="false" ht="15" hidden="false" customHeight="false" outlineLevel="0" collapsed="false">
      <c r="B947" s="30" t="s">
        <v>1045</v>
      </c>
      <c r="C947" s="31" t="n">
        <v>47145</v>
      </c>
      <c r="D947" s="30" t="s">
        <v>988</v>
      </c>
      <c r="E947" s="32" t="n">
        <v>2055.6</v>
      </c>
      <c r="F947" s="30" t="s">
        <v>89</v>
      </c>
      <c r="G947" s="30" t="s">
        <v>960</v>
      </c>
    </row>
    <row r="948" customFormat="false" ht="15" hidden="false" customHeight="false" outlineLevel="0" collapsed="false">
      <c r="B948" s="30" t="s">
        <v>998</v>
      </c>
      <c r="C948" s="31" t="n">
        <v>47146</v>
      </c>
      <c r="D948" s="30" t="s">
        <v>959</v>
      </c>
      <c r="E948" s="32" t="n">
        <v>1272</v>
      </c>
      <c r="F948" s="30" t="s">
        <v>36</v>
      </c>
      <c r="G948" s="30" t="s">
        <v>960</v>
      </c>
    </row>
    <row r="949" customFormat="false" ht="15" hidden="false" customHeight="false" outlineLevel="0" collapsed="false">
      <c r="B949" s="30" t="s">
        <v>1009</v>
      </c>
      <c r="C949" s="31" t="n">
        <v>47150</v>
      </c>
      <c r="D949" s="30" t="s">
        <v>988</v>
      </c>
      <c r="E949" s="32" t="n">
        <v>20101.44</v>
      </c>
      <c r="F949" s="30" t="s">
        <v>58</v>
      </c>
      <c r="G949" s="30" t="s">
        <v>960</v>
      </c>
    </row>
    <row r="950" customFormat="false" ht="15" hidden="false" customHeight="false" outlineLevel="0" collapsed="false">
      <c r="B950" s="30" t="s">
        <v>1045</v>
      </c>
      <c r="C950" s="31" t="n">
        <v>47176</v>
      </c>
      <c r="D950" s="30" t="s">
        <v>988</v>
      </c>
      <c r="E950" s="32" t="n">
        <v>2055.6</v>
      </c>
      <c r="F950" s="30" t="s">
        <v>89</v>
      </c>
      <c r="G950" s="30" t="s">
        <v>960</v>
      </c>
    </row>
    <row r="951" customFormat="false" ht="15" hidden="false" customHeight="false" outlineLevel="0" collapsed="false">
      <c r="B951" s="30" t="s">
        <v>998</v>
      </c>
      <c r="C951" s="31" t="n">
        <v>47177</v>
      </c>
      <c r="D951" s="30" t="s">
        <v>959</v>
      </c>
      <c r="E951" s="32" t="n">
        <v>1272</v>
      </c>
      <c r="F951" s="30" t="s">
        <v>36</v>
      </c>
      <c r="G951" s="30" t="s">
        <v>960</v>
      </c>
    </row>
    <row r="952" customFormat="false" ht="15" hidden="false" customHeight="false" outlineLevel="0" collapsed="false">
      <c r="B952" s="30" t="s">
        <v>1009</v>
      </c>
      <c r="C952" s="31" t="n">
        <v>47178</v>
      </c>
      <c r="D952" s="30" t="s">
        <v>988</v>
      </c>
      <c r="E952" s="32" t="n">
        <v>20101.44</v>
      </c>
      <c r="F952" s="30" t="s">
        <v>58</v>
      </c>
      <c r="G952" s="30" t="s">
        <v>960</v>
      </c>
    </row>
    <row r="953" customFormat="false" ht="15" hidden="false" customHeight="false" outlineLevel="0" collapsed="false">
      <c r="B953" s="30" t="s">
        <v>1045</v>
      </c>
      <c r="C953" s="31" t="n">
        <v>47204</v>
      </c>
      <c r="D953" s="30" t="s">
        <v>988</v>
      </c>
      <c r="E953" s="32" t="n">
        <v>2055.6</v>
      </c>
      <c r="F953" s="30" t="s">
        <v>89</v>
      </c>
      <c r="G953" s="30" t="s">
        <v>960</v>
      </c>
    </row>
    <row r="954" customFormat="false" ht="15" hidden="false" customHeight="false" outlineLevel="0" collapsed="false">
      <c r="B954" s="30" t="s">
        <v>998</v>
      </c>
      <c r="C954" s="31" t="n">
        <v>47205</v>
      </c>
      <c r="D954" s="30" t="s">
        <v>959</v>
      </c>
      <c r="E954" s="32" t="n">
        <v>1272</v>
      </c>
      <c r="F954" s="30" t="s">
        <v>36</v>
      </c>
      <c r="G954" s="30" t="s">
        <v>960</v>
      </c>
    </row>
    <row r="955" customFormat="false" ht="15" hidden="false" customHeight="false" outlineLevel="0" collapsed="false">
      <c r="B955" s="30" t="s">
        <v>1009</v>
      </c>
      <c r="C955" s="31" t="n">
        <v>47210</v>
      </c>
      <c r="D955" s="30" t="s">
        <v>988</v>
      </c>
      <c r="E955" s="32" t="n">
        <v>20101.44</v>
      </c>
      <c r="F955" s="30" t="s">
        <v>58</v>
      </c>
      <c r="G955" s="30" t="s">
        <v>960</v>
      </c>
    </row>
    <row r="956" customFormat="false" ht="15" hidden="false" customHeight="false" outlineLevel="0" collapsed="false">
      <c r="B956" s="30" t="s">
        <v>1045</v>
      </c>
      <c r="C956" s="31" t="n">
        <v>47235</v>
      </c>
      <c r="D956" s="30" t="s">
        <v>988</v>
      </c>
      <c r="E956" s="32" t="n">
        <v>2055.6</v>
      </c>
      <c r="F956" s="30" t="s">
        <v>89</v>
      </c>
      <c r="G956" s="30" t="s">
        <v>960</v>
      </c>
    </row>
    <row r="957" customFormat="false" ht="15" hidden="false" customHeight="false" outlineLevel="0" collapsed="false">
      <c r="B957" s="30" t="s">
        <v>998</v>
      </c>
      <c r="C957" s="31" t="n">
        <v>47236</v>
      </c>
      <c r="D957" s="30" t="s">
        <v>959</v>
      </c>
      <c r="E957" s="32" t="n">
        <v>1272</v>
      </c>
      <c r="F957" s="30" t="s">
        <v>36</v>
      </c>
      <c r="G957" s="30" t="s">
        <v>960</v>
      </c>
    </row>
    <row r="958" customFormat="false" ht="15" hidden="false" customHeight="false" outlineLevel="0" collapsed="false">
      <c r="B958" s="30" t="s">
        <v>1009</v>
      </c>
      <c r="C958" s="31" t="n">
        <v>47240</v>
      </c>
      <c r="D958" s="30" t="s">
        <v>988</v>
      </c>
      <c r="E958" s="32" t="n">
        <v>20101.44</v>
      </c>
      <c r="F958" s="30" t="s">
        <v>58</v>
      </c>
      <c r="G958" s="30" t="s">
        <v>960</v>
      </c>
    </row>
    <row r="959" customFormat="false" ht="15" hidden="false" customHeight="false" outlineLevel="0" collapsed="false">
      <c r="B959" s="30" t="s">
        <v>1045</v>
      </c>
      <c r="C959" s="31" t="n">
        <v>47265</v>
      </c>
      <c r="D959" s="30" t="s">
        <v>988</v>
      </c>
      <c r="E959" s="32" t="n">
        <v>2055.6</v>
      </c>
      <c r="F959" s="30" t="s">
        <v>89</v>
      </c>
      <c r="G959" s="30" t="s">
        <v>960</v>
      </c>
    </row>
    <row r="960" customFormat="false" ht="15" hidden="false" customHeight="false" outlineLevel="0" collapsed="false">
      <c r="B960" s="30" t="s">
        <v>998</v>
      </c>
      <c r="C960" s="31" t="n">
        <v>47266</v>
      </c>
      <c r="D960" s="30" t="s">
        <v>959</v>
      </c>
      <c r="E960" s="32" t="n">
        <v>1272</v>
      </c>
      <c r="F960" s="30" t="s">
        <v>36</v>
      </c>
      <c r="G960" s="30" t="s">
        <v>960</v>
      </c>
    </row>
    <row r="961" customFormat="false" ht="15" hidden="false" customHeight="false" outlineLevel="0" collapsed="false">
      <c r="B961" s="30" t="s">
        <v>1009</v>
      </c>
      <c r="C961" s="31" t="n">
        <v>47270</v>
      </c>
      <c r="D961" s="30" t="s">
        <v>988</v>
      </c>
      <c r="E961" s="32" t="n">
        <v>20101.44</v>
      </c>
      <c r="F961" s="30" t="s">
        <v>58</v>
      </c>
      <c r="G961" s="30" t="s">
        <v>960</v>
      </c>
    </row>
    <row r="962" customFormat="false" ht="15" hidden="false" customHeight="false" outlineLevel="0" collapsed="false">
      <c r="B962" s="30" t="s">
        <v>1045</v>
      </c>
      <c r="C962" s="31" t="n">
        <v>47296</v>
      </c>
      <c r="D962" s="30" t="s">
        <v>988</v>
      </c>
      <c r="E962" s="32" t="n">
        <v>2055.6</v>
      </c>
      <c r="F962" s="30" t="s">
        <v>89</v>
      </c>
      <c r="G962" s="30" t="s">
        <v>960</v>
      </c>
    </row>
    <row r="963" customFormat="false" ht="15" hidden="false" customHeight="false" outlineLevel="0" collapsed="false">
      <c r="B963" s="30" t="s">
        <v>998</v>
      </c>
      <c r="C963" s="31" t="n">
        <v>47297</v>
      </c>
      <c r="D963" s="30" t="s">
        <v>959</v>
      </c>
      <c r="E963" s="32" t="n">
        <v>1272</v>
      </c>
      <c r="F963" s="30" t="s">
        <v>36</v>
      </c>
      <c r="G963" s="30" t="s">
        <v>960</v>
      </c>
    </row>
    <row r="964" customFormat="false" ht="15" hidden="false" customHeight="false" outlineLevel="0" collapsed="false">
      <c r="B964" s="30" t="s">
        <v>1009</v>
      </c>
      <c r="C964" s="31" t="n">
        <v>47301</v>
      </c>
      <c r="D964" s="30" t="s">
        <v>988</v>
      </c>
      <c r="E964" s="32" t="n">
        <v>20101.44</v>
      </c>
      <c r="F964" s="30" t="s">
        <v>58</v>
      </c>
      <c r="G964" s="30" t="s">
        <v>960</v>
      </c>
    </row>
    <row r="965" customFormat="false" ht="15" hidden="false" customHeight="false" outlineLevel="0" collapsed="false">
      <c r="B965" s="30" t="s">
        <v>1045</v>
      </c>
      <c r="C965" s="31" t="n">
        <v>47326</v>
      </c>
      <c r="D965" s="30" t="s">
        <v>988</v>
      </c>
      <c r="E965" s="32" t="n">
        <v>2055.6</v>
      </c>
      <c r="F965" s="30" t="s">
        <v>89</v>
      </c>
      <c r="G965" s="30" t="s">
        <v>960</v>
      </c>
    </row>
    <row r="966" customFormat="false" ht="15" hidden="false" customHeight="false" outlineLevel="0" collapsed="false">
      <c r="B966" s="30" t="s">
        <v>998</v>
      </c>
      <c r="C966" s="31" t="n">
        <v>47327</v>
      </c>
      <c r="D966" s="30" t="s">
        <v>959</v>
      </c>
      <c r="E966" s="32" t="n">
        <v>1272</v>
      </c>
      <c r="F966" s="30" t="s">
        <v>36</v>
      </c>
      <c r="G966" s="30" t="s">
        <v>960</v>
      </c>
    </row>
    <row r="967" customFormat="false" ht="15" hidden="false" customHeight="false" outlineLevel="0" collapsed="false">
      <c r="B967" s="30" t="s">
        <v>1009</v>
      </c>
      <c r="C967" s="31" t="n">
        <v>47331</v>
      </c>
      <c r="D967" s="30" t="s">
        <v>988</v>
      </c>
      <c r="E967" s="32" t="n">
        <v>20101.44</v>
      </c>
      <c r="F967" s="30" t="s">
        <v>58</v>
      </c>
      <c r="G967" s="30" t="s">
        <v>960</v>
      </c>
    </row>
    <row r="968" customFormat="false" ht="15" hidden="false" customHeight="false" outlineLevel="0" collapsed="false">
      <c r="B968" s="30" t="s">
        <v>1045</v>
      </c>
      <c r="C968" s="31" t="n">
        <v>47357</v>
      </c>
      <c r="D968" s="30" t="s">
        <v>988</v>
      </c>
      <c r="E968" s="32" t="n">
        <v>2055.6</v>
      </c>
      <c r="F968" s="30" t="s">
        <v>89</v>
      </c>
      <c r="G968" s="30" t="s">
        <v>960</v>
      </c>
    </row>
    <row r="969" customFormat="false" ht="15" hidden="false" customHeight="false" outlineLevel="0" collapsed="false">
      <c r="B969" s="30" t="s">
        <v>998</v>
      </c>
      <c r="C969" s="31" t="n">
        <v>47358</v>
      </c>
      <c r="D969" s="30" t="s">
        <v>959</v>
      </c>
      <c r="E969" s="32" t="n">
        <v>1272</v>
      </c>
      <c r="F969" s="30" t="s">
        <v>36</v>
      </c>
      <c r="G969" s="30" t="s">
        <v>960</v>
      </c>
    </row>
    <row r="970" customFormat="false" ht="15" hidden="false" customHeight="false" outlineLevel="0" collapsed="false">
      <c r="B970" s="30" t="s">
        <v>1009</v>
      </c>
      <c r="C970" s="31" t="n">
        <v>47364</v>
      </c>
      <c r="D970" s="30" t="s">
        <v>988</v>
      </c>
      <c r="E970" s="32" t="n">
        <v>20101.44</v>
      </c>
      <c r="F970" s="30" t="s">
        <v>58</v>
      </c>
      <c r="G970" s="30" t="s">
        <v>960</v>
      </c>
    </row>
    <row r="971" customFormat="false" ht="15" hidden="false" customHeight="false" outlineLevel="0" collapsed="false">
      <c r="B971" s="30" t="s">
        <v>1045</v>
      </c>
      <c r="C971" s="31" t="n">
        <v>47388</v>
      </c>
      <c r="D971" s="30" t="s">
        <v>988</v>
      </c>
      <c r="E971" s="32" t="n">
        <v>2055.6</v>
      </c>
      <c r="F971" s="30" t="s">
        <v>89</v>
      </c>
      <c r="G971" s="30" t="s">
        <v>960</v>
      </c>
    </row>
    <row r="972" customFormat="false" ht="15" hidden="false" customHeight="false" outlineLevel="0" collapsed="false">
      <c r="B972" s="30" t="s">
        <v>998</v>
      </c>
      <c r="C972" s="31" t="n">
        <v>47389</v>
      </c>
      <c r="D972" s="30" t="s">
        <v>959</v>
      </c>
      <c r="E972" s="32" t="n">
        <v>1272</v>
      </c>
      <c r="F972" s="30" t="s">
        <v>36</v>
      </c>
      <c r="G972" s="30" t="s">
        <v>960</v>
      </c>
    </row>
    <row r="973" customFormat="false" ht="15" hidden="false" customHeight="false" outlineLevel="0" collapsed="false">
      <c r="B973" s="30" t="s">
        <v>1045</v>
      </c>
      <c r="C973" s="31" t="n">
        <v>47418</v>
      </c>
      <c r="D973" s="30" t="s">
        <v>988</v>
      </c>
      <c r="E973" s="32" t="n">
        <v>2055.6</v>
      </c>
      <c r="F973" s="30" t="s">
        <v>89</v>
      </c>
      <c r="G973" s="30" t="s">
        <v>960</v>
      </c>
    </row>
    <row r="974" customFormat="false" ht="15" hidden="false" customHeight="false" outlineLevel="0" collapsed="false">
      <c r="B974" s="30" t="s">
        <v>998</v>
      </c>
      <c r="C974" s="31" t="n">
        <v>47419</v>
      </c>
      <c r="D974" s="30" t="s">
        <v>959</v>
      </c>
      <c r="E974" s="32" t="n">
        <v>1272</v>
      </c>
      <c r="F974" s="30" t="s">
        <v>36</v>
      </c>
      <c r="G974" s="30" t="s">
        <v>960</v>
      </c>
    </row>
    <row r="975" customFormat="false" ht="15" hidden="false" customHeight="false" outlineLevel="0" collapsed="false">
      <c r="B975" s="30" t="s">
        <v>998</v>
      </c>
      <c r="C975" s="31" t="n">
        <v>47450</v>
      </c>
      <c r="D975" s="30" t="s">
        <v>959</v>
      </c>
      <c r="E975" s="32" t="n">
        <v>1272</v>
      </c>
      <c r="F975" s="30" t="s">
        <v>36</v>
      </c>
      <c r="G975" s="30" t="s">
        <v>960</v>
      </c>
    </row>
    <row r="976" customFormat="false" ht="15" hidden="false" customHeight="false" outlineLevel="0" collapsed="false">
      <c r="B976" s="30" t="s">
        <v>998</v>
      </c>
      <c r="C976" s="31" t="n">
        <v>47480</v>
      </c>
      <c r="D976" s="30" t="s">
        <v>959</v>
      </c>
      <c r="E976" s="32" t="n">
        <v>1272</v>
      </c>
      <c r="F976" s="30" t="s">
        <v>36</v>
      </c>
      <c r="G976" s="30" t="s">
        <v>960</v>
      </c>
    </row>
    <row r="977" customFormat="false" ht="15" hidden="false" customHeight="false" outlineLevel="0" collapsed="false">
      <c r="B977" s="30" t="s">
        <v>998</v>
      </c>
      <c r="C977" s="31" t="n">
        <v>47511</v>
      </c>
      <c r="D977" s="30" t="s">
        <v>959</v>
      </c>
      <c r="E977" s="32" t="n">
        <v>1272</v>
      </c>
      <c r="F977" s="30" t="s">
        <v>36</v>
      </c>
      <c r="G977" s="30" t="s">
        <v>960</v>
      </c>
    </row>
    <row r="978" customFormat="false" ht="15" hidden="false" customHeight="false" outlineLevel="0" collapsed="false">
      <c r="B978" s="30" t="s">
        <v>998</v>
      </c>
      <c r="C978" s="31" t="n">
        <v>47542</v>
      </c>
      <c r="D978" s="30" t="s">
        <v>959</v>
      </c>
      <c r="E978" s="32" t="n">
        <v>1272</v>
      </c>
      <c r="F978" s="30" t="s">
        <v>36</v>
      </c>
      <c r="G978" s="30" t="s">
        <v>960</v>
      </c>
    </row>
    <row r="979" customFormat="false" ht="15" hidden="false" customHeight="false" outlineLevel="0" collapsed="false">
      <c r="B979" s="30" t="s">
        <v>998</v>
      </c>
      <c r="C979" s="31" t="n">
        <v>47570</v>
      </c>
      <c r="D979" s="30" t="s">
        <v>959</v>
      </c>
      <c r="E979" s="32" t="n">
        <v>1272</v>
      </c>
      <c r="F979" s="30" t="s">
        <v>36</v>
      </c>
      <c r="G979" s="30" t="s">
        <v>960</v>
      </c>
    </row>
    <row r="980" customFormat="false" ht="15" hidden="false" customHeight="false" outlineLevel="0" collapsed="false">
      <c r="B980" s="30" t="s">
        <v>998</v>
      </c>
      <c r="C980" s="31" t="n">
        <v>47601</v>
      </c>
      <c r="D980" s="30" t="s">
        <v>959</v>
      </c>
      <c r="E980" s="32" t="n">
        <v>1272</v>
      </c>
      <c r="F980" s="30" t="s">
        <v>36</v>
      </c>
      <c r="G980" s="30" t="s">
        <v>960</v>
      </c>
    </row>
    <row r="981" customFormat="false" ht="15" hidden="false" customHeight="false" outlineLevel="0" collapsed="false">
      <c r="B981" s="30" t="s">
        <v>998</v>
      </c>
      <c r="C981" s="31" t="n">
        <v>47631</v>
      </c>
      <c r="D981" s="30" t="s">
        <v>959</v>
      </c>
      <c r="E981" s="32" t="n">
        <v>1272</v>
      </c>
      <c r="F981" s="30" t="s">
        <v>36</v>
      </c>
      <c r="G981" s="30" t="s">
        <v>960</v>
      </c>
    </row>
    <row r="982" customFormat="false" ht="15" hidden="false" customHeight="false" outlineLevel="0" collapsed="false">
      <c r="B982" s="30" t="s">
        <v>998</v>
      </c>
      <c r="C982" s="31" t="n">
        <v>47662</v>
      </c>
      <c r="D982" s="30" t="s">
        <v>959</v>
      </c>
      <c r="E982" s="32" t="n">
        <v>1272</v>
      </c>
      <c r="F982" s="30" t="s">
        <v>36</v>
      </c>
      <c r="G982" s="30" t="s">
        <v>960</v>
      </c>
    </row>
    <row r="983" customFormat="false" ht="15" hidden="false" customHeight="false" outlineLevel="0" collapsed="false">
      <c r="B983" s="30" t="s">
        <v>998</v>
      </c>
      <c r="C983" s="31" t="n">
        <v>47692</v>
      </c>
      <c r="D983" s="30" t="s">
        <v>959</v>
      </c>
      <c r="E983" s="32" t="n">
        <v>1272</v>
      </c>
      <c r="F983" s="30" t="s">
        <v>36</v>
      </c>
      <c r="G983" s="30" t="s">
        <v>960</v>
      </c>
    </row>
    <row r="984" customFormat="false" ht="15" hidden="false" customHeight="false" outlineLevel="0" collapsed="false">
      <c r="B984" s="30" t="s">
        <v>998</v>
      </c>
      <c r="C984" s="31" t="n">
        <v>47723</v>
      </c>
      <c r="D984" s="30" t="s">
        <v>959</v>
      </c>
      <c r="E984" s="32" t="n">
        <v>1272</v>
      </c>
      <c r="F984" s="30" t="s">
        <v>36</v>
      </c>
      <c r="G984" s="30" t="s">
        <v>960</v>
      </c>
    </row>
    <row r="985" customFormat="false" ht="15" hidden="false" customHeight="false" outlineLevel="0" collapsed="false">
      <c r="B985" s="30" t="s">
        <v>998</v>
      </c>
      <c r="C985" s="31" t="n">
        <v>47754</v>
      </c>
      <c r="D985" s="30" t="s">
        <v>959</v>
      </c>
      <c r="E985" s="32" t="n">
        <v>1272</v>
      </c>
      <c r="F985" s="30" t="s">
        <v>36</v>
      </c>
      <c r="G985" s="30" t="s">
        <v>960</v>
      </c>
    </row>
    <row r="986" customFormat="false" ht="15" hidden="false" customHeight="false" outlineLevel="0" collapsed="false">
      <c r="B986" s="30" t="s">
        <v>998</v>
      </c>
      <c r="C986" s="31" t="n">
        <v>47784</v>
      </c>
      <c r="D986" s="30" t="s">
        <v>959</v>
      </c>
      <c r="E986" s="32" t="n">
        <v>1272</v>
      </c>
      <c r="F986" s="30" t="s">
        <v>36</v>
      </c>
      <c r="G986" s="30" t="s">
        <v>960</v>
      </c>
    </row>
    <row r="987" customFormat="false" ht="15" hidden="false" customHeight="false" outlineLevel="0" collapsed="false">
      <c r="B987" s="30" t="s">
        <v>998</v>
      </c>
      <c r="C987" s="31" t="n">
        <v>47815</v>
      </c>
      <c r="D987" s="30" t="s">
        <v>959</v>
      </c>
      <c r="E987" s="32" t="n">
        <v>1272</v>
      </c>
      <c r="F987" s="30" t="s">
        <v>36</v>
      </c>
      <c r="G987" s="30" t="s">
        <v>960</v>
      </c>
    </row>
    <row r="988" customFormat="false" ht="15" hidden="false" customHeight="false" outlineLevel="0" collapsed="false">
      <c r="B988" s="30" t="s">
        <v>998</v>
      </c>
      <c r="C988" s="31" t="n">
        <v>47845</v>
      </c>
      <c r="D988" s="30" t="s">
        <v>959</v>
      </c>
      <c r="E988" s="32" t="n">
        <v>1272</v>
      </c>
      <c r="F988" s="30" t="s">
        <v>36</v>
      </c>
      <c r="G988" s="30" t="s">
        <v>960</v>
      </c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6" min="3" style="1" width="18"/>
  </cols>
  <sheetData>
    <row r="2" customFormat="false" ht="19.5" hidden="false" customHeight="true" outlineLevel="0" collapsed="false">
      <c r="B2" s="9" t="s">
        <v>1046</v>
      </c>
      <c r="C2" s="9"/>
      <c r="D2" s="9"/>
      <c r="E2" s="9"/>
      <c r="F2" s="9"/>
    </row>
    <row r="3" customFormat="false" ht="15" hidden="false" customHeight="true" outlineLevel="0" collapsed="false">
      <c r="B3" s="33" t="s">
        <v>1047</v>
      </c>
      <c r="C3" s="33"/>
      <c r="D3" s="33"/>
      <c r="E3" s="33"/>
      <c r="F3" s="33"/>
    </row>
    <row r="5" customFormat="false" ht="15" hidden="false" customHeight="true" outlineLevel="0" collapsed="false">
      <c r="B5" s="34" t="s">
        <v>1048</v>
      </c>
      <c r="C5" s="35" t="n">
        <v>0</v>
      </c>
    </row>
    <row r="7" customFormat="false" ht="26.25" hidden="false" customHeight="true" outlineLevel="0" collapsed="false">
      <c r="B7" s="10" t="s">
        <v>104</v>
      </c>
      <c r="C7" s="10" t="s">
        <v>1049</v>
      </c>
      <c r="D7" s="10" t="s">
        <v>1050</v>
      </c>
      <c r="E7" s="10" t="s">
        <v>1051</v>
      </c>
      <c r="F7" s="10" t="s">
        <v>1052</v>
      </c>
    </row>
    <row r="8" customFormat="false" ht="15" hidden="false" customHeight="true" outlineLevel="0" collapsed="false">
      <c r="B8" s="36" t="s">
        <v>117</v>
      </c>
      <c r="C8" s="37" t="n">
        <v>216780.26</v>
      </c>
      <c r="D8" s="38" t="n">
        <v>504430.38</v>
      </c>
      <c r="E8" s="39" t="n">
        <v>-287650.12</v>
      </c>
      <c r="F8" s="40" t="n">
        <v>-287650.12</v>
      </c>
    </row>
    <row r="9" customFormat="false" ht="15" hidden="false" customHeight="true" outlineLevel="0" collapsed="false">
      <c r="B9" s="36" t="s">
        <v>133</v>
      </c>
      <c r="C9" s="37" t="n">
        <v>326133.08</v>
      </c>
      <c r="D9" s="38" t="n">
        <v>426765.11</v>
      </c>
      <c r="E9" s="39" t="n">
        <v>-100632.03</v>
      </c>
      <c r="F9" s="40" t="n">
        <v>-388282.15</v>
      </c>
    </row>
    <row r="10" customFormat="false" ht="15" hidden="false" customHeight="true" outlineLevel="0" collapsed="false">
      <c r="B10" s="36" t="s">
        <v>155</v>
      </c>
      <c r="C10" s="37" t="n">
        <v>357019.64</v>
      </c>
      <c r="D10" s="38" t="n">
        <v>414394.77</v>
      </c>
      <c r="E10" s="39" t="n">
        <v>-57375.13</v>
      </c>
      <c r="F10" s="40" t="n">
        <v>-445657.28</v>
      </c>
    </row>
    <row r="11" customFormat="false" ht="15" hidden="false" customHeight="true" outlineLevel="0" collapsed="false">
      <c r="B11" s="36" t="s">
        <v>185</v>
      </c>
      <c r="C11" s="37" t="n">
        <v>148595.57</v>
      </c>
      <c r="D11" s="38" t="n">
        <v>514246.64</v>
      </c>
      <c r="E11" s="39" t="n">
        <v>-365651.07</v>
      </c>
      <c r="F11" s="40" t="n">
        <v>-811308.35</v>
      </c>
    </row>
    <row r="12" customFormat="false" ht="15" hidden="false" customHeight="true" outlineLevel="0" collapsed="false">
      <c r="B12" s="36" t="s">
        <v>218</v>
      </c>
      <c r="C12" s="37" t="n">
        <v>403279.55</v>
      </c>
      <c r="D12" s="38" t="n">
        <v>538520.08</v>
      </c>
      <c r="E12" s="39" t="n">
        <v>-135240.53</v>
      </c>
      <c r="F12" s="40" t="n">
        <v>-946548.88</v>
      </c>
    </row>
    <row r="13" customFormat="false" ht="15" hidden="false" customHeight="true" outlineLevel="0" collapsed="false">
      <c r="B13" s="36" t="s">
        <v>251</v>
      </c>
      <c r="C13" s="37" t="n">
        <v>531416.69</v>
      </c>
      <c r="D13" s="38" t="n">
        <v>653783.44</v>
      </c>
      <c r="E13" s="39" t="n">
        <v>-122366.75</v>
      </c>
      <c r="F13" s="40" t="n">
        <v>-1068915.63</v>
      </c>
    </row>
    <row r="14" customFormat="false" ht="15" hidden="false" customHeight="true" outlineLevel="0" collapsed="false">
      <c r="B14" s="36" t="s">
        <v>284</v>
      </c>
      <c r="C14" s="37" t="n">
        <v>429681.99</v>
      </c>
      <c r="D14" s="38" t="n">
        <v>730441.44</v>
      </c>
      <c r="E14" s="39" t="n">
        <v>-300759.45</v>
      </c>
      <c r="F14" s="40" t="n">
        <v>-1369675.08</v>
      </c>
    </row>
    <row r="15" customFormat="false" ht="15" hidden="false" customHeight="true" outlineLevel="0" collapsed="false">
      <c r="B15" s="36" t="s">
        <v>318</v>
      </c>
      <c r="C15" s="37" t="n">
        <v>488467.9</v>
      </c>
      <c r="D15" s="38" t="n">
        <v>726444.46</v>
      </c>
      <c r="E15" s="39" t="n">
        <v>-237976.56</v>
      </c>
      <c r="F15" s="40" t="n">
        <v>-1607651.64</v>
      </c>
    </row>
    <row r="16" customFormat="false" ht="15" hidden="false" customHeight="true" outlineLevel="0" collapsed="false">
      <c r="B16" s="36" t="s">
        <v>349</v>
      </c>
      <c r="C16" s="37" t="n">
        <v>136741.02</v>
      </c>
      <c r="D16" s="38" t="n">
        <v>765819.04</v>
      </c>
      <c r="E16" s="39" t="n">
        <v>-629078.02</v>
      </c>
      <c r="F16" s="40" t="n">
        <v>-2236729.66</v>
      </c>
    </row>
    <row r="17" customFormat="false" ht="15" hidden="false" customHeight="true" outlineLevel="0" collapsed="false">
      <c r="B17" s="36" t="s">
        <v>381</v>
      </c>
      <c r="C17" s="37" t="n">
        <v>696917.65</v>
      </c>
      <c r="D17" s="38" t="n">
        <v>520316.77</v>
      </c>
      <c r="E17" s="39" t="n">
        <v>176600.88</v>
      </c>
      <c r="F17" s="40" t="n">
        <v>-2060128.78</v>
      </c>
    </row>
    <row r="18" customFormat="false" ht="15" hidden="false" customHeight="true" outlineLevel="0" collapsed="false">
      <c r="B18" s="36" t="s">
        <v>416</v>
      </c>
      <c r="C18" s="37" t="n">
        <v>420192.87</v>
      </c>
      <c r="D18" s="38" t="n">
        <v>507711.69</v>
      </c>
      <c r="E18" s="39" t="n">
        <v>-87518.82</v>
      </c>
      <c r="F18" s="40" t="n">
        <v>-2147647.6</v>
      </c>
    </row>
    <row r="19" customFormat="false" ht="15" hidden="false" customHeight="true" outlineLevel="0" collapsed="false">
      <c r="B19" s="36" t="s">
        <v>450</v>
      </c>
      <c r="C19" s="37" t="n">
        <v>913033.57</v>
      </c>
      <c r="D19" s="38" t="n">
        <v>432106.43</v>
      </c>
      <c r="E19" s="39" t="n">
        <v>480927.14</v>
      </c>
      <c r="F19" s="40" t="n">
        <v>-1666720.46</v>
      </c>
    </row>
    <row r="20" customFormat="false" ht="15" hidden="false" customHeight="true" outlineLevel="0" collapsed="false">
      <c r="B20" s="36" t="s">
        <v>484</v>
      </c>
      <c r="C20" s="37" t="n">
        <v>253321.24</v>
      </c>
      <c r="D20" s="38" t="n">
        <v>278911.47</v>
      </c>
      <c r="E20" s="39" t="n">
        <v>-25590.23</v>
      </c>
      <c r="F20" s="40" t="n">
        <v>-1692310.69</v>
      </c>
    </row>
    <row r="21" customFormat="false" ht="15" hidden="false" customHeight="true" outlineLevel="0" collapsed="false">
      <c r="B21" s="36" t="s">
        <v>520</v>
      </c>
      <c r="C21" s="37" t="n">
        <v>427629.89</v>
      </c>
      <c r="D21" s="38" t="n">
        <v>291255.29</v>
      </c>
      <c r="E21" s="39" t="n">
        <v>136374.6</v>
      </c>
      <c r="F21" s="40" t="n">
        <v>-1555936.09</v>
      </c>
    </row>
    <row r="22" customFormat="false" ht="15" hidden="false" customHeight="true" outlineLevel="0" collapsed="false">
      <c r="B22" s="36" t="s">
        <v>554</v>
      </c>
      <c r="C22" s="37" t="n">
        <v>370421.41</v>
      </c>
      <c r="D22" s="38" t="n">
        <v>383546.64</v>
      </c>
      <c r="E22" s="39" t="n">
        <v>-13125.23</v>
      </c>
      <c r="F22" s="40" t="n">
        <v>-1569061.32</v>
      </c>
    </row>
    <row r="23" customFormat="false" ht="15" hidden="false" customHeight="true" outlineLevel="0" collapsed="false">
      <c r="B23" s="36" t="s">
        <v>590</v>
      </c>
      <c r="C23" s="37" t="n">
        <v>329308.02</v>
      </c>
      <c r="D23" s="38" t="n">
        <v>295659.26</v>
      </c>
      <c r="E23" s="39" t="n">
        <v>33648.76</v>
      </c>
      <c r="F23" s="40" t="n">
        <v>-1535412.56</v>
      </c>
    </row>
    <row r="24" customFormat="false" ht="15" hidden="false" customHeight="true" outlineLevel="0" collapsed="false">
      <c r="B24" s="36" t="s">
        <v>623</v>
      </c>
      <c r="C24" s="37" t="n">
        <v>512600.68</v>
      </c>
      <c r="D24" s="38" t="n">
        <v>330121.16</v>
      </c>
      <c r="E24" s="39" t="n">
        <v>182479.52</v>
      </c>
      <c r="F24" s="40" t="n">
        <v>-1352933.04</v>
      </c>
    </row>
    <row r="25" customFormat="false" ht="15" hidden="false" customHeight="true" outlineLevel="0" collapsed="false">
      <c r="B25" s="41" t="s">
        <v>1053</v>
      </c>
      <c r="C25" s="42" t="n">
        <v>6961541.03</v>
      </c>
      <c r="D25" s="42" t="n">
        <v>8314474.07</v>
      </c>
      <c r="E25" s="42" t="n">
        <v>-1352933.04</v>
      </c>
      <c r="F25" s="43"/>
    </row>
    <row r="26" customFormat="false" ht="15" hidden="false" customHeight="true" outlineLevel="0" collapsed="false">
      <c r="B26" s="44"/>
      <c r="C26" s="45"/>
      <c r="D26" s="46"/>
      <c r="E26" s="47"/>
      <c r="F26" s="48"/>
    </row>
    <row r="27" customFormat="false" ht="15" hidden="false" customHeight="true" outlineLevel="0" collapsed="false">
      <c r="B27" s="49"/>
      <c r="C27" s="50"/>
      <c r="D27" s="50"/>
      <c r="E27" s="50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23" min="3" style="0" width="13"/>
    <col collapsed="false" customWidth="true" hidden="false" outlineLevel="0" max="24" min="24" style="0" width="16"/>
    <col collapsed="false" customWidth="true" hidden="false" outlineLevel="0" max="26" min="25" style="0" width="11"/>
  </cols>
  <sheetData>
    <row r="2" customFormat="false" ht="19.7" hidden="false" customHeight="false" outlineLevel="0" collapsed="false">
      <c r="B2" s="27" t="s">
        <v>1054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</row>
    <row r="3" customFormat="false" ht="15" hidden="false" customHeight="false" outlineLevel="0" collapsed="false">
      <c r="B3" s="28" t="s">
        <v>99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</row>
    <row r="4" customFormat="false" ht="19.4" hidden="false" customHeight="false" outlineLevel="0" collapsed="false">
      <c r="B4" s="51" t="s">
        <v>101</v>
      </c>
      <c r="C4" s="29" t="s">
        <v>107</v>
      </c>
      <c r="D4" s="29" t="s">
        <v>110</v>
      </c>
      <c r="E4" s="29" t="s">
        <v>112</v>
      </c>
      <c r="F4" s="29" t="s">
        <v>117</v>
      </c>
      <c r="G4" s="29" t="s">
        <v>133</v>
      </c>
      <c r="H4" s="29" t="s">
        <v>155</v>
      </c>
      <c r="I4" s="29" t="s">
        <v>185</v>
      </c>
      <c r="J4" s="29" t="s">
        <v>218</v>
      </c>
      <c r="K4" s="29" t="s">
        <v>251</v>
      </c>
      <c r="L4" s="29" t="s">
        <v>284</v>
      </c>
      <c r="M4" s="29" t="s">
        <v>318</v>
      </c>
      <c r="N4" s="29" t="s">
        <v>349</v>
      </c>
      <c r="O4" s="29" t="s">
        <v>381</v>
      </c>
      <c r="P4" s="29" t="s">
        <v>416</v>
      </c>
      <c r="Q4" s="29" t="s">
        <v>450</v>
      </c>
      <c r="R4" s="29" t="s">
        <v>484</v>
      </c>
      <c r="S4" s="29" t="s">
        <v>520</v>
      </c>
      <c r="T4" s="29" t="s">
        <v>554</v>
      </c>
      <c r="U4" s="29" t="s">
        <v>590</v>
      </c>
      <c r="V4" s="29" t="s">
        <v>623</v>
      </c>
      <c r="W4" s="29" t="s">
        <v>664</v>
      </c>
      <c r="X4" s="52" t="s">
        <v>1053</v>
      </c>
      <c r="Y4" s="53" t="s">
        <v>1055</v>
      </c>
      <c r="Z4" s="53" t="s">
        <v>1056</v>
      </c>
    </row>
    <row r="5" customFormat="false" ht="15" hidden="false" customHeight="false" outlineLevel="0" collapsed="false">
      <c r="B5" s="54" t="s">
        <v>1057</v>
      </c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</row>
    <row r="6" customFormat="false" ht="15" hidden="false" customHeight="false" outlineLevel="0" collapsed="false">
      <c r="B6" s="56" t="s">
        <v>1058</v>
      </c>
      <c r="C6" s="57" t="n">
        <v>0</v>
      </c>
      <c r="D6" s="57" t="n">
        <v>0</v>
      </c>
      <c r="E6" s="57" t="n">
        <v>0</v>
      </c>
      <c r="F6" s="57" t="n">
        <v>121549.92</v>
      </c>
      <c r="G6" s="57" t="n">
        <v>250599.51</v>
      </c>
      <c r="H6" s="57" t="n">
        <v>302093.57</v>
      </c>
      <c r="I6" s="57" t="n">
        <v>350632.1</v>
      </c>
      <c r="J6" s="57" t="n">
        <v>517822</v>
      </c>
      <c r="K6" s="57" t="n">
        <v>511174.69</v>
      </c>
      <c r="L6" s="57" t="n">
        <v>525810.61</v>
      </c>
      <c r="M6" s="57" t="n">
        <v>527060.86</v>
      </c>
      <c r="N6" s="57" t="n">
        <v>493730.9</v>
      </c>
      <c r="O6" s="57" t="n">
        <v>584777.54</v>
      </c>
      <c r="P6" s="57" t="n">
        <v>641084</v>
      </c>
      <c r="Q6" s="57" t="n">
        <v>676999.33</v>
      </c>
      <c r="R6" s="57" t="n">
        <v>309185.9</v>
      </c>
      <c r="S6" s="57" t="n">
        <v>293114.2</v>
      </c>
      <c r="T6" s="57" t="n">
        <v>318410</v>
      </c>
      <c r="U6" s="57" t="n">
        <v>425042.8</v>
      </c>
      <c r="V6" s="57" t="n">
        <v>582637.02</v>
      </c>
      <c r="W6" s="57" t="n">
        <v>168545.68</v>
      </c>
      <c r="X6" s="57" t="n">
        <v>7600270.63</v>
      </c>
      <c r="Y6" s="58" t="n">
        <f aca="false">IFERROR(IF(V6=0,"",(W6-V6)/ABS(V6)),"")</f>
        <v>-0.710719239913729</v>
      </c>
      <c r="Z6" s="59" t="n">
        <f aca="false">IFERROR(X6/$X$7,"")</f>
        <v>1</v>
      </c>
    </row>
    <row r="7" customFormat="false" ht="15" hidden="false" customHeight="false" outlineLevel="0" collapsed="false">
      <c r="B7" s="60" t="s">
        <v>1059</v>
      </c>
      <c r="C7" s="61" t="n">
        <v>0</v>
      </c>
      <c r="D7" s="61" t="n">
        <v>0</v>
      </c>
      <c r="E7" s="61" t="n">
        <v>0</v>
      </c>
      <c r="F7" s="61" t="n">
        <v>121549.92</v>
      </c>
      <c r="G7" s="61" t="n">
        <v>250599.51</v>
      </c>
      <c r="H7" s="61" t="n">
        <v>302093.57</v>
      </c>
      <c r="I7" s="61" t="n">
        <v>350632.1</v>
      </c>
      <c r="J7" s="61" t="n">
        <v>517822</v>
      </c>
      <c r="K7" s="61" t="n">
        <v>511174.69</v>
      </c>
      <c r="L7" s="61" t="n">
        <v>525810.61</v>
      </c>
      <c r="M7" s="61" t="n">
        <v>527060.86</v>
      </c>
      <c r="N7" s="61" t="n">
        <v>493730.9</v>
      </c>
      <c r="O7" s="61" t="n">
        <v>584777.54</v>
      </c>
      <c r="P7" s="61" t="n">
        <v>641084</v>
      </c>
      <c r="Q7" s="61" t="n">
        <v>676999.33</v>
      </c>
      <c r="R7" s="61" t="n">
        <v>309185.9</v>
      </c>
      <c r="S7" s="61" t="n">
        <v>293114.2</v>
      </c>
      <c r="T7" s="61" t="n">
        <v>318410</v>
      </c>
      <c r="U7" s="61" t="n">
        <v>425042.8</v>
      </c>
      <c r="V7" s="61" t="n">
        <v>582637.02</v>
      </c>
      <c r="W7" s="61" t="n">
        <v>168545.68</v>
      </c>
      <c r="X7" s="61" t="n">
        <v>7600270.63</v>
      </c>
      <c r="Y7" s="58" t="n">
        <f aca="false">IFERROR(IF(V7=0,"",(W7-V7)/ABS(V7)),"")</f>
        <v>-0.710719239913729</v>
      </c>
      <c r="Z7" s="59" t="n">
        <f aca="false">IFERROR(X7/$X$7,"")</f>
        <v>1</v>
      </c>
    </row>
    <row r="8" customFormat="false" ht="15" hidden="false" customHeight="false" outlineLevel="0" collapsed="false">
      <c r="B8" s="54" t="s">
        <v>1060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 customFormat="false" ht="15" hidden="false" customHeight="false" outlineLevel="1" collapsed="false">
      <c r="B9" s="56" t="s">
        <v>1061</v>
      </c>
      <c r="C9" s="57" t="n">
        <v>0</v>
      </c>
      <c r="D9" s="57" t="n">
        <v>0</v>
      </c>
      <c r="E9" s="57" t="n">
        <v>0</v>
      </c>
      <c r="F9" s="57" t="n">
        <v>12726.28</v>
      </c>
      <c r="G9" s="57" t="n">
        <v>26237.77</v>
      </c>
      <c r="H9" s="57" t="n">
        <v>31629.2</v>
      </c>
      <c r="I9" s="57" t="n">
        <v>36711.18</v>
      </c>
      <c r="J9" s="57" t="n">
        <v>54215.96</v>
      </c>
      <c r="K9" s="57" t="n">
        <v>53519.99</v>
      </c>
      <c r="L9" s="57" t="n">
        <v>55052.37</v>
      </c>
      <c r="M9" s="57" t="n">
        <v>55183.27</v>
      </c>
      <c r="N9" s="57" t="n">
        <v>51693.63</v>
      </c>
      <c r="O9" s="57" t="n">
        <v>61226.21</v>
      </c>
      <c r="P9" s="57" t="n">
        <v>67121.49</v>
      </c>
      <c r="Q9" s="57" t="n">
        <v>70881.83</v>
      </c>
      <c r="R9" s="57" t="n">
        <v>32371.76</v>
      </c>
      <c r="S9" s="57" t="n">
        <v>30689.06</v>
      </c>
      <c r="T9" s="57" t="n">
        <v>33337.53</v>
      </c>
      <c r="U9" s="57" t="n">
        <v>44501.98</v>
      </c>
      <c r="V9" s="57" t="n">
        <v>61002.1</v>
      </c>
      <c r="W9" s="57" t="n">
        <v>17646.73</v>
      </c>
      <c r="X9" s="57" t="n">
        <v>795748.34</v>
      </c>
      <c r="Y9" s="58" t="n">
        <f aca="false">IFERROR(IF(V9=0,"",(W9-V9)/ABS(V9)),"")</f>
        <v>-0.710719303105959</v>
      </c>
      <c r="Z9" s="59" t="n">
        <f aca="false">IFERROR(X9/$X$7,"")</f>
        <v>0.104700000663003</v>
      </c>
    </row>
    <row r="10" customFormat="false" ht="15" hidden="false" customHeight="false" outlineLevel="1" collapsed="false">
      <c r="B10" s="56" t="s">
        <v>1062</v>
      </c>
      <c r="C10" s="57" t="n">
        <v>0</v>
      </c>
      <c r="D10" s="57" t="n">
        <v>0</v>
      </c>
      <c r="E10" s="57" t="n">
        <v>0</v>
      </c>
      <c r="F10" s="57" t="n">
        <v>1823.25</v>
      </c>
      <c r="G10" s="57" t="n">
        <v>3758.99</v>
      </c>
      <c r="H10" s="57" t="n">
        <v>4531.4</v>
      </c>
      <c r="I10" s="57" t="n">
        <v>5259.48</v>
      </c>
      <c r="J10" s="57" t="n">
        <v>7767.33</v>
      </c>
      <c r="K10" s="57" t="n">
        <v>7667.62</v>
      </c>
      <c r="L10" s="57" t="n">
        <v>7887.16</v>
      </c>
      <c r="M10" s="57" t="n">
        <v>7905.91</v>
      </c>
      <c r="N10" s="57" t="n">
        <v>7405.96</v>
      </c>
      <c r="O10" s="57" t="n">
        <v>8771.66</v>
      </c>
      <c r="P10" s="57" t="n">
        <v>9616.26</v>
      </c>
      <c r="Q10" s="57" t="n">
        <v>10154.99</v>
      </c>
      <c r="R10" s="57" t="n">
        <v>4637.79</v>
      </c>
      <c r="S10" s="57" t="n">
        <v>4396.71</v>
      </c>
      <c r="T10" s="57" t="n">
        <v>4776.15</v>
      </c>
      <c r="U10" s="57" t="n">
        <v>6375.64</v>
      </c>
      <c r="V10" s="57" t="n">
        <v>8739.56</v>
      </c>
      <c r="W10" s="57" t="n">
        <v>2528.19</v>
      </c>
      <c r="X10" s="57" t="n">
        <v>114004.05</v>
      </c>
      <c r="Y10" s="58" t="n">
        <f aca="false">IFERROR(IF(V10=0,"",(W10-V10)/ABS(V10)),"")</f>
        <v>-0.710718846257706</v>
      </c>
      <c r="Z10" s="59" t="n">
        <f aca="false">IFERROR(X10/$X$7,"")</f>
        <v>0.0149999987566232</v>
      </c>
    </row>
    <row r="11" customFormat="false" ht="15" hidden="false" customHeight="false" outlineLevel="1" collapsed="false">
      <c r="B11" s="56" t="s">
        <v>1063</v>
      </c>
      <c r="C11" s="57" t="n">
        <v>0</v>
      </c>
      <c r="D11" s="57" t="n">
        <v>0</v>
      </c>
      <c r="E11" s="57" t="n">
        <v>0</v>
      </c>
      <c r="F11" s="57" t="n">
        <v>121.55</v>
      </c>
      <c r="G11" s="57" t="n">
        <v>250.6</v>
      </c>
      <c r="H11" s="57" t="n">
        <v>302.09</v>
      </c>
      <c r="I11" s="57" t="n">
        <v>350.63</v>
      </c>
      <c r="J11" s="57" t="n">
        <v>517.82</v>
      </c>
      <c r="K11" s="57" t="n">
        <v>511.17</v>
      </c>
      <c r="L11" s="57" t="n">
        <v>525.81</v>
      </c>
      <c r="M11" s="57" t="n">
        <v>527.06</v>
      </c>
      <c r="N11" s="57" t="n">
        <v>493.73</v>
      </c>
      <c r="O11" s="57" t="n">
        <v>584.78</v>
      </c>
      <c r="P11" s="57" t="n">
        <v>641.08</v>
      </c>
      <c r="Q11" s="57" t="n">
        <v>677</v>
      </c>
      <c r="R11" s="57" t="n">
        <v>309.19</v>
      </c>
      <c r="S11" s="57" t="n">
        <v>293.11</v>
      </c>
      <c r="T11" s="57" t="n">
        <v>318.41</v>
      </c>
      <c r="U11" s="57" t="n">
        <v>425.04</v>
      </c>
      <c r="V11" s="57" t="n">
        <v>582.64</v>
      </c>
      <c r="W11" s="57" t="n">
        <v>168.55</v>
      </c>
      <c r="X11" s="57" t="n">
        <v>7600.26</v>
      </c>
      <c r="Y11" s="58" t="n">
        <f aca="false">IFERROR(IF(V11=0,"",(W11-V11)/ABS(V11)),"")</f>
        <v>-0.710713304956749</v>
      </c>
      <c r="Z11" s="59" t="n">
        <f aca="false">IFERROR(X11/$X$7,"")</f>
        <v>0.000999998601365594</v>
      </c>
    </row>
    <row r="12" customFormat="false" ht="15" hidden="false" customHeight="false" outlineLevel="0" collapsed="false">
      <c r="B12" s="60" t="s">
        <v>1064</v>
      </c>
      <c r="C12" s="61" t="n">
        <v>0</v>
      </c>
      <c r="D12" s="61" t="n">
        <v>0</v>
      </c>
      <c r="E12" s="61" t="n">
        <v>0</v>
      </c>
      <c r="F12" s="61" t="n">
        <v>14671.08</v>
      </c>
      <c r="G12" s="61" t="n">
        <v>30247.36</v>
      </c>
      <c r="H12" s="61" t="n">
        <v>36462.69</v>
      </c>
      <c r="I12" s="61" t="n">
        <v>42321.29</v>
      </c>
      <c r="J12" s="61" t="n">
        <v>62501.12</v>
      </c>
      <c r="K12" s="61" t="n">
        <v>61698.79</v>
      </c>
      <c r="L12" s="61" t="n">
        <v>63465.34</v>
      </c>
      <c r="M12" s="61" t="n">
        <v>63616.25</v>
      </c>
      <c r="N12" s="61" t="n">
        <v>59593.32</v>
      </c>
      <c r="O12" s="61" t="n">
        <v>70582.65</v>
      </c>
      <c r="P12" s="61" t="n">
        <v>77378.84</v>
      </c>
      <c r="Q12" s="61" t="n">
        <v>81713.82</v>
      </c>
      <c r="R12" s="61" t="n">
        <v>37318.74</v>
      </c>
      <c r="S12" s="61" t="n">
        <v>35378.88</v>
      </c>
      <c r="T12" s="61" t="n">
        <v>38432.09</v>
      </c>
      <c r="U12" s="61" t="n">
        <v>51302.67</v>
      </c>
      <c r="V12" s="61" t="n">
        <v>70324.29</v>
      </c>
      <c r="W12" s="61" t="n">
        <v>20343.46</v>
      </c>
      <c r="X12" s="61" t="n">
        <v>917352.68</v>
      </c>
      <c r="Y12" s="58" t="n">
        <f aca="false">IFERROR(IF(V12=0,"",(W12-V12)/ABS(V12)),"")</f>
        <v>-0.710719297699273</v>
      </c>
      <c r="Z12" s="59" t="n">
        <f aca="false">IFERROR(X12/$X$7,"")</f>
        <v>0.120700001968219</v>
      </c>
    </row>
    <row r="13" customFormat="false" ht="15" hidden="false" customHeight="false" outlineLevel="0" collapsed="false">
      <c r="B13" s="62" t="s">
        <v>1065</v>
      </c>
      <c r="C13" s="63" t="n">
        <v>0</v>
      </c>
      <c r="D13" s="63" t="n">
        <v>0</v>
      </c>
      <c r="E13" s="63" t="n">
        <v>0</v>
      </c>
      <c r="F13" s="63" t="n">
        <v>106878.84</v>
      </c>
      <c r="G13" s="63" t="n">
        <v>220352.15</v>
      </c>
      <c r="H13" s="63" t="n">
        <v>265630.88</v>
      </c>
      <c r="I13" s="63" t="n">
        <v>308310.81</v>
      </c>
      <c r="J13" s="63" t="n">
        <v>455320.88</v>
      </c>
      <c r="K13" s="63" t="n">
        <v>449475.9</v>
      </c>
      <c r="L13" s="63" t="n">
        <v>462345.27</v>
      </c>
      <c r="M13" s="63" t="n">
        <v>463444.61</v>
      </c>
      <c r="N13" s="63" t="n">
        <v>434137.58</v>
      </c>
      <c r="O13" s="63" t="n">
        <v>514194.89</v>
      </c>
      <c r="P13" s="63" t="n">
        <v>563705.16</v>
      </c>
      <c r="Q13" s="63" t="n">
        <v>595285.51</v>
      </c>
      <c r="R13" s="63" t="n">
        <v>271867.16</v>
      </c>
      <c r="S13" s="63" t="n">
        <v>257735.32</v>
      </c>
      <c r="T13" s="63" t="n">
        <v>279977.91</v>
      </c>
      <c r="U13" s="63" t="n">
        <v>373740.13</v>
      </c>
      <c r="V13" s="63" t="n">
        <v>512312.73</v>
      </c>
      <c r="W13" s="63" t="n">
        <v>148202.22</v>
      </c>
      <c r="X13" s="63" t="n">
        <v>6682917.95</v>
      </c>
      <c r="Y13" s="58" t="n">
        <f aca="false">IFERROR(IF(V13=0,"",(W13-V13)/ABS(V13)),"")</f>
        <v>-0.710719231981606</v>
      </c>
      <c r="Z13" s="59" t="n">
        <f aca="false">IFERROR(X13/$X$7,"")</f>
        <v>0.879299998031781</v>
      </c>
    </row>
    <row r="15" customFormat="false" ht="15" hidden="false" customHeight="false" outlineLevel="0" collapsed="false">
      <c r="B15" s="54" t="s">
        <v>1066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</row>
    <row r="16" customFormat="false" ht="15" hidden="false" customHeight="false" outlineLevel="1" collapsed="false">
      <c r="B16" s="56" t="s">
        <v>1067</v>
      </c>
      <c r="C16" s="57" t="n">
        <v>0</v>
      </c>
      <c r="D16" s="57" t="n">
        <v>0</v>
      </c>
      <c r="E16" s="57" t="n">
        <v>0</v>
      </c>
      <c r="F16" s="57" t="n">
        <v>137102.37</v>
      </c>
      <c r="G16" s="57" t="n">
        <v>225127.02</v>
      </c>
      <c r="H16" s="57" t="n">
        <v>215036.99</v>
      </c>
      <c r="I16" s="57" t="n">
        <v>291300.58</v>
      </c>
      <c r="J16" s="57" t="n">
        <v>343316.08</v>
      </c>
      <c r="K16" s="57" t="n">
        <v>402450.79</v>
      </c>
      <c r="L16" s="57" t="n">
        <v>316241.94</v>
      </c>
      <c r="M16" s="57" t="n">
        <v>379079.51</v>
      </c>
      <c r="N16" s="57" t="n">
        <v>334766.19</v>
      </c>
      <c r="O16" s="57" t="n">
        <v>484305.21</v>
      </c>
      <c r="P16" s="57" t="n">
        <v>448073.59</v>
      </c>
      <c r="Q16" s="57" t="n">
        <v>493994.09</v>
      </c>
      <c r="R16" s="57" t="n">
        <v>210250.43</v>
      </c>
      <c r="S16" s="57" t="n">
        <v>188747.08</v>
      </c>
      <c r="T16" s="57" t="n">
        <v>208123.65</v>
      </c>
      <c r="U16" s="57" t="n">
        <v>284043.68</v>
      </c>
      <c r="V16" s="57" t="n">
        <v>395423.3</v>
      </c>
      <c r="W16" s="57" t="n">
        <v>0</v>
      </c>
      <c r="X16" s="57" t="n">
        <v>5357382.5</v>
      </c>
      <c r="Y16" s="58" t="n">
        <f aca="false">IFERROR(IF(V16=0,"",(W16-V16)/ABS(V16)),"")</f>
        <v>-1</v>
      </c>
      <c r="Z16" s="59" t="n">
        <f aca="false">IFERROR(X16/$X$7,"")</f>
        <v>0.704893649293644</v>
      </c>
    </row>
    <row r="17" customFormat="false" ht="15" hidden="false" customHeight="false" outlineLevel="0" collapsed="false">
      <c r="B17" s="62" t="s">
        <v>1068</v>
      </c>
      <c r="C17" s="63" t="n">
        <v>0</v>
      </c>
      <c r="D17" s="63" t="n">
        <v>0</v>
      </c>
      <c r="E17" s="63" t="n">
        <v>0</v>
      </c>
      <c r="F17" s="63" t="n">
        <v>-30223.53</v>
      </c>
      <c r="G17" s="63" t="n">
        <v>-4774.87</v>
      </c>
      <c r="H17" s="63" t="n">
        <v>50593.89</v>
      </c>
      <c r="I17" s="63" t="n">
        <v>17010.23</v>
      </c>
      <c r="J17" s="63" t="n">
        <v>112004.8</v>
      </c>
      <c r="K17" s="63" t="n">
        <v>47025.11</v>
      </c>
      <c r="L17" s="63" t="n">
        <v>146103.33</v>
      </c>
      <c r="M17" s="63" t="n">
        <v>84365.1</v>
      </c>
      <c r="N17" s="63" t="n">
        <v>99371.39</v>
      </c>
      <c r="O17" s="63" t="n">
        <v>29889.68</v>
      </c>
      <c r="P17" s="63" t="n">
        <v>115631.57</v>
      </c>
      <c r="Q17" s="63" t="n">
        <v>101291.42</v>
      </c>
      <c r="R17" s="63" t="n">
        <v>61616.73</v>
      </c>
      <c r="S17" s="63" t="n">
        <v>68988.24</v>
      </c>
      <c r="T17" s="63" t="n">
        <v>71854.26</v>
      </c>
      <c r="U17" s="63" t="n">
        <v>89696.45</v>
      </c>
      <c r="V17" s="63" t="n">
        <v>116889.43</v>
      </c>
      <c r="W17" s="63" t="n">
        <v>148202.22</v>
      </c>
      <c r="X17" s="63" t="n">
        <v>1325535.45</v>
      </c>
      <c r="Y17" s="58" t="n">
        <f aca="false">IFERROR(IF(V17=0,"",(W17-V17)/ABS(V17)),"")</f>
        <v>0.267883845442655</v>
      </c>
      <c r="Z17" s="59" t="n">
        <f aca="false">IFERROR(X17/$X$7,"")</f>
        <v>0.174406348738137</v>
      </c>
    </row>
    <row r="19" customFormat="false" ht="15" hidden="false" customHeight="false" outlineLevel="0" collapsed="false">
      <c r="B19" s="54" t="s">
        <v>1069</v>
      </c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</row>
    <row r="20" customFormat="false" ht="15" hidden="false" customHeight="false" outlineLevel="1" collapsed="false">
      <c r="B20" s="56" t="s">
        <v>1070</v>
      </c>
      <c r="C20" s="57" t="n">
        <v>0</v>
      </c>
      <c r="D20" s="57" t="n">
        <v>0</v>
      </c>
      <c r="E20" s="57" t="n">
        <v>0</v>
      </c>
      <c r="F20" s="57" t="n">
        <v>3266.32</v>
      </c>
      <c r="G20" s="57" t="n">
        <v>4119.21</v>
      </c>
      <c r="H20" s="57" t="n">
        <v>3285.31</v>
      </c>
      <c r="I20" s="57" t="n">
        <v>4631.51</v>
      </c>
      <c r="J20" s="57" t="n">
        <v>8005.04</v>
      </c>
      <c r="K20" s="57" t="n">
        <v>7505.06</v>
      </c>
      <c r="L20" s="57" t="n">
        <v>2633.53</v>
      </c>
      <c r="M20" s="57" t="n">
        <v>6200.07</v>
      </c>
      <c r="N20" s="57" t="n">
        <v>8446.24</v>
      </c>
      <c r="O20" s="57" t="n">
        <v>6212.98</v>
      </c>
      <c r="P20" s="57" t="n">
        <v>6818.81</v>
      </c>
      <c r="Q20" s="57" t="n">
        <v>7966.01</v>
      </c>
      <c r="R20" s="57" t="n">
        <v>1635.49</v>
      </c>
      <c r="S20" s="57" t="n">
        <v>3493.33</v>
      </c>
      <c r="T20" s="57" t="n">
        <v>6370.18</v>
      </c>
      <c r="U20" s="57" t="n">
        <v>6258.05</v>
      </c>
      <c r="V20" s="57" t="n">
        <v>5873.77</v>
      </c>
      <c r="W20" s="57" t="n">
        <v>0</v>
      </c>
      <c r="X20" s="57" t="n">
        <v>92720.91</v>
      </c>
      <c r="Y20" s="58" t="n">
        <f aca="false">IFERROR(IF(V20=0,"",(W20-V20)/ABS(V20)),"")</f>
        <v>-1</v>
      </c>
      <c r="Z20" s="59" t="n">
        <f aca="false">IFERROR(X20/$X$7,"")</f>
        <v>0.0121996853156793</v>
      </c>
    </row>
    <row r="21" customFormat="false" ht="15" hidden="false" customHeight="false" outlineLevel="1" collapsed="false">
      <c r="B21" s="56" t="s">
        <v>1071</v>
      </c>
      <c r="C21" s="57" t="n">
        <v>0</v>
      </c>
      <c r="D21" s="57" t="n">
        <v>0</v>
      </c>
      <c r="E21" s="57" t="n">
        <v>0</v>
      </c>
      <c r="F21" s="57" t="n">
        <v>0</v>
      </c>
      <c r="G21" s="57" t="n">
        <v>39</v>
      </c>
      <c r="H21" s="57" t="n">
        <v>0</v>
      </c>
      <c r="I21" s="57" t="n">
        <v>110</v>
      </c>
      <c r="J21" s="57" t="n">
        <v>300</v>
      </c>
      <c r="K21" s="57" t="n">
        <v>0</v>
      </c>
      <c r="L21" s="57" t="n">
        <v>915</v>
      </c>
      <c r="M21" s="57" t="n">
        <v>0</v>
      </c>
      <c r="N21" s="57" t="n">
        <v>0</v>
      </c>
      <c r="O21" s="57" t="n">
        <v>0</v>
      </c>
      <c r="P21" s="57" t="n">
        <v>0</v>
      </c>
      <c r="Q21" s="57" t="n">
        <v>110</v>
      </c>
      <c r="R21" s="57" t="n">
        <v>0</v>
      </c>
      <c r="S21" s="57" t="n">
        <v>0</v>
      </c>
      <c r="T21" s="57" t="n">
        <v>0</v>
      </c>
      <c r="U21" s="57" t="n">
        <v>0</v>
      </c>
      <c r="V21" s="57" t="n">
        <v>600</v>
      </c>
      <c r="W21" s="57" t="n">
        <v>0</v>
      </c>
      <c r="X21" s="57" t="n">
        <v>2074</v>
      </c>
      <c r="Y21" s="58" t="n">
        <f aca="false">IFERROR(IF(V21=0,"",(W21-V21)/ABS(V21)),"")</f>
        <v>-1</v>
      </c>
      <c r="Z21" s="59" t="n">
        <f aca="false">IFERROR(X21/$X$7,"")</f>
        <v>0.000272885019621992</v>
      </c>
    </row>
    <row r="22" customFormat="false" ht="15" hidden="false" customHeight="false" outlineLevel="0" collapsed="false">
      <c r="B22" s="60" t="s">
        <v>1072</v>
      </c>
      <c r="C22" s="61" t="n">
        <v>0</v>
      </c>
      <c r="D22" s="61" t="n">
        <v>0</v>
      </c>
      <c r="E22" s="61" t="n">
        <v>0</v>
      </c>
      <c r="F22" s="61" t="n">
        <v>3266.32</v>
      </c>
      <c r="G22" s="61" t="n">
        <v>4158.21</v>
      </c>
      <c r="H22" s="61" t="n">
        <v>3285.31</v>
      </c>
      <c r="I22" s="61" t="n">
        <v>4741.51</v>
      </c>
      <c r="J22" s="61" t="n">
        <v>8305.04</v>
      </c>
      <c r="K22" s="61" t="n">
        <v>7505.06</v>
      </c>
      <c r="L22" s="61" t="n">
        <v>3548.53</v>
      </c>
      <c r="M22" s="61" t="n">
        <v>6200.07</v>
      </c>
      <c r="N22" s="61" t="n">
        <v>8446.24</v>
      </c>
      <c r="O22" s="61" t="n">
        <v>6212.98</v>
      </c>
      <c r="P22" s="61" t="n">
        <v>6818.81</v>
      </c>
      <c r="Q22" s="61" t="n">
        <v>8076.01</v>
      </c>
      <c r="R22" s="61" t="n">
        <v>1635.49</v>
      </c>
      <c r="S22" s="61" t="n">
        <v>3493.33</v>
      </c>
      <c r="T22" s="61" t="n">
        <v>6370.18</v>
      </c>
      <c r="U22" s="61" t="n">
        <v>6258.05</v>
      </c>
      <c r="V22" s="61" t="n">
        <v>6473.77</v>
      </c>
      <c r="W22" s="61" t="n">
        <v>0</v>
      </c>
      <c r="X22" s="61" t="n">
        <v>94794.91</v>
      </c>
      <c r="Y22" s="58" t="n">
        <f aca="false">IFERROR(IF(V22=0,"",(W22-V22)/ABS(V22)),"")</f>
        <v>-1</v>
      </c>
      <c r="Z22" s="59" t="n">
        <f aca="false">IFERROR(X22/$X$7,"")</f>
        <v>0.0124725703353013</v>
      </c>
    </row>
    <row r="23" customFormat="false" ht="15" hidden="false" customHeight="false" outlineLevel="0" collapsed="false">
      <c r="B23" s="54" t="s">
        <v>1073</v>
      </c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</row>
    <row r="24" customFormat="false" ht="15" hidden="false" customHeight="false" outlineLevel="1" collapsed="false">
      <c r="B24" s="56" t="s">
        <v>1074</v>
      </c>
      <c r="C24" s="57" t="n">
        <v>0</v>
      </c>
      <c r="D24" s="57" t="n">
        <v>0</v>
      </c>
      <c r="E24" s="57" t="n">
        <v>5000</v>
      </c>
      <c r="F24" s="57" t="n">
        <v>23868.1</v>
      </c>
      <c r="G24" s="57" t="n">
        <v>21582.64</v>
      </c>
      <c r="H24" s="57" t="n">
        <v>23176.52</v>
      </c>
      <c r="I24" s="57" t="n">
        <v>27082.92</v>
      </c>
      <c r="J24" s="57" t="n">
        <v>27532.27</v>
      </c>
      <c r="K24" s="57" t="n">
        <v>26127.57</v>
      </c>
      <c r="L24" s="57" t="n">
        <v>32472.03</v>
      </c>
      <c r="M24" s="57" t="n">
        <v>27259.41</v>
      </c>
      <c r="N24" s="57" t="n">
        <v>25797.32</v>
      </c>
      <c r="O24" s="57" t="n">
        <v>22939.91</v>
      </c>
      <c r="P24" s="57" t="n">
        <v>22206.35</v>
      </c>
      <c r="Q24" s="57" t="n">
        <v>25922.28</v>
      </c>
      <c r="R24" s="57" t="n">
        <v>29464</v>
      </c>
      <c r="S24" s="57" t="n">
        <v>23938.39</v>
      </c>
      <c r="T24" s="57" t="n">
        <v>31240.56</v>
      </c>
      <c r="U24" s="57" t="n">
        <v>31939.4</v>
      </c>
      <c r="V24" s="57" t="n">
        <v>31560.15</v>
      </c>
      <c r="W24" s="57" t="n">
        <v>29390.14</v>
      </c>
      <c r="X24" s="57" t="n">
        <v>488499.96</v>
      </c>
      <c r="Y24" s="58" t="n">
        <f aca="false">IFERROR(IF(V24=0,"",(W24-V24)/ABS(V24)),"")</f>
        <v>-0.0687579114801419</v>
      </c>
      <c r="Z24" s="59" t="n">
        <f aca="false">IFERROR(X24/$X$7,"")</f>
        <v>0.0642740217791429</v>
      </c>
    </row>
    <row r="25" customFormat="false" ht="15" hidden="false" customHeight="false" outlineLevel="1" collapsed="false">
      <c r="B25" s="56" t="s">
        <v>1075</v>
      </c>
      <c r="C25" s="57" t="n">
        <v>0</v>
      </c>
      <c r="D25" s="57" t="n">
        <v>0</v>
      </c>
      <c r="E25" s="57" t="n">
        <v>0</v>
      </c>
      <c r="F25" s="57" t="n">
        <v>7473.57</v>
      </c>
      <c r="G25" s="57" t="n">
        <v>4205.34</v>
      </c>
      <c r="H25" s="57" t="n">
        <v>6201.8</v>
      </c>
      <c r="I25" s="57" t="n">
        <v>0</v>
      </c>
      <c r="J25" s="57" t="n">
        <v>0</v>
      </c>
      <c r="K25" s="57" t="n">
        <v>2621</v>
      </c>
      <c r="L25" s="57" t="n">
        <v>0</v>
      </c>
      <c r="M25" s="57" t="n">
        <v>0</v>
      </c>
      <c r="N25" s="57" t="n">
        <v>0</v>
      </c>
      <c r="O25" s="57" t="n">
        <v>0</v>
      </c>
      <c r="P25" s="57" t="n">
        <v>0</v>
      </c>
      <c r="Q25" s="57" t="n">
        <v>8096</v>
      </c>
      <c r="R25" s="57" t="n">
        <v>0</v>
      </c>
      <c r="S25" s="57" t="n">
        <v>12475.68</v>
      </c>
      <c r="T25" s="57" t="n">
        <v>4763.35</v>
      </c>
      <c r="U25" s="57" t="n">
        <v>2623.23</v>
      </c>
      <c r="V25" s="57" t="n">
        <v>2903.47</v>
      </c>
      <c r="W25" s="57" t="n">
        <v>0</v>
      </c>
      <c r="X25" s="57" t="n">
        <v>51363.44</v>
      </c>
      <c r="Y25" s="58" t="n">
        <f aca="false">IFERROR(IF(V25=0,"",(W25-V25)/ABS(V25)),"")</f>
        <v>-1</v>
      </c>
      <c r="Z25" s="59" t="n">
        <f aca="false">IFERROR(X25/$X$7,"")</f>
        <v>0.00675810671757619</v>
      </c>
    </row>
    <row r="26" customFormat="false" ht="15" hidden="false" customHeight="false" outlineLevel="1" collapsed="false">
      <c r="B26" s="56" t="s">
        <v>1076</v>
      </c>
      <c r="C26" s="57" t="n">
        <v>0</v>
      </c>
      <c r="D26" s="57" t="n">
        <v>0</v>
      </c>
      <c r="E26" s="57" t="n">
        <v>0</v>
      </c>
      <c r="F26" s="57" t="n">
        <v>760.38</v>
      </c>
      <c r="G26" s="57" t="n">
        <v>0</v>
      </c>
      <c r="H26" s="57" t="n">
        <v>2849.74</v>
      </c>
      <c r="I26" s="57" t="n">
        <v>5353.37</v>
      </c>
      <c r="J26" s="57" t="n">
        <v>1360</v>
      </c>
      <c r="K26" s="57" t="n">
        <v>0</v>
      </c>
      <c r="L26" s="57" t="n">
        <v>0</v>
      </c>
      <c r="M26" s="57" t="n">
        <v>2906.98</v>
      </c>
      <c r="N26" s="57" t="n">
        <v>0</v>
      </c>
      <c r="O26" s="57" t="n">
        <v>0</v>
      </c>
      <c r="P26" s="57" t="n">
        <v>2071.71</v>
      </c>
      <c r="Q26" s="57" t="n">
        <v>3434.87</v>
      </c>
      <c r="R26" s="57" t="n">
        <v>30769.48</v>
      </c>
      <c r="S26" s="57" t="n">
        <v>0</v>
      </c>
      <c r="T26" s="57" t="n">
        <v>0</v>
      </c>
      <c r="U26" s="57" t="n">
        <v>0</v>
      </c>
      <c r="V26" s="57" t="n">
        <v>0</v>
      </c>
      <c r="W26" s="57" t="n">
        <v>0</v>
      </c>
      <c r="X26" s="57" t="n">
        <v>49506.53</v>
      </c>
      <c r="Y26" s="58" t="str">
        <f aca="false">IFERROR(IF(V26=0,"",(W26-V26)/ABS(V26)),"")</f>
        <v/>
      </c>
      <c r="Z26" s="59" t="n">
        <f aca="false">IFERROR(X26/$X$7,"")</f>
        <v>0.00651378515451627</v>
      </c>
    </row>
    <row r="27" customFormat="false" ht="15" hidden="false" customHeight="false" outlineLevel="1" collapsed="false">
      <c r="B27" s="56" t="s">
        <v>1077</v>
      </c>
      <c r="C27" s="57" t="n">
        <v>0</v>
      </c>
      <c r="D27" s="57" t="n">
        <v>0</v>
      </c>
      <c r="E27" s="57" t="n">
        <v>300</v>
      </c>
      <c r="F27" s="57" t="n">
        <v>0</v>
      </c>
      <c r="G27" s="57" t="n">
        <v>1000</v>
      </c>
      <c r="H27" s="57" t="n">
        <v>1500.02</v>
      </c>
      <c r="I27" s="57" t="n">
        <v>1000</v>
      </c>
      <c r="J27" s="57" t="n">
        <v>1000</v>
      </c>
      <c r="K27" s="57" t="n">
        <v>1300</v>
      </c>
      <c r="L27" s="57" t="n">
        <v>1650</v>
      </c>
      <c r="M27" s="57" t="n">
        <v>800.01</v>
      </c>
      <c r="N27" s="57" t="n">
        <v>800</v>
      </c>
      <c r="O27" s="57" t="n">
        <v>3450.01</v>
      </c>
      <c r="P27" s="57" t="n">
        <v>3750</v>
      </c>
      <c r="Q27" s="57" t="n">
        <v>3850</v>
      </c>
      <c r="R27" s="57" t="n">
        <v>3120.01</v>
      </c>
      <c r="S27" s="57" t="n">
        <v>3450.01</v>
      </c>
      <c r="T27" s="57" t="n">
        <v>3550.01</v>
      </c>
      <c r="U27" s="57" t="n">
        <v>3650</v>
      </c>
      <c r="V27" s="57" t="n">
        <v>2850.01</v>
      </c>
      <c r="W27" s="57" t="n">
        <v>3250</v>
      </c>
      <c r="X27" s="57" t="n">
        <v>40270.08</v>
      </c>
      <c r="Y27" s="58" t="n">
        <f aca="false">IFERROR(IF(V27=0,"",(W27-V27)/ABS(V27)),"")</f>
        <v>0.140346875975874</v>
      </c>
      <c r="Z27" s="59" t="n">
        <f aca="false">IFERROR(X27/$X$7,"")</f>
        <v>0.0052985060612243</v>
      </c>
    </row>
    <row r="28" customFormat="false" ht="15" hidden="false" customHeight="false" outlineLevel="1" collapsed="false">
      <c r="B28" s="56" t="s">
        <v>1078</v>
      </c>
      <c r="C28" s="57" t="n">
        <v>0</v>
      </c>
      <c r="D28" s="57" t="n">
        <v>0</v>
      </c>
      <c r="E28" s="57" t="n">
        <v>0</v>
      </c>
      <c r="F28" s="57" t="n">
        <v>0</v>
      </c>
      <c r="G28" s="57" t="n">
        <v>0</v>
      </c>
      <c r="H28" s="57" t="n">
        <v>0</v>
      </c>
      <c r="I28" s="57" t="n">
        <v>0</v>
      </c>
      <c r="J28" s="57" t="n">
        <v>1777.34</v>
      </c>
      <c r="K28" s="57" t="n">
        <v>1885.32</v>
      </c>
      <c r="L28" s="57" t="n">
        <v>0</v>
      </c>
      <c r="M28" s="57" t="n">
        <v>0</v>
      </c>
      <c r="N28" s="57" t="n">
        <v>0</v>
      </c>
      <c r="O28" s="57" t="n">
        <v>3989.34</v>
      </c>
      <c r="P28" s="57" t="n">
        <v>4696.9</v>
      </c>
      <c r="Q28" s="57" t="n">
        <v>5198.96</v>
      </c>
      <c r="R28" s="57" t="n">
        <v>5408.24</v>
      </c>
      <c r="S28" s="57" t="n">
        <v>4455.12</v>
      </c>
      <c r="T28" s="57" t="n">
        <v>3373.29</v>
      </c>
      <c r="U28" s="57" t="n">
        <v>3216.94</v>
      </c>
      <c r="V28" s="57" t="n">
        <v>3992.67</v>
      </c>
      <c r="W28" s="57" t="n">
        <v>0</v>
      </c>
      <c r="X28" s="57" t="n">
        <v>37994.12</v>
      </c>
      <c r="Y28" s="58" t="n">
        <f aca="false">IFERROR(IF(V28=0,"",(W28-V28)/ABS(V28)),"")</f>
        <v>-1</v>
      </c>
      <c r="Z28" s="59" t="n">
        <f aca="false">IFERROR(X28/$X$7,"")</f>
        <v>0.004999048303626</v>
      </c>
    </row>
    <row r="29" customFormat="false" ht="15" hidden="false" customHeight="false" outlineLevel="1" collapsed="false">
      <c r="B29" s="56" t="s">
        <v>1079</v>
      </c>
      <c r="C29" s="57" t="n">
        <v>0</v>
      </c>
      <c r="D29" s="57" t="n">
        <v>0</v>
      </c>
      <c r="E29" s="57" t="n">
        <v>0</v>
      </c>
      <c r="F29" s="57" t="n">
        <v>2380</v>
      </c>
      <c r="G29" s="57" t="n">
        <v>0</v>
      </c>
      <c r="H29" s="57" t="n">
        <v>2780</v>
      </c>
      <c r="I29" s="57" t="n">
        <v>2460</v>
      </c>
      <c r="J29" s="57" t="n">
        <v>2740</v>
      </c>
      <c r="K29" s="57" t="n">
        <v>3820</v>
      </c>
      <c r="L29" s="57" t="n">
        <v>3160</v>
      </c>
      <c r="M29" s="57" t="n">
        <v>3240</v>
      </c>
      <c r="N29" s="57" t="n">
        <v>0</v>
      </c>
      <c r="O29" s="57" t="n">
        <v>0</v>
      </c>
      <c r="P29" s="57" t="n">
        <v>0</v>
      </c>
      <c r="Q29" s="57" t="n">
        <v>700</v>
      </c>
      <c r="R29" s="57" t="n">
        <v>1700</v>
      </c>
      <c r="S29" s="57" t="n">
        <v>1580</v>
      </c>
      <c r="T29" s="57" t="n">
        <v>2400</v>
      </c>
      <c r="U29" s="57" t="n">
        <v>1980</v>
      </c>
      <c r="V29" s="57" t="n">
        <v>2000</v>
      </c>
      <c r="W29" s="57" t="n">
        <v>2400</v>
      </c>
      <c r="X29" s="57" t="n">
        <v>33340</v>
      </c>
      <c r="Y29" s="58" t="n">
        <f aca="false">IFERROR(IF(V29=0,"",(W29-V29)/ABS(V29)),"")</f>
        <v>0.2</v>
      </c>
      <c r="Z29" s="59" t="n">
        <f aca="false">IFERROR(X29/$X$7,"")</f>
        <v>0.00438668589884147</v>
      </c>
    </row>
    <row r="30" customFormat="false" ht="15" hidden="false" customHeight="false" outlineLevel="1" collapsed="false">
      <c r="B30" s="56" t="s">
        <v>1080</v>
      </c>
      <c r="C30" s="57" t="n">
        <v>0</v>
      </c>
      <c r="D30" s="57" t="n">
        <v>0</v>
      </c>
      <c r="E30" s="57" t="n">
        <v>0</v>
      </c>
      <c r="F30" s="57" t="n">
        <v>0</v>
      </c>
      <c r="G30" s="57" t="n">
        <v>0</v>
      </c>
      <c r="H30" s="57" t="n">
        <v>0</v>
      </c>
      <c r="I30" s="57" t="n">
        <v>0</v>
      </c>
      <c r="J30" s="57" t="n">
        <v>0</v>
      </c>
      <c r="K30" s="57" t="n">
        <v>0</v>
      </c>
      <c r="L30" s="57" t="n">
        <v>0</v>
      </c>
      <c r="M30" s="57" t="n">
        <v>0</v>
      </c>
      <c r="N30" s="57" t="n">
        <v>0</v>
      </c>
      <c r="O30" s="57" t="n">
        <v>0</v>
      </c>
      <c r="P30" s="57" t="n">
        <v>13576.63</v>
      </c>
      <c r="Q30" s="57" t="n">
        <v>12084.67</v>
      </c>
      <c r="R30" s="57" t="n">
        <v>0</v>
      </c>
      <c r="S30" s="57" t="n">
        <v>0</v>
      </c>
      <c r="T30" s="57" t="n">
        <v>0</v>
      </c>
      <c r="U30" s="57" t="n">
        <v>0</v>
      </c>
      <c r="V30" s="57" t="n">
        <v>0</v>
      </c>
      <c r="W30" s="57" t="n">
        <v>0</v>
      </c>
      <c r="X30" s="57" t="n">
        <v>25661.3</v>
      </c>
      <c r="Y30" s="58" t="str">
        <f aca="false">IFERROR(IF(V30=0,"",(W30-V30)/ABS(V30)),"")</f>
        <v/>
      </c>
      <c r="Z30" s="59" t="n">
        <f aca="false">IFERROR(X30/$X$7,"")</f>
        <v>0.00337636661235575</v>
      </c>
    </row>
    <row r="31" customFormat="false" ht="15" hidden="false" customHeight="false" outlineLevel="1" collapsed="false">
      <c r="B31" s="56" t="s">
        <v>1081</v>
      </c>
      <c r="C31" s="57" t="n">
        <v>0</v>
      </c>
      <c r="D31" s="57" t="n">
        <v>0</v>
      </c>
      <c r="E31" s="57" t="n">
        <v>0</v>
      </c>
      <c r="F31" s="57" t="n">
        <v>0</v>
      </c>
      <c r="G31" s="57" t="n">
        <v>0</v>
      </c>
      <c r="H31" s="57" t="n">
        <v>300</v>
      </c>
      <c r="I31" s="57" t="n">
        <v>0</v>
      </c>
      <c r="J31" s="57" t="n">
        <v>0</v>
      </c>
      <c r="K31" s="57" t="n">
        <v>0</v>
      </c>
      <c r="L31" s="57" t="n">
        <v>0</v>
      </c>
      <c r="M31" s="57" t="n">
        <v>200</v>
      </c>
      <c r="N31" s="57" t="n">
        <v>0</v>
      </c>
      <c r="O31" s="57" t="n">
        <v>650</v>
      </c>
      <c r="P31" s="57" t="n">
        <v>0</v>
      </c>
      <c r="Q31" s="57" t="n">
        <v>0</v>
      </c>
      <c r="R31" s="57" t="n">
        <v>0</v>
      </c>
      <c r="S31" s="57" t="n">
        <v>0</v>
      </c>
      <c r="T31" s="57" t="n">
        <v>1508.5</v>
      </c>
      <c r="U31" s="57" t="n">
        <v>0</v>
      </c>
      <c r="V31" s="57" t="n">
        <v>0</v>
      </c>
      <c r="W31" s="57" t="n">
        <v>0</v>
      </c>
      <c r="X31" s="57" t="n">
        <v>2658.5</v>
      </c>
      <c r="Y31" s="58" t="str">
        <f aca="false">IFERROR(IF(V31=0,"",(W31-V31)/ABS(V31)),"")</f>
        <v/>
      </c>
      <c r="Z31" s="59" t="n">
        <f aca="false">IFERROR(X31/$X$7,"")</f>
        <v>0.000349790175826936</v>
      </c>
    </row>
    <row r="32" customFormat="false" ht="15" hidden="false" customHeight="false" outlineLevel="1" collapsed="false">
      <c r="B32" s="56" t="s">
        <v>1082</v>
      </c>
      <c r="C32" s="57" t="n">
        <v>0</v>
      </c>
      <c r="D32" s="57" t="n">
        <v>0</v>
      </c>
      <c r="E32" s="57" t="n">
        <v>0</v>
      </c>
      <c r="F32" s="57" t="n">
        <v>0</v>
      </c>
      <c r="G32" s="57" t="n">
        <v>0</v>
      </c>
      <c r="H32" s="57" t="n">
        <v>0</v>
      </c>
      <c r="I32" s="57" t="n">
        <v>2448</v>
      </c>
      <c r="J32" s="57" t="n">
        <v>0</v>
      </c>
      <c r="K32" s="57" t="n">
        <v>0</v>
      </c>
      <c r="L32" s="57" t="n">
        <v>0</v>
      </c>
      <c r="M32" s="57" t="n">
        <v>0</v>
      </c>
      <c r="N32" s="57" t="n">
        <v>0</v>
      </c>
      <c r="O32" s="57" t="n">
        <v>0</v>
      </c>
      <c r="P32" s="57" t="n">
        <v>0</v>
      </c>
      <c r="Q32" s="57" t="n">
        <v>0</v>
      </c>
      <c r="R32" s="57" t="n">
        <v>0</v>
      </c>
      <c r="S32" s="57" t="n">
        <v>0</v>
      </c>
      <c r="T32" s="57" t="n">
        <v>0</v>
      </c>
      <c r="U32" s="57" t="n">
        <v>0</v>
      </c>
      <c r="V32" s="57" t="n">
        <v>0</v>
      </c>
      <c r="W32" s="57" t="n">
        <v>0</v>
      </c>
      <c r="X32" s="57" t="n">
        <v>2448</v>
      </c>
      <c r="Y32" s="58" t="str">
        <f aca="false">IFERROR(IF(V32=0,"",(W32-V32)/ABS(V32)),"")</f>
        <v/>
      </c>
      <c r="Z32" s="59" t="n">
        <f aca="false">IFERROR(X32/$X$7,"")</f>
        <v>0.000322093793652187</v>
      </c>
    </row>
    <row r="33" customFormat="false" ht="15" hidden="false" customHeight="false" outlineLevel="1" collapsed="false">
      <c r="B33" s="56" t="s">
        <v>1083</v>
      </c>
      <c r="C33" s="57" t="n">
        <v>0</v>
      </c>
      <c r="D33" s="57" t="n">
        <v>0</v>
      </c>
      <c r="E33" s="57" t="n">
        <v>0</v>
      </c>
      <c r="F33" s="57" t="n">
        <v>0</v>
      </c>
      <c r="G33" s="57" t="n">
        <v>0</v>
      </c>
      <c r="H33" s="57" t="n">
        <v>800</v>
      </c>
      <c r="I33" s="57" t="n">
        <v>0</v>
      </c>
      <c r="J33" s="57" t="n">
        <v>49.9</v>
      </c>
      <c r="K33" s="57" t="n">
        <v>697.87</v>
      </c>
      <c r="L33" s="57" t="n">
        <v>49.9</v>
      </c>
      <c r="M33" s="57" t="n">
        <v>49.9</v>
      </c>
      <c r="N33" s="57" t="n">
        <v>49.9</v>
      </c>
      <c r="O33" s="57" t="n">
        <v>49.9</v>
      </c>
      <c r="P33" s="57" t="n">
        <v>49.9</v>
      </c>
      <c r="Q33" s="57" t="n">
        <v>67.4</v>
      </c>
      <c r="R33" s="57" t="n">
        <v>49.9</v>
      </c>
      <c r="S33" s="57" t="n">
        <v>0</v>
      </c>
      <c r="T33" s="57" t="n">
        <v>0</v>
      </c>
      <c r="U33" s="57" t="n">
        <v>0</v>
      </c>
      <c r="V33" s="57" t="n">
        <v>0</v>
      </c>
      <c r="W33" s="57" t="n">
        <v>0</v>
      </c>
      <c r="X33" s="57" t="n">
        <v>1914.57</v>
      </c>
      <c r="Y33" s="58" t="str">
        <f aca="false">IFERROR(IF(V33=0,"",(W33-V33)/ABS(V33)),"")</f>
        <v/>
      </c>
      <c r="Z33" s="59" t="n">
        <f aca="false">IFERROR(X33/$X$7,"")</f>
        <v>0.000251908135013345</v>
      </c>
    </row>
    <row r="34" customFormat="false" ht="15" hidden="false" customHeight="false" outlineLevel="1" collapsed="false">
      <c r="B34" s="56" t="s">
        <v>1084</v>
      </c>
      <c r="C34" s="57" t="n">
        <v>0</v>
      </c>
      <c r="D34" s="57" t="n">
        <v>0</v>
      </c>
      <c r="E34" s="57" t="n">
        <v>0</v>
      </c>
      <c r="F34" s="57" t="n">
        <v>20</v>
      </c>
      <c r="G34" s="57" t="n">
        <v>30</v>
      </c>
      <c r="H34" s="57" t="n">
        <v>40</v>
      </c>
      <c r="I34" s="57" t="n">
        <v>35</v>
      </c>
      <c r="J34" s="57" t="n">
        <v>0</v>
      </c>
      <c r="K34" s="57" t="n">
        <v>0</v>
      </c>
      <c r="L34" s="57" t="n">
        <v>30</v>
      </c>
      <c r="M34" s="57" t="n">
        <v>0</v>
      </c>
      <c r="N34" s="57" t="n">
        <v>30</v>
      </c>
      <c r="O34" s="57" t="n">
        <v>0</v>
      </c>
      <c r="P34" s="57" t="n">
        <v>0</v>
      </c>
      <c r="Q34" s="57" t="n">
        <v>0</v>
      </c>
      <c r="R34" s="57" t="n">
        <v>0</v>
      </c>
      <c r="S34" s="57" t="n">
        <v>40</v>
      </c>
      <c r="T34" s="57" t="n">
        <v>0</v>
      </c>
      <c r="U34" s="57" t="n">
        <v>0</v>
      </c>
      <c r="V34" s="57" t="n">
        <v>0</v>
      </c>
      <c r="W34" s="57" t="n">
        <v>0</v>
      </c>
      <c r="X34" s="57" t="n">
        <v>225</v>
      </c>
      <c r="Y34" s="58" t="str">
        <f aca="false">IFERROR(IF(V34=0,"",(W34-V34)/ABS(V34)),"")</f>
        <v/>
      </c>
      <c r="Z34" s="59" t="n">
        <f aca="false">IFERROR(X34/$X$7,"")</f>
        <v>2.96042089753849E-005</v>
      </c>
    </row>
    <row r="35" customFormat="false" ht="15" hidden="false" customHeight="false" outlineLevel="0" collapsed="false">
      <c r="B35" s="60" t="s">
        <v>1085</v>
      </c>
      <c r="C35" s="61" t="n">
        <v>0</v>
      </c>
      <c r="D35" s="61" t="n">
        <v>0</v>
      </c>
      <c r="E35" s="61" t="n">
        <v>5300</v>
      </c>
      <c r="F35" s="61" t="n">
        <v>34502.05</v>
      </c>
      <c r="G35" s="61" t="n">
        <v>26817.98</v>
      </c>
      <c r="H35" s="61" t="n">
        <v>37648.08</v>
      </c>
      <c r="I35" s="61" t="n">
        <v>38379.29</v>
      </c>
      <c r="J35" s="61" t="n">
        <v>34459.51</v>
      </c>
      <c r="K35" s="61" t="n">
        <v>36451.76</v>
      </c>
      <c r="L35" s="61" t="n">
        <v>37361.93</v>
      </c>
      <c r="M35" s="61" t="n">
        <v>34456.3</v>
      </c>
      <c r="N35" s="61" t="n">
        <v>26677.22</v>
      </c>
      <c r="O35" s="61" t="n">
        <v>31079.16</v>
      </c>
      <c r="P35" s="61" t="n">
        <v>46351.49</v>
      </c>
      <c r="Q35" s="61" t="n">
        <v>59354.18</v>
      </c>
      <c r="R35" s="61" t="n">
        <v>70511.63</v>
      </c>
      <c r="S35" s="61" t="n">
        <v>45939.2</v>
      </c>
      <c r="T35" s="61" t="n">
        <v>46835.71</v>
      </c>
      <c r="U35" s="61" t="n">
        <v>43409.57</v>
      </c>
      <c r="V35" s="61" t="n">
        <v>43306.3</v>
      </c>
      <c r="W35" s="61" t="n">
        <v>35040.14</v>
      </c>
      <c r="X35" s="61" t="n">
        <v>733881.5</v>
      </c>
      <c r="Y35" s="58" t="n">
        <f aca="false">IFERROR(IF(V35=0,"",(W35-V35)/ABS(V35)),"")</f>
        <v>-0.190876616104354</v>
      </c>
      <c r="Z35" s="59" t="n">
        <f aca="false">IFERROR(X35/$X$7,"")</f>
        <v>0.0965599168407507</v>
      </c>
    </row>
    <row r="36" customFormat="false" ht="15" hidden="false" customHeight="false" outlineLevel="0" collapsed="false">
      <c r="B36" s="54" t="s">
        <v>1086</v>
      </c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</row>
    <row r="37" customFormat="false" ht="15" hidden="false" customHeight="false" outlineLevel="1" collapsed="false">
      <c r="B37" s="56" t="s">
        <v>1087</v>
      </c>
      <c r="C37" s="57" t="n">
        <v>0</v>
      </c>
      <c r="D37" s="57" t="n">
        <v>0</v>
      </c>
      <c r="E37" s="57" t="n">
        <v>0</v>
      </c>
      <c r="F37" s="57" t="n">
        <v>0</v>
      </c>
      <c r="G37" s="57" t="n">
        <v>50000</v>
      </c>
      <c r="H37" s="57" t="n">
        <v>50000</v>
      </c>
      <c r="I37" s="57" t="n">
        <v>50000</v>
      </c>
      <c r="J37" s="57" t="n">
        <v>50087.5</v>
      </c>
      <c r="K37" s="57" t="n">
        <v>50000</v>
      </c>
      <c r="L37" s="57" t="n">
        <v>50000</v>
      </c>
      <c r="M37" s="57" t="n">
        <v>50150</v>
      </c>
      <c r="N37" s="57" t="n">
        <v>50180</v>
      </c>
      <c r="O37" s="57" t="n">
        <v>50000</v>
      </c>
      <c r="P37" s="57" t="n">
        <v>69.01</v>
      </c>
      <c r="Q37" s="57" t="n">
        <v>20136.76</v>
      </c>
      <c r="R37" s="57" t="n">
        <v>0</v>
      </c>
      <c r="S37" s="57" t="n">
        <v>668</v>
      </c>
      <c r="T37" s="57" t="n">
        <v>0</v>
      </c>
      <c r="U37" s="57" t="n">
        <v>0</v>
      </c>
      <c r="V37" s="57" t="n">
        <v>100</v>
      </c>
      <c r="W37" s="57" t="n">
        <v>0</v>
      </c>
      <c r="X37" s="57" t="n">
        <v>471391.27</v>
      </c>
      <c r="Y37" s="58" t="n">
        <f aca="false">IFERROR(IF(V37=0,"",(W37-V37)/ABS(V37)),"")</f>
        <v>-1</v>
      </c>
      <c r="Z37" s="59" t="n">
        <f aca="false">IFERROR(X37/$X$7,"")</f>
        <v>0.0620229585166759</v>
      </c>
    </row>
    <row r="38" customFormat="false" ht="15" hidden="false" customHeight="false" outlineLevel="1" collapsed="false">
      <c r="B38" s="56" t="s">
        <v>1088</v>
      </c>
      <c r="C38" s="57" t="n">
        <v>0</v>
      </c>
      <c r="D38" s="57" t="n">
        <v>0</v>
      </c>
      <c r="E38" s="57" t="n">
        <v>0</v>
      </c>
      <c r="F38" s="57" t="n">
        <v>0</v>
      </c>
      <c r="G38" s="57" t="n">
        <v>0</v>
      </c>
      <c r="H38" s="57" t="n">
        <v>0</v>
      </c>
      <c r="I38" s="57" t="n">
        <v>12013.66</v>
      </c>
      <c r="J38" s="57" t="n">
        <v>12013.66</v>
      </c>
      <c r="K38" s="57" t="n">
        <v>12013.66</v>
      </c>
      <c r="L38" s="57" t="n">
        <v>12013.66</v>
      </c>
      <c r="M38" s="57" t="n">
        <v>12013.66</v>
      </c>
      <c r="N38" s="57" t="n">
        <v>12013.66</v>
      </c>
      <c r="O38" s="57" t="n">
        <v>12013.66</v>
      </c>
      <c r="P38" s="57" t="n">
        <v>12013.66</v>
      </c>
      <c r="Q38" s="57" t="n">
        <v>12013.66</v>
      </c>
      <c r="R38" s="57" t="n">
        <v>24458.68</v>
      </c>
      <c r="S38" s="57" t="n">
        <v>24458.68</v>
      </c>
      <c r="T38" s="57" t="n">
        <v>24458.68</v>
      </c>
      <c r="U38" s="57" t="n">
        <v>24458.68</v>
      </c>
      <c r="V38" s="57" t="n">
        <v>24458.68</v>
      </c>
      <c r="W38" s="57" t="n">
        <v>24458.68</v>
      </c>
      <c r="X38" s="57" t="n">
        <v>254875.02</v>
      </c>
      <c r="Y38" s="58" t="n">
        <f aca="false">IFERROR(IF(V38=0,"",(W38-V38)/ABS(V38)),"")</f>
        <v>0</v>
      </c>
      <c r="Z38" s="59" t="n">
        <f aca="false">IFERROR(X38/$X$7,"")</f>
        <v>0.0335349926874907</v>
      </c>
    </row>
    <row r="39" customFormat="false" ht="15" hidden="false" customHeight="false" outlineLevel="1" collapsed="false">
      <c r="B39" s="56" t="s">
        <v>1089</v>
      </c>
      <c r="C39" s="57" t="n">
        <v>3885</v>
      </c>
      <c r="D39" s="57" t="n">
        <v>0</v>
      </c>
      <c r="E39" s="57" t="n">
        <v>0</v>
      </c>
      <c r="F39" s="57" t="n">
        <v>5263</v>
      </c>
      <c r="G39" s="57" t="n">
        <v>5275.93</v>
      </c>
      <c r="H39" s="57" t="n">
        <v>5919.74</v>
      </c>
      <c r="I39" s="57" t="n">
        <v>5514.62</v>
      </c>
      <c r="J39" s="57" t="n">
        <v>5667.46</v>
      </c>
      <c r="K39" s="57" t="n">
        <v>5501</v>
      </c>
      <c r="L39" s="57" t="n">
        <v>5618.94</v>
      </c>
      <c r="M39" s="57" t="n">
        <v>6582.13</v>
      </c>
      <c r="N39" s="57" t="n">
        <v>5713.82</v>
      </c>
      <c r="O39" s="57" t="n">
        <v>10116.52</v>
      </c>
      <c r="P39" s="57" t="n">
        <v>1803.81</v>
      </c>
      <c r="Q39" s="57" t="n">
        <v>0</v>
      </c>
      <c r="R39" s="57" t="n">
        <v>7600</v>
      </c>
      <c r="S39" s="57" t="n">
        <v>8100</v>
      </c>
      <c r="T39" s="57" t="n">
        <v>8100</v>
      </c>
      <c r="U39" s="57" t="n">
        <v>8100</v>
      </c>
      <c r="V39" s="57" t="n">
        <v>8100</v>
      </c>
      <c r="W39" s="57" t="n">
        <v>0</v>
      </c>
      <c r="X39" s="57" t="n">
        <v>106861.97</v>
      </c>
      <c r="Y39" s="58" t="n">
        <f aca="false">IFERROR(IF(V39=0,"",(W39-V39)/ABS(V39)),"")</f>
        <v>-1</v>
      </c>
      <c r="Z39" s="59" t="n">
        <f aca="false">IFERROR(X39/$X$7,"")</f>
        <v>0.0140602848506725</v>
      </c>
    </row>
    <row r="40" customFormat="false" ht="15" hidden="false" customHeight="false" outlineLevel="1" collapsed="false">
      <c r="B40" s="56" t="s">
        <v>1090</v>
      </c>
      <c r="C40" s="57" t="n">
        <v>0</v>
      </c>
      <c r="D40" s="57" t="n">
        <v>0</v>
      </c>
      <c r="E40" s="57" t="n">
        <v>0</v>
      </c>
      <c r="F40" s="57" t="n">
        <v>3930</v>
      </c>
      <c r="G40" s="57" t="n">
        <v>2195.42</v>
      </c>
      <c r="H40" s="57" t="n">
        <v>572.47</v>
      </c>
      <c r="I40" s="57" t="n">
        <v>3907.98</v>
      </c>
      <c r="J40" s="57" t="n">
        <v>4520.65</v>
      </c>
      <c r="K40" s="57" t="n">
        <v>5617.27</v>
      </c>
      <c r="L40" s="57" t="n">
        <v>3941.68</v>
      </c>
      <c r="M40" s="57" t="n">
        <v>7706</v>
      </c>
      <c r="N40" s="57" t="n">
        <v>5233.77</v>
      </c>
      <c r="O40" s="57" t="n">
        <v>2929.55</v>
      </c>
      <c r="P40" s="57" t="n">
        <v>5352</v>
      </c>
      <c r="Q40" s="57" t="n">
        <v>3990</v>
      </c>
      <c r="R40" s="57" t="n">
        <v>920</v>
      </c>
      <c r="S40" s="57" t="n">
        <v>560</v>
      </c>
      <c r="T40" s="57" t="n">
        <v>3950</v>
      </c>
      <c r="U40" s="57" t="n">
        <v>0</v>
      </c>
      <c r="V40" s="57" t="n">
        <v>3300</v>
      </c>
      <c r="W40" s="57" t="n">
        <v>0</v>
      </c>
      <c r="X40" s="57" t="n">
        <v>58626.79</v>
      </c>
      <c r="Y40" s="58" t="n">
        <f aca="false">IFERROR(IF(V40=0,"",(W40-V40)/ABS(V40)),"")</f>
        <v>-1</v>
      </c>
      <c r="Z40" s="59" t="n">
        <f aca="false">IFERROR(X40/$X$7,"")</f>
        <v>0.00771377663429335</v>
      </c>
    </row>
    <row r="41" customFormat="false" ht="15" hidden="false" customHeight="false" outlineLevel="1" collapsed="false">
      <c r="B41" s="56" t="s">
        <v>1091</v>
      </c>
      <c r="C41" s="57" t="n">
        <v>0</v>
      </c>
      <c r="D41" s="57" t="n">
        <v>0</v>
      </c>
      <c r="E41" s="57" t="n">
        <v>0</v>
      </c>
      <c r="F41" s="57" t="n">
        <v>0</v>
      </c>
      <c r="G41" s="57" t="n">
        <v>0</v>
      </c>
      <c r="H41" s="57" t="n">
        <v>0</v>
      </c>
      <c r="I41" s="57" t="n">
        <v>0</v>
      </c>
      <c r="J41" s="57" t="n">
        <v>0</v>
      </c>
      <c r="K41" s="57" t="n">
        <v>0</v>
      </c>
      <c r="L41" s="57" t="n">
        <v>0</v>
      </c>
      <c r="M41" s="57" t="n">
        <v>0</v>
      </c>
      <c r="N41" s="57" t="n">
        <v>0</v>
      </c>
      <c r="O41" s="57" t="n">
        <v>5000</v>
      </c>
      <c r="P41" s="57" t="n">
        <v>5000</v>
      </c>
      <c r="Q41" s="57" t="n">
        <v>5000</v>
      </c>
      <c r="R41" s="57" t="n">
        <v>5000</v>
      </c>
      <c r="S41" s="57" t="n">
        <v>5000</v>
      </c>
      <c r="T41" s="57" t="n">
        <v>3500</v>
      </c>
      <c r="U41" s="57" t="n">
        <v>3500</v>
      </c>
      <c r="V41" s="57" t="n">
        <v>3500</v>
      </c>
      <c r="W41" s="57" t="n">
        <v>3500</v>
      </c>
      <c r="X41" s="57" t="n">
        <v>39000</v>
      </c>
      <c r="Y41" s="58" t="n">
        <f aca="false">IFERROR(IF(V41=0,"",(W41-V41)/ABS(V41)),"")</f>
        <v>0</v>
      </c>
      <c r="Z41" s="59" t="n">
        <f aca="false">IFERROR(X41/$X$7,"")</f>
        <v>0.00513139622240004</v>
      </c>
    </row>
    <row r="42" customFormat="false" ht="15" hidden="false" customHeight="false" outlineLevel="1" collapsed="false">
      <c r="B42" s="56" t="s">
        <v>1092</v>
      </c>
      <c r="C42" s="57" t="n">
        <v>0</v>
      </c>
      <c r="D42" s="57" t="n">
        <v>0</v>
      </c>
      <c r="E42" s="57" t="n">
        <v>0</v>
      </c>
      <c r="F42" s="57" t="n">
        <v>0</v>
      </c>
      <c r="G42" s="57" t="n">
        <v>670.3</v>
      </c>
      <c r="H42" s="57" t="n">
        <v>887.51</v>
      </c>
      <c r="I42" s="57" t="n">
        <v>1040.05</v>
      </c>
      <c r="J42" s="57" t="n">
        <v>1396.51</v>
      </c>
      <c r="K42" s="57" t="n">
        <v>1719.58</v>
      </c>
      <c r="L42" s="57" t="n">
        <v>1557.11</v>
      </c>
      <c r="M42" s="57" t="n">
        <v>1816.77</v>
      </c>
      <c r="N42" s="57" t="n">
        <v>1422.23</v>
      </c>
      <c r="O42" s="57" t="n">
        <v>1274.16</v>
      </c>
      <c r="P42" s="57" t="n">
        <v>1773.48</v>
      </c>
      <c r="Q42" s="57" t="n">
        <v>1470.3</v>
      </c>
      <c r="R42" s="57" t="n">
        <v>839.51</v>
      </c>
      <c r="S42" s="57" t="n">
        <v>1136.03</v>
      </c>
      <c r="T42" s="57" t="n">
        <v>1421.38</v>
      </c>
      <c r="U42" s="57" t="n">
        <v>1349.31</v>
      </c>
      <c r="V42" s="57" t="n">
        <v>967.75</v>
      </c>
      <c r="W42" s="57" t="n">
        <v>0</v>
      </c>
      <c r="X42" s="57" t="n">
        <v>20741.98</v>
      </c>
      <c r="Y42" s="58" t="n">
        <f aca="false">IFERROR(IF(V42=0,"",(W42-V42)/ABS(V42)),"")</f>
        <v>-1</v>
      </c>
      <c r="Z42" s="59" t="n">
        <f aca="false">IFERROR(X42/$X$7,"")</f>
        <v>0.0027291107132589</v>
      </c>
    </row>
    <row r="43" customFormat="false" ht="15" hidden="false" customHeight="false" outlineLevel="1" collapsed="false">
      <c r="B43" s="56" t="s">
        <v>1093</v>
      </c>
      <c r="C43" s="57" t="n">
        <v>0</v>
      </c>
      <c r="D43" s="57" t="n">
        <v>0</v>
      </c>
      <c r="E43" s="57" t="n">
        <v>0</v>
      </c>
      <c r="F43" s="57" t="n">
        <v>0</v>
      </c>
      <c r="G43" s="57" t="n">
        <v>0</v>
      </c>
      <c r="H43" s="57" t="n">
        <v>0</v>
      </c>
      <c r="I43" s="57" t="n">
        <v>0</v>
      </c>
      <c r="J43" s="57" t="n">
        <v>0</v>
      </c>
      <c r="K43" s="57" t="n">
        <v>0</v>
      </c>
      <c r="L43" s="57" t="n">
        <v>0</v>
      </c>
      <c r="M43" s="57" t="n">
        <v>0</v>
      </c>
      <c r="N43" s="57" t="n">
        <v>0</v>
      </c>
      <c r="O43" s="57" t="n">
        <v>2500</v>
      </c>
      <c r="P43" s="57" t="n">
        <v>2500</v>
      </c>
      <c r="Q43" s="57" t="n">
        <v>0</v>
      </c>
      <c r="R43" s="57" t="n">
        <v>2500</v>
      </c>
      <c r="S43" s="57" t="n">
        <v>2500</v>
      </c>
      <c r="T43" s="57" t="n">
        <v>2500</v>
      </c>
      <c r="U43" s="57" t="n">
        <v>2500</v>
      </c>
      <c r="V43" s="57" t="n">
        <v>2500</v>
      </c>
      <c r="W43" s="57" t="n">
        <v>2500</v>
      </c>
      <c r="X43" s="57" t="n">
        <v>20000</v>
      </c>
      <c r="Y43" s="58" t="n">
        <f aca="false">IFERROR(IF(V43=0,"",(W43-V43)/ABS(V43)),"")</f>
        <v>0</v>
      </c>
      <c r="Z43" s="59" t="n">
        <f aca="false">IFERROR(X43/$X$7,"")</f>
        <v>0.00263148524225643</v>
      </c>
    </row>
    <row r="44" customFormat="false" ht="15" hidden="false" customHeight="false" outlineLevel="1" collapsed="false">
      <c r="B44" s="56" t="s">
        <v>1094</v>
      </c>
      <c r="C44" s="57" t="n">
        <v>0</v>
      </c>
      <c r="D44" s="57" t="n">
        <v>0</v>
      </c>
      <c r="E44" s="57" t="n">
        <v>0</v>
      </c>
      <c r="F44" s="57" t="n">
        <v>0</v>
      </c>
      <c r="G44" s="57" t="n">
        <v>1100</v>
      </c>
      <c r="H44" s="57" t="n">
        <v>1100</v>
      </c>
      <c r="I44" s="57" t="n">
        <v>1100</v>
      </c>
      <c r="J44" s="57" t="n">
        <v>1100</v>
      </c>
      <c r="K44" s="57" t="n">
        <v>1100</v>
      </c>
      <c r="L44" s="57" t="n">
        <v>1100</v>
      </c>
      <c r="M44" s="57" t="n">
        <v>1100</v>
      </c>
      <c r="N44" s="57" t="n">
        <v>1100</v>
      </c>
      <c r="O44" s="57" t="n">
        <v>1100</v>
      </c>
      <c r="P44" s="57" t="n">
        <v>1100</v>
      </c>
      <c r="Q44" s="57" t="n">
        <v>1100</v>
      </c>
      <c r="R44" s="57" t="n">
        <v>1100</v>
      </c>
      <c r="S44" s="57" t="n">
        <v>1100</v>
      </c>
      <c r="T44" s="57" t="n">
        <v>1100</v>
      </c>
      <c r="U44" s="57" t="n">
        <v>1100</v>
      </c>
      <c r="V44" s="57" t="n">
        <v>1100</v>
      </c>
      <c r="W44" s="57" t="n">
        <v>1100</v>
      </c>
      <c r="X44" s="57" t="n">
        <v>18700</v>
      </c>
      <c r="Y44" s="58" t="n">
        <f aca="false">IFERROR(IF(V44=0,"",(W44-V44)/ABS(V44)),"")</f>
        <v>0</v>
      </c>
      <c r="Z44" s="59" t="n">
        <f aca="false">IFERROR(X44/$X$7,"")</f>
        <v>0.00246043870150976</v>
      </c>
    </row>
    <row r="45" customFormat="false" ht="15" hidden="false" customHeight="false" outlineLevel="1" collapsed="false">
      <c r="B45" s="56" t="s">
        <v>1095</v>
      </c>
      <c r="C45" s="57" t="n">
        <v>0</v>
      </c>
      <c r="D45" s="57" t="n">
        <v>0</v>
      </c>
      <c r="E45" s="57" t="n">
        <v>0</v>
      </c>
      <c r="F45" s="57" t="n">
        <v>0</v>
      </c>
      <c r="G45" s="57" t="n">
        <v>0</v>
      </c>
      <c r="H45" s="57" t="n">
        <v>0</v>
      </c>
      <c r="I45" s="57" t="n">
        <v>0</v>
      </c>
      <c r="J45" s="57" t="n">
        <v>0</v>
      </c>
      <c r="K45" s="57" t="n">
        <v>0</v>
      </c>
      <c r="L45" s="57" t="n">
        <v>15678</v>
      </c>
      <c r="M45" s="57" t="n">
        <v>0</v>
      </c>
      <c r="N45" s="57" t="n">
        <v>0</v>
      </c>
      <c r="O45" s="57" t="n">
        <v>0</v>
      </c>
      <c r="P45" s="57" t="n">
        <v>0</v>
      </c>
      <c r="Q45" s="57" t="n">
        <v>0</v>
      </c>
      <c r="R45" s="57" t="n">
        <v>0</v>
      </c>
      <c r="S45" s="57" t="n">
        <v>0</v>
      </c>
      <c r="T45" s="57" t="n">
        <v>0</v>
      </c>
      <c r="U45" s="57" t="n">
        <v>0</v>
      </c>
      <c r="V45" s="57" t="n">
        <v>0</v>
      </c>
      <c r="W45" s="57" t="n">
        <v>0</v>
      </c>
      <c r="X45" s="57" t="n">
        <v>15678</v>
      </c>
      <c r="Y45" s="58" t="str">
        <f aca="false">IFERROR(IF(V45=0,"",(W45-V45)/ABS(V45)),"")</f>
        <v/>
      </c>
      <c r="Z45" s="59" t="n">
        <f aca="false">IFERROR(X45/$X$7,"")</f>
        <v>0.00206282128140482</v>
      </c>
    </row>
    <row r="46" customFormat="false" ht="15" hidden="false" customHeight="false" outlineLevel="1" collapsed="false">
      <c r="B46" s="56" t="s">
        <v>1096</v>
      </c>
      <c r="C46" s="57" t="n">
        <v>0</v>
      </c>
      <c r="D46" s="57" t="n">
        <v>0</v>
      </c>
      <c r="E46" s="57" t="n">
        <v>0</v>
      </c>
      <c r="F46" s="57" t="n">
        <v>0</v>
      </c>
      <c r="G46" s="57" t="n">
        <v>0</v>
      </c>
      <c r="H46" s="57" t="n">
        <v>0</v>
      </c>
      <c r="I46" s="57" t="n">
        <v>0</v>
      </c>
      <c r="J46" s="57" t="n">
        <v>0</v>
      </c>
      <c r="K46" s="57" t="n">
        <v>0</v>
      </c>
      <c r="L46" s="57" t="n">
        <v>0</v>
      </c>
      <c r="M46" s="57" t="n">
        <v>0</v>
      </c>
      <c r="N46" s="57" t="n">
        <v>0</v>
      </c>
      <c r="O46" s="57" t="n">
        <v>0</v>
      </c>
      <c r="P46" s="57" t="n">
        <v>0</v>
      </c>
      <c r="Q46" s="57" t="n">
        <v>0</v>
      </c>
      <c r="R46" s="57" t="n">
        <v>0</v>
      </c>
      <c r="S46" s="57" t="n">
        <v>989.17</v>
      </c>
      <c r="T46" s="57" t="n">
        <v>1677.63</v>
      </c>
      <c r="U46" s="57" t="n">
        <v>2147</v>
      </c>
      <c r="V46" s="57" t="n">
        <v>6721.75</v>
      </c>
      <c r="W46" s="57" t="n">
        <v>3544</v>
      </c>
      <c r="X46" s="57" t="n">
        <v>15079.55</v>
      </c>
      <c r="Y46" s="58" t="n">
        <f aca="false">IFERROR(IF(V46=0,"",(W46-V46)/ABS(V46)),"")</f>
        <v>-0.472756350652732</v>
      </c>
      <c r="Z46" s="59" t="n">
        <f aca="false">IFERROR(X46/$X$7,"")</f>
        <v>0.0019840806642434</v>
      </c>
    </row>
    <row r="47" customFormat="false" ht="15" hidden="false" customHeight="false" outlineLevel="1" collapsed="false">
      <c r="B47" s="56" t="s">
        <v>1097</v>
      </c>
      <c r="C47" s="57" t="n">
        <v>0</v>
      </c>
      <c r="D47" s="57" t="n">
        <v>0</v>
      </c>
      <c r="E47" s="57" t="n">
        <v>0</v>
      </c>
      <c r="F47" s="57" t="n">
        <v>0</v>
      </c>
      <c r="G47" s="57" t="n">
        <v>0</v>
      </c>
      <c r="H47" s="57" t="n">
        <v>0</v>
      </c>
      <c r="I47" s="57" t="n">
        <v>0</v>
      </c>
      <c r="J47" s="57" t="n">
        <v>0</v>
      </c>
      <c r="K47" s="57" t="n">
        <v>0</v>
      </c>
      <c r="L47" s="57" t="n">
        <v>957</v>
      </c>
      <c r="M47" s="57" t="n">
        <v>957</v>
      </c>
      <c r="N47" s="57" t="n">
        <v>957</v>
      </c>
      <c r="O47" s="57" t="n">
        <v>957</v>
      </c>
      <c r="P47" s="57" t="n">
        <v>957</v>
      </c>
      <c r="Q47" s="57" t="n">
        <v>957</v>
      </c>
      <c r="R47" s="57" t="n">
        <v>957</v>
      </c>
      <c r="S47" s="57" t="n">
        <v>957</v>
      </c>
      <c r="T47" s="57" t="n">
        <v>1085</v>
      </c>
      <c r="U47" s="57" t="n">
        <v>957</v>
      </c>
      <c r="V47" s="57" t="n">
        <v>1456.4</v>
      </c>
      <c r="W47" s="57" t="n">
        <v>1456.4</v>
      </c>
      <c r="X47" s="57" t="n">
        <v>12610.8</v>
      </c>
      <c r="Y47" s="58" t="n">
        <f aca="false">IFERROR(IF(V47=0,"",(W47-V47)/ABS(V47)),"")</f>
        <v>0</v>
      </c>
      <c r="Z47" s="59" t="n">
        <f aca="false">IFERROR(X47/$X$7,"")</f>
        <v>0.00165925670465237</v>
      </c>
    </row>
    <row r="48" customFormat="false" ht="15" hidden="false" customHeight="false" outlineLevel="1" collapsed="false">
      <c r="B48" s="56" t="s">
        <v>1098</v>
      </c>
      <c r="C48" s="57" t="n">
        <v>0</v>
      </c>
      <c r="D48" s="57" t="n">
        <v>0</v>
      </c>
      <c r="E48" s="57" t="n">
        <v>0</v>
      </c>
      <c r="F48" s="57" t="n">
        <v>428.66</v>
      </c>
      <c r="G48" s="57" t="n">
        <v>463</v>
      </c>
      <c r="H48" s="57" t="n">
        <v>269.82</v>
      </c>
      <c r="I48" s="57" t="n">
        <v>269.82</v>
      </c>
      <c r="J48" s="57" t="n">
        <v>269.84</v>
      </c>
      <c r="K48" s="57" t="n">
        <v>269.95</v>
      </c>
      <c r="L48" s="57" t="n">
        <v>270.22</v>
      </c>
      <c r="M48" s="57" t="n">
        <v>269.82</v>
      </c>
      <c r="N48" s="57" t="n">
        <v>269.82</v>
      </c>
      <c r="O48" s="57" t="n">
        <v>269.82</v>
      </c>
      <c r="P48" s="57" t="n">
        <v>269.82</v>
      </c>
      <c r="Q48" s="57" t="n">
        <v>269.82</v>
      </c>
      <c r="R48" s="57" t="n">
        <v>265.92</v>
      </c>
      <c r="S48" s="57" t="n">
        <v>1195.15</v>
      </c>
      <c r="T48" s="57" t="n">
        <v>928.23</v>
      </c>
      <c r="U48" s="57" t="n">
        <v>1198.14</v>
      </c>
      <c r="V48" s="57" t="n">
        <v>1198.14</v>
      </c>
      <c r="W48" s="57" t="n">
        <v>1198.14</v>
      </c>
      <c r="X48" s="57" t="n">
        <v>9574.13</v>
      </c>
      <c r="Y48" s="58" t="n">
        <f aca="false">IFERROR(IF(V48=0,"",(W48-V48)/ABS(V48)),"")</f>
        <v>0</v>
      </c>
      <c r="Z48" s="59" t="n">
        <f aca="false">IFERROR(X48/$X$7,"")</f>
        <v>0.00125970909012223</v>
      </c>
    </row>
    <row r="49" customFormat="false" ht="15" hidden="false" customHeight="false" outlineLevel="1" collapsed="false">
      <c r="B49" s="56" t="s">
        <v>1099</v>
      </c>
      <c r="C49" s="57" t="n">
        <v>0</v>
      </c>
      <c r="D49" s="57" t="n">
        <v>0</v>
      </c>
      <c r="E49" s="57" t="n">
        <v>0</v>
      </c>
      <c r="F49" s="57" t="n">
        <v>0</v>
      </c>
      <c r="G49" s="57" t="n">
        <v>0</v>
      </c>
      <c r="H49" s="57" t="n">
        <v>0</v>
      </c>
      <c r="I49" s="57" t="n">
        <v>1360</v>
      </c>
      <c r="J49" s="57" t="n">
        <v>30.6</v>
      </c>
      <c r="K49" s="57" t="n">
        <v>30.6</v>
      </c>
      <c r="L49" s="57" t="n">
        <v>0</v>
      </c>
      <c r="M49" s="57" t="n">
        <v>0</v>
      </c>
      <c r="N49" s="57" t="n">
        <v>220.95</v>
      </c>
      <c r="O49" s="57" t="n">
        <v>46.2</v>
      </c>
      <c r="P49" s="57" t="n">
        <v>31.2</v>
      </c>
      <c r="Q49" s="57" t="n">
        <v>0</v>
      </c>
      <c r="R49" s="57" t="n">
        <v>4411.53</v>
      </c>
      <c r="S49" s="57" t="n">
        <v>0</v>
      </c>
      <c r="T49" s="57" t="n">
        <v>0</v>
      </c>
      <c r="U49" s="57" t="n">
        <v>0</v>
      </c>
      <c r="V49" s="57" t="n">
        <v>0</v>
      </c>
      <c r="W49" s="57" t="n">
        <v>0</v>
      </c>
      <c r="X49" s="57" t="n">
        <v>6131.08</v>
      </c>
      <c r="Y49" s="58" t="str">
        <f aca="false">IFERROR(IF(V49=0,"",(W49-V49)/ABS(V49)),"")</f>
        <v/>
      </c>
      <c r="Z49" s="59" t="n">
        <f aca="false">IFERROR(X49/$X$7,"")</f>
        <v>0.000806692326954678</v>
      </c>
    </row>
    <row r="50" customFormat="false" ht="15" hidden="false" customHeight="false" outlineLevel="1" collapsed="false">
      <c r="B50" s="56" t="s">
        <v>1100</v>
      </c>
      <c r="C50" s="57" t="n">
        <v>0</v>
      </c>
      <c r="D50" s="57" t="n">
        <v>0</v>
      </c>
      <c r="E50" s="57" t="n">
        <v>0</v>
      </c>
      <c r="F50" s="57" t="n">
        <v>0</v>
      </c>
      <c r="G50" s="57" t="n">
        <v>0</v>
      </c>
      <c r="H50" s="57" t="n">
        <v>487.21</v>
      </c>
      <c r="I50" s="57" t="n">
        <v>298.48</v>
      </c>
      <c r="J50" s="57" t="n">
        <v>518.67</v>
      </c>
      <c r="K50" s="57" t="n">
        <v>387.32</v>
      </c>
      <c r="L50" s="57" t="n">
        <v>327.05</v>
      </c>
      <c r="M50" s="57" t="n">
        <v>327.05</v>
      </c>
      <c r="N50" s="57" t="n">
        <v>328.05</v>
      </c>
      <c r="O50" s="57" t="n">
        <v>327.05</v>
      </c>
      <c r="P50" s="57" t="n">
        <v>334.03</v>
      </c>
      <c r="Q50" s="57" t="n">
        <v>465.7</v>
      </c>
      <c r="R50" s="57" t="n">
        <v>350</v>
      </c>
      <c r="S50" s="57" t="n">
        <v>327.05</v>
      </c>
      <c r="T50" s="57" t="n">
        <v>327.05</v>
      </c>
      <c r="U50" s="57" t="n">
        <v>327.05</v>
      </c>
      <c r="V50" s="57" t="n">
        <v>404.49</v>
      </c>
      <c r="W50" s="57" t="n">
        <v>350</v>
      </c>
      <c r="X50" s="57" t="n">
        <v>5886.25</v>
      </c>
      <c r="Y50" s="58" t="n">
        <f aca="false">IFERROR(IF(V50=0,"",(W50-V50)/ABS(V50)),"")</f>
        <v>-0.134712848278079</v>
      </c>
      <c r="Z50" s="59" t="n">
        <f aca="false">IFERROR(X50/$X$7,"")</f>
        <v>0.000774479000361596</v>
      </c>
    </row>
    <row r="51" customFormat="false" ht="15" hidden="false" customHeight="false" outlineLevel="1" collapsed="false">
      <c r="B51" s="56" t="s">
        <v>1101</v>
      </c>
      <c r="C51" s="57" t="n">
        <v>0</v>
      </c>
      <c r="D51" s="57" t="n">
        <v>0</v>
      </c>
      <c r="E51" s="57" t="n">
        <v>0</v>
      </c>
      <c r="F51" s="57" t="n">
        <v>140</v>
      </c>
      <c r="G51" s="57" t="n">
        <v>1240</v>
      </c>
      <c r="H51" s="57" t="n">
        <v>140</v>
      </c>
      <c r="I51" s="57" t="n">
        <v>140</v>
      </c>
      <c r="J51" s="57" t="n">
        <v>140</v>
      </c>
      <c r="K51" s="57" t="n">
        <v>140</v>
      </c>
      <c r="L51" s="57" t="n">
        <v>140</v>
      </c>
      <c r="M51" s="57" t="n">
        <v>140</v>
      </c>
      <c r="N51" s="57" t="n">
        <v>140</v>
      </c>
      <c r="O51" s="57" t="n">
        <v>140</v>
      </c>
      <c r="P51" s="57" t="n">
        <v>940</v>
      </c>
      <c r="Q51" s="57" t="n">
        <v>140</v>
      </c>
      <c r="R51" s="57" t="n">
        <v>0</v>
      </c>
      <c r="S51" s="57" t="n">
        <v>758.74</v>
      </c>
      <c r="T51" s="57" t="n">
        <v>508.74</v>
      </c>
      <c r="U51" s="57" t="n">
        <v>508.74</v>
      </c>
      <c r="V51" s="57" t="n">
        <v>248</v>
      </c>
      <c r="W51" s="57" t="n">
        <v>248</v>
      </c>
      <c r="X51" s="57" t="n">
        <v>5852.22</v>
      </c>
      <c r="Y51" s="58" t="n">
        <f aca="false">IFERROR(IF(V51=0,"",(W51-V51)/ABS(V51)),"")</f>
        <v>0</v>
      </c>
      <c r="Z51" s="59" t="n">
        <f aca="false">IFERROR(X51/$X$7,"")</f>
        <v>0.000770001528221897</v>
      </c>
    </row>
    <row r="52" customFormat="false" ht="15" hidden="false" customHeight="false" outlineLevel="1" collapsed="false">
      <c r="B52" s="56" t="s">
        <v>1102</v>
      </c>
      <c r="C52" s="57" t="n">
        <v>0</v>
      </c>
      <c r="D52" s="57" t="n">
        <v>0</v>
      </c>
      <c r="E52" s="57" t="n">
        <v>0</v>
      </c>
      <c r="F52" s="57" t="n">
        <v>224.36</v>
      </c>
      <c r="G52" s="57" t="n">
        <v>293.24</v>
      </c>
      <c r="H52" s="57" t="n">
        <v>196.62</v>
      </c>
      <c r="I52" s="57" t="n">
        <v>332.28</v>
      </c>
      <c r="J52" s="57" t="n">
        <v>332.28</v>
      </c>
      <c r="K52" s="57" t="n">
        <v>332.28</v>
      </c>
      <c r="L52" s="57" t="n">
        <v>327</v>
      </c>
      <c r="M52" s="57" t="n">
        <v>0</v>
      </c>
      <c r="N52" s="57" t="n">
        <v>306.36</v>
      </c>
      <c r="O52" s="57" t="n">
        <v>300.16</v>
      </c>
      <c r="P52" s="57" t="n">
        <v>0</v>
      </c>
      <c r="Q52" s="57" t="n">
        <v>552.26</v>
      </c>
      <c r="R52" s="57" t="n">
        <v>227.27</v>
      </c>
      <c r="S52" s="57" t="n">
        <v>280</v>
      </c>
      <c r="T52" s="57" t="n">
        <v>203.75</v>
      </c>
      <c r="U52" s="57" t="n">
        <v>261.86</v>
      </c>
      <c r="V52" s="57" t="n">
        <v>242.88</v>
      </c>
      <c r="W52" s="57" t="n">
        <v>280</v>
      </c>
      <c r="X52" s="57" t="n">
        <v>4692.6</v>
      </c>
      <c r="Y52" s="58" t="n">
        <f aca="false">IFERROR(IF(V52=0,"",(W52-V52)/ABS(V52)),"")</f>
        <v>0.152832674571805</v>
      </c>
      <c r="Z52" s="59" t="n">
        <f aca="false">IFERROR(X52/$X$7,"")</f>
        <v>0.000617425382390627</v>
      </c>
    </row>
    <row r="53" customFormat="false" ht="15" hidden="false" customHeight="false" outlineLevel="1" collapsed="false">
      <c r="B53" s="56" t="s">
        <v>1103</v>
      </c>
      <c r="C53" s="57" t="n">
        <v>0</v>
      </c>
      <c r="D53" s="57" t="n">
        <v>0</v>
      </c>
      <c r="E53" s="57" t="n">
        <v>0</v>
      </c>
      <c r="F53" s="57" t="n">
        <v>0</v>
      </c>
      <c r="G53" s="57" t="n">
        <v>0</v>
      </c>
      <c r="H53" s="57" t="n">
        <v>0</v>
      </c>
      <c r="I53" s="57" t="n">
        <v>0</v>
      </c>
      <c r="J53" s="57" t="n">
        <v>30</v>
      </c>
      <c r="K53" s="57" t="n">
        <v>1000</v>
      </c>
      <c r="L53" s="57" t="n">
        <v>0</v>
      </c>
      <c r="M53" s="57" t="n">
        <v>0</v>
      </c>
      <c r="N53" s="57" t="n">
        <v>0</v>
      </c>
      <c r="O53" s="57" t="n">
        <v>0</v>
      </c>
      <c r="P53" s="57" t="n">
        <v>0</v>
      </c>
      <c r="Q53" s="57" t="n">
        <v>0</v>
      </c>
      <c r="R53" s="57" t="n">
        <v>250</v>
      </c>
      <c r="S53" s="57" t="n">
        <v>0</v>
      </c>
      <c r="T53" s="57" t="n">
        <v>905</v>
      </c>
      <c r="U53" s="57" t="n">
        <v>28.5</v>
      </c>
      <c r="V53" s="57" t="n">
        <v>1905</v>
      </c>
      <c r="W53" s="57" t="n">
        <v>0</v>
      </c>
      <c r="X53" s="57" t="n">
        <v>4118.5</v>
      </c>
      <c r="Y53" s="58" t="n">
        <f aca="false">IFERROR(IF(V53=0,"",(W53-V53)/ABS(V53)),"")</f>
        <v>-1</v>
      </c>
      <c r="Z53" s="59" t="n">
        <f aca="false">IFERROR(X53/$X$7,"")</f>
        <v>0.000541888598511656</v>
      </c>
    </row>
    <row r="54" customFormat="false" ht="15" hidden="false" customHeight="false" outlineLevel="1" collapsed="false">
      <c r="B54" s="56" t="s">
        <v>1104</v>
      </c>
      <c r="C54" s="57" t="n">
        <v>0</v>
      </c>
      <c r="D54" s="57" t="n">
        <v>0</v>
      </c>
      <c r="E54" s="57" t="n">
        <v>0</v>
      </c>
      <c r="F54" s="57" t="n">
        <v>0</v>
      </c>
      <c r="G54" s="57" t="n">
        <v>0</v>
      </c>
      <c r="H54" s="57" t="n">
        <v>86</v>
      </c>
      <c r="I54" s="57" t="n">
        <v>305</v>
      </c>
      <c r="J54" s="57" t="n">
        <v>914</v>
      </c>
      <c r="K54" s="57" t="n">
        <v>50</v>
      </c>
      <c r="L54" s="57" t="n">
        <v>728</v>
      </c>
      <c r="M54" s="57" t="n">
        <v>750</v>
      </c>
      <c r="N54" s="57" t="n">
        <v>302</v>
      </c>
      <c r="O54" s="57" t="n">
        <v>0</v>
      </c>
      <c r="P54" s="57" t="n">
        <v>0</v>
      </c>
      <c r="Q54" s="57" t="n">
        <v>122</v>
      </c>
      <c r="R54" s="57" t="n">
        <v>225</v>
      </c>
      <c r="S54" s="57" t="n">
        <v>150</v>
      </c>
      <c r="T54" s="57" t="n">
        <v>140</v>
      </c>
      <c r="U54" s="57" t="n">
        <v>150</v>
      </c>
      <c r="V54" s="57" t="n">
        <v>155</v>
      </c>
      <c r="W54" s="57" t="n">
        <v>0</v>
      </c>
      <c r="X54" s="57" t="n">
        <v>4077</v>
      </c>
      <c r="Y54" s="58" t="n">
        <f aca="false">IFERROR(IF(V54=0,"",(W54-V54)/ABS(V54)),"")</f>
        <v>-1</v>
      </c>
      <c r="Z54" s="59" t="n">
        <f aca="false">IFERROR(X54/$X$7,"")</f>
        <v>0.000536428266633974</v>
      </c>
    </row>
    <row r="55" customFormat="false" ht="15" hidden="false" customHeight="false" outlineLevel="1" collapsed="false">
      <c r="B55" s="56" t="s">
        <v>1105</v>
      </c>
      <c r="C55" s="57" t="n">
        <v>0</v>
      </c>
      <c r="D55" s="57" t="n">
        <v>0</v>
      </c>
      <c r="E55" s="57" t="n">
        <v>0</v>
      </c>
      <c r="F55" s="57" t="n">
        <v>124.84</v>
      </c>
      <c r="G55" s="57" t="n">
        <v>0</v>
      </c>
      <c r="H55" s="57" t="n">
        <v>109.53</v>
      </c>
      <c r="I55" s="57" t="n">
        <v>290.1</v>
      </c>
      <c r="J55" s="57" t="n">
        <v>111.8</v>
      </c>
      <c r="K55" s="57" t="n">
        <v>110.19</v>
      </c>
      <c r="L55" s="57" t="n">
        <v>113</v>
      </c>
      <c r="M55" s="57" t="n">
        <v>112.52</v>
      </c>
      <c r="N55" s="57" t="n">
        <v>256.3</v>
      </c>
      <c r="O55" s="57" t="n">
        <v>299.36</v>
      </c>
      <c r="P55" s="57" t="n">
        <v>0</v>
      </c>
      <c r="Q55" s="57" t="n">
        <v>790.16</v>
      </c>
      <c r="R55" s="57" t="n">
        <v>88</v>
      </c>
      <c r="S55" s="57" t="n">
        <v>130</v>
      </c>
      <c r="T55" s="57" t="n">
        <v>163.62</v>
      </c>
      <c r="U55" s="57" t="n">
        <v>151.96</v>
      </c>
      <c r="V55" s="57" t="n">
        <v>116.38</v>
      </c>
      <c r="W55" s="57" t="n">
        <v>450</v>
      </c>
      <c r="X55" s="57" t="n">
        <v>3417.76</v>
      </c>
      <c r="Y55" s="58" t="n">
        <f aca="false">IFERROR(IF(V55=0,"",(W55-V55)/ABS(V55)),"")</f>
        <v>2.8666437532222</v>
      </c>
      <c r="Z55" s="59" t="n">
        <f aca="false">IFERROR(X55/$X$7,"")</f>
        <v>0.000449689250078717</v>
      </c>
    </row>
    <row r="56" customFormat="false" ht="15" hidden="false" customHeight="false" outlineLevel="1" collapsed="false">
      <c r="B56" s="56" t="s">
        <v>1106</v>
      </c>
      <c r="C56" s="57" t="n">
        <v>0</v>
      </c>
      <c r="D56" s="57" t="n">
        <v>0</v>
      </c>
      <c r="E56" s="57" t="n">
        <v>0</v>
      </c>
      <c r="F56" s="57" t="n">
        <v>0</v>
      </c>
      <c r="G56" s="57" t="n">
        <v>0</v>
      </c>
      <c r="H56" s="57" t="n">
        <v>0</v>
      </c>
      <c r="I56" s="57" t="n">
        <v>263.22</v>
      </c>
      <c r="J56" s="57" t="n">
        <v>243.22</v>
      </c>
      <c r="K56" s="57" t="n">
        <v>240.64</v>
      </c>
      <c r="L56" s="57" t="n">
        <v>252.72</v>
      </c>
      <c r="M56" s="57" t="n">
        <v>240</v>
      </c>
      <c r="N56" s="57" t="n">
        <v>256.67</v>
      </c>
      <c r="O56" s="57" t="n">
        <v>240.01</v>
      </c>
      <c r="P56" s="57" t="n">
        <v>246.87</v>
      </c>
      <c r="Q56" s="57" t="n">
        <v>120</v>
      </c>
      <c r="R56" s="57" t="n">
        <v>130</v>
      </c>
      <c r="S56" s="57" t="n">
        <v>130</v>
      </c>
      <c r="T56" s="57" t="n">
        <v>126.97</v>
      </c>
      <c r="U56" s="57" t="n">
        <v>130</v>
      </c>
      <c r="V56" s="57" t="n">
        <v>130</v>
      </c>
      <c r="W56" s="57" t="n">
        <v>130</v>
      </c>
      <c r="X56" s="57" t="n">
        <v>2880.32</v>
      </c>
      <c r="Y56" s="58" t="n">
        <f aca="false">IFERROR(IF(V56=0,"",(W56-V56)/ABS(V56)),"")</f>
        <v>0</v>
      </c>
      <c r="Z56" s="59" t="n">
        <f aca="false">IFERROR(X56/$X$7,"")</f>
        <v>0.000378975978648802</v>
      </c>
    </row>
    <row r="57" customFormat="false" ht="15" hidden="false" customHeight="false" outlineLevel="1" collapsed="false">
      <c r="B57" s="56" t="s">
        <v>1107</v>
      </c>
      <c r="C57" s="57" t="n">
        <v>0</v>
      </c>
      <c r="D57" s="57" t="n">
        <v>0</v>
      </c>
      <c r="E57" s="57" t="n">
        <v>0</v>
      </c>
      <c r="F57" s="57" t="n">
        <v>0</v>
      </c>
      <c r="G57" s="57" t="n">
        <v>0</v>
      </c>
      <c r="H57" s="57" t="n">
        <v>0</v>
      </c>
      <c r="I57" s="57" t="n">
        <v>786.86</v>
      </c>
      <c r="J57" s="57" t="n">
        <v>38.99</v>
      </c>
      <c r="K57" s="57" t="n">
        <v>369.17</v>
      </c>
      <c r="L57" s="57" t="n">
        <v>0</v>
      </c>
      <c r="M57" s="57" t="n">
        <v>578.78</v>
      </c>
      <c r="N57" s="57" t="n">
        <v>389.92</v>
      </c>
      <c r="O57" s="57" t="n">
        <v>0</v>
      </c>
      <c r="P57" s="57" t="n">
        <v>0</v>
      </c>
      <c r="Q57" s="57" t="n">
        <v>0</v>
      </c>
      <c r="R57" s="57" t="n">
        <v>295.9</v>
      </c>
      <c r="S57" s="57" t="n">
        <v>0</v>
      </c>
      <c r="T57" s="57" t="n">
        <v>0</v>
      </c>
      <c r="U57" s="57" t="n">
        <v>0</v>
      </c>
      <c r="V57" s="57" t="n">
        <v>243.88</v>
      </c>
      <c r="W57" s="57" t="n">
        <v>0</v>
      </c>
      <c r="X57" s="57" t="n">
        <v>2703.5</v>
      </c>
      <c r="Y57" s="58" t="n">
        <f aca="false">IFERROR(IF(V57=0,"",(W57-V57)/ABS(V57)),"")</f>
        <v>-1</v>
      </c>
      <c r="Z57" s="59" t="n">
        <f aca="false">IFERROR(X57/$X$7,"")</f>
        <v>0.000355711017622013</v>
      </c>
    </row>
    <row r="58" customFormat="false" ht="15" hidden="false" customHeight="false" outlineLevel="1" collapsed="false">
      <c r="B58" s="56" t="s">
        <v>1108</v>
      </c>
      <c r="C58" s="57" t="n">
        <v>0</v>
      </c>
      <c r="D58" s="57" t="n">
        <v>0</v>
      </c>
      <c r="E58" s="57" t="n">
        <v>0</v>
      </c>
      <c r="F58" s="57" t="n">
        <v>0</v>
      </c>
      <c r="G58" s="57" t="n">
        <v>70.61</v>
      </c>
      <c r="H58" s="57" t="n">
        <v>132.6</v>
      </c>
      <c r="I58" s="57" t="n">
        <v>130.94</v>
      </c>
      <c r="J58" s="57" t="n">
        <v>163.13</v>
      </c>
      <c r="K58" s="57" t="n">
        <v>94.06</v>
      </c>
      <c r="L58" s="57" t="n">
        <v>242.3</v>
      </c>
      <c r="M58" s="57" t="n">
        <v>128.9</v>
      </c>
      <c r="N58" s="57" t="n">
        <v>147.58</v>
      </c>
      <c r="O58" s="57" t="n">
        <v>270.07</v>
      </c>
      <c r="P58" s="57" t="n">
        <v>51.52</v>
      </c>
      <c r="Q58" s="57" t="n">
        <v>793.24</v>
      </c>
      <c r="R58" s="57" t="n">
        <v>9.38</v>
      </c>
      <c r="S58" s="57" t="n">
        <v>8</v>
      </c>
      <c r="T58" s="57" t="n">
        <v>25</v>
      </c>
      <c r="U58" s="57" t="n">
        <v>0</v>
      </c>
      <c r="V58" s="57" t="n">
        <v>202</v>
      </c>
      <c r="W58" s="57" t="n">
        <v>0</v>
      </c>
      <c r="X58" s="57" t="n">
        <v>2469.33</v>
      </c>
      <c r="Y58" s="58" t="n">
        <f aca="false">IFERROR(IF(V58=0,"",(W58-V58)/ABS(V58)),"")</f>
        <v>-1</v>
      </c>
      <c r="Z58" s="59" t="n">
        <f aca="false">IFERROR(X58/$X$7,"")</f>
        <v>0.000324900272663054</v>
      </c>
    </row>
    <row r="59" customFormat="false" ht="15" hidden="false" customHeight="false" outlineLevel="1" collapsed="false">
      <c r="B59" s="56" t="s">
        <v>1109</v>
      </c>
      <c r="C59" s="57" t="n">
        <v>0</v>
      </c>
      <c r="D59" s="57" t="n">
        <v>0</v>
      </c>
      <c r="E59" s="57" t="n">
        <v>0</v>
      </c>
      <c r="F59" s="57" t="n">
        <v>0</v>
      </c>
      <c r="G59" s="57" t="n">
        <v>0</v>
      </c>
      <c r="H59" s="57" t="n">
        <v>0</v>
      </c>
      <c r="I59" s="57" t="n">
        <v>0</v>
      </c>
      <c r="J59" s="57" t="n">
        <v>0</v>
      </c>
      <c r="K59" s="57" t="n">
        <v>675.95</v>
      </c>
      <c r="L59" s="57" t="n">
        <v>675.95</v>
      </c>
      <c r="M59" s="57" t="n">
        <v>0</v>
      </c>
      <c r="N59" s="57" t="n">
        <v>0</v>
      </c>
      <c r="O59" s="57" t="n">
        <v>0</v>
      </c>
      <c r="P59" s="57" t="n">
        <v>900</v>
      </c>
      <c r="Q59" s="57" t="n">
        <v>0</v>
      </c>
      <c r="R59" s="57" t="n">
        <v>0</v>
      </c>
      <c r="S59" s="57" t="n">
        <v>0</v>
      </c>
      <c r="T59" s="57" t="n">
        <v>0</v>
      </c>
      <c r="U59" s="57" t="n">
        <v>0</v>
      </c>
      <c r="V59" s="57" t="n">
        <v>0</v>
      </c>
      <c r="W59" s="57" t="n">
        <v>0</v>
      </c>
      <c r="X59" s="57" t="n">
        <v>2251.9</v>
      </c>
      <c r="Y59" s="58" t="str">
        <f aca="false">IFERROR(IF(V59=0,"",(W59-V59)/ABS(V59)),"")</f>
        <v/>
      </c>
      <c r="Z59" s="59" t="n">
        <f aca="false">IFERROR(X59/$X$7,"")</f>
        <v>0.000296292080851863</v>
      </c>
    </row>
    <row r="60" customFormat="false" ht="15" hidden="false" customHeight="false" outlineLevel="1" collapsed="false">
      <c r="B60" s="56" t="s">
        <v>1110</v>
      </c>
      <c r="C60" s="57" t="n">
        <v>0</v>
      </c>
      <c r="D60" s="57" t="n">
        <v>0</v>
      </c>
      <c r="E60" s="57" t="n">
        <v>0</v>
      </c>
      <c r="F60" s="57" t="n">
        <v>0</v>
      </c>
      <c r="G60" s="57" t="n">
        <v>0</v>
      </c>
      <c r="H60" s="57" t="n">
        <v>520</v>
      </c>
      <c r="I60" s="57" t="n">
        <v>630</v>
      </c>
      <c r="J60" s="57" t="n">
        <v>520</v>
      </c>
      <c r="K60" s="57" t="n">
        <v>0</v>
      </c>
      <c r="L60" s="57" t="n">
        <v>0</v>
      </c>
      <c r="M60" s="57" t="n">
        <v>0</v>
      </c>
      <c r="N60" s="57" t="n">
        <v>60</v>
      </c>
      <c r="O60" s="57" t="n">
        <v>100</v>
      </c>
      <c r="P60" s="57" t="n">
        <v>0</v>
      </c>
      <c r="Q60" s="57" t="n">
        <v>120</v>
      </c>
      <c r="R60" s="57" t="n">
        <v>90</v>
      </c>
      <c r="S60" s="57" t="n">
        <v>0</v>
      </c>
      <c r="T60" s="57" t="n">
        <v>90</v>
      </c>
      <c r="U60" s="57" t="n">
        <v>0</v>
      </c>
      <c r="V60" s="57" t="n">
        <v>90</v>
      </c>
      <c r="W60" s="57" t="n">
        <v>0</v>
      </c>
      <c r="X60" s="57" t="n">
        <v>2220</v>
      </c>
      <c r="Y60" s="58" t="n">
        <f aca="false">IFERROR(IF(V60=0,"",(W60-V60)/ABS(V60)),"")</f>
        <v>-1</v>
      </c>
      <c r="Z60" s="59" t="n">
        <f aca="false">IFERROR(X60/$X$7,"")</f>
        <v>0.000292094861890464</v>
      </c>
    </row>
    <row r="61" customFormat="false" ht="15" hidden="false" customHeight="false" outlineLevel="1" collapsed="false">
      <c r="B61" s="56" t="s">
        <v>1111</v>
      </c>
      <c r="C61" s="57" t="n">
        <v>0</v>
      </c>
      <c r="D61" s="57" t="n">
        <v>0</v>
      </c>
      <c r="E61" s="57" t="n">
        <v>0</v>
      </c>
      <c r="F61" s="57" t="n">
        <v>0</v>
      </c>
      <c r="G61" s="57" t="n">
        <v>0</v>
      </c>
      <c r="H61" s="57" t="n">
        <v>0</v>
      </c>
      <c r="I61" s="57" t="n">
        <v>0</v>
      </c>
      <c r="J61" s="57" t="n">
        <v>0</v>
      </c>
      <c r="K61" s="57" t="n">
        <v>0</v>
      </c>
      <c r="L61" s="57" t="n">
        <v>500</v>
      </c>
      <c r="M61" s="57" t="n">
        <v>0</v>
      </c>
      <c r="N61" s="57" t="n">
        <v>0</v>
      </c>
      <c r="O61" s="57" t="n">
        <v>0</v>
      </c>
      <c r="P61" s="57" t="n">
        <v>0</v>
      </c>
      <c r="Q61" s="57" t="n">
        <v>683.9</v>
      </c>
      <c r="R61" s="57" t="n">
        <v>882.21</v>
      </c>
      <c r="S61" s="57" t="n">
        <v>0</v>
      </c>
      <c r="T61" s="57" t="n">
        <v>0</v>
      </c>
      <c r="U61" s="57" t="n">
        <v>0</v>
      </c>
      <c r="V61" s="57" t="n">
        <v>0</v>
      </c>
      <c r="W61" s="57" t="n">
        <v>0</v>
      </c>
      <c r="X61" s="57" t="n">
        <v>2066.11</v>
      </c>
      <c r="Y61" s="58" t="str">
        <f aca="false">IFERROR(IF(V61=0,"",(W61-V61)/ABS(V61)),"")</f>
        <v/>
      </c>
      <c r="Z61" s="59" t="n">
        <f aca="false">IFERROR(X61/$X$7,"")</f>
        <v>0.000271846898693922</v>
      </c>
    </row>
    <row r="62" customFormat="false" ht="15" hidden="false" customHeight="false" outlineLevel="1" collapsed="false">
      <c r="B62" s="56" t="s">
        <v>1112</v>
      </c>
      <c r="C62" s="57" t="n">
        <v>0</v>
      </c>
      <c r="D62" s="57" t="n">
        <v>0</v>
      </c>
      <c r="E62" s="57" t="n">
        <v>0</v>
      </c>
      <c r="F62" s="57" t="n">
        <v>383</v>
      </c>
      <c r="G62" s="57" t="n">
        <v>316.58</v>
      </c>
      <c r="H62" s="57" t="n">
        <v>250</v>
      </c>
      <c r="I62" s="57" t="n">
        <v>48.93</v>
      </c>
      <c r="J62" s="57" t="n">
        <v>130.86</v>
      </c>
      <c r="K62" s="57" t="n">
        <v>318.21</v>
      </c>
      <c r="L62" s="57" t="n">
        <v>30</v>
      </c>
      <c r="M62" s="57" t="n">
        <v>0</v>
      </c>
      <c r="N62" s="57" t="n">
        <v>118.25</v>
      </c>
      <c r="O62" s="57" t="n">
        <v>0</v>
      </c>
      <c r="P62" s="57" t="n">
        <v>175.59</v>
      </c>
      <c r="Q62" s="57" t="n">
        <v>0</v>
      </c>
      <c r="R62" s="57" t="n">
        <v>0</v>
      </c>
      <c r="S62" s="57" t="n">
        <v>0</v>
      </c>
      <c r="T62" s="57" t="n">
        <v>0</v>
      </c>
      <c r="U62" s="57" t="n">
        <v>168.44</v>
      </c>
      <c r="V62" s="57" t="n">
        <v>0</v>
      </c>
      <c r="W62" s="57" t="n">
        <v>0</v>
      </c>
      <c r="X62" s="57" t="n">
        <v>1939.86</v>
      </c>
      <c r="Y62" s="58" t="str">
        <f aca="false">IFERROR(IF(V62=0,"",(W62-V62)/ABS(V62)),"")</f>
        <v/>
      </c>
      <c r="Z62" s="59" t="n">
        <f aca="false">IFERROR(X62/$X$7,"")</f>
        <v>0.000255235648102178</v>
      </c>
    </row>
    <row r="63" customFormat="false" ht="15" hidden="false" customHeight="false" outlineLevel="1" collapsed="false">
      <c r="B63" s="56" t="s">
        <v>1113</v>
      </c>
      <c r="C63" s="57" t="n">
        <v>0</v>
      </c>
      <c r="D63" s="57" t="n">
        <v>0</v>
      </c>
      <c r="E63" s="57" t="n">
        <v>0</v>
      </c>
      <c r="F63" s="57" t="n">
        <v>0</v>
      </c>
      <c r="G63" s="57" t="n">
        <v>1131.91</v>
      </c>
      <c r="H63" s="57" t="n">
        <v>0</v>
      </c>
      <c r="I63" s="57" t="n">
        <v>0</v>
      </c>
      <c r="J63" s="57" t="n">
        <v>0</v>
      </c>
      <c r="K63" s="57" t="n">
        <v>658.07</v>
      </c>
      <c r="L63" s="57" t="n">
        <v>0</v>
      </c>
      <c r="M63" s="57" t="n">
        <v>0</v>
      </c>
      <c r="N63" s="57" t="n">
        <v>0</v>
      </c>
      <c r="O63" s="57" t="n">
        <v>0</v>
      </c>
      <c r="P63" s="57" t="n">
        <v>0</v>
      </c>
      <c r="Q63" s="57" t="n">
        <v>0</v>
      </c>
      <c r="R63" s="57" t="n">
        <v>0</v>
      </c>
      <c r="S63" s="57" t="n">
        <v>0</v>
      </c>
      <c r="T63" s="57" t="n">
        <v>0</v>
      </c>
      <c r="U63" s="57" t="n">
        <v>0</v>
      </c>
      <c r="V63" s="57" t="n">
        <v>0</v>
      </c>
      <c r="W63" s="57" t="n">
        <v>0</v>
      </c>
      <c r="X63" s="57" t="n">
        <v>1789.98</v>
      </c>
      <c r="Y63" s="58" t="str">
        <f aca="false">IFERROR(IF(V63=0,"",(W63-V63)/ABS(V63)),"")</f>
        <v/>
      </c>
      <c r="Z63" s="59" t="n">
        <f aca="false">IFERROR(X63/$X$7,"")</f>
        <v>0.000235515297696708</v>
      </c>
    </row>
    <row r="64" customFormat="false" ht="15" hidden="false" customHeight="false" outlineLevel="1" collapsed="false">
      <c r="B64" s="56" t="s">
        <v>1114</v>
      </c>
      <c r="C64" s="57" t="n">
        <v>0</v>
      </c>
      <c r="D64" s="57" t="n">
        <v>0</v>
      </c>
      <c r="E64" s="57" t="n">
        <v>0</v>
      </c>
      <c r="F64" s="57" t="n">
        <v>0</v>
      </c>
      <c r="G64" s="57" t="n">
        <v>0</v>
      </c>
      <c r="H64" s="57" t="n">
        <v>0</v>
      </c>
      <c r="I64" s="57" t="n">
        <v>0</v>
      </c>
      <c r="J64" s="57" t="n">
        <v>0</v>
      </c>
      <c r="K64" s="57" t="n">
        <v>800</v>
      </c>
      <c r="L64" s="57" t="n">
        <v>0</v>
      </c>
      <c r="M64" s="57" t="n">
        <v>0</v>
      </c>
      <c r="N64" s="57" t="n">
        <v>0</v>
      </c>
      <c r="O64" s="57" t="n">
        <v>0</v>
      </c>
      <c r="P64" s="57" t="n">
        <v>0</v>
      </c>
      <c r="Q64" s="57" t="n">
        <v>0</v>
      </c>
      <c r="R64" s="57" t="n">
        <v>0</v>
      </c>
      <c r="S64" s="57" t="n">
        <v>0</v>
      </c>
      <c r="T64" s="57" t="n">
        <v>0</v>
      </c>
      <c r="U64" s="57" t="n">
        <v>0</v>
      </c>
      <c r="V64" s="57" t="n">
        <v>495</v>
      </c>
      <c r="W64" s="57" t="n">
        <v>0</v>
      </c>
      <c r="X64" s="57" t="n">
        <v>1295</v>
      </c>
      <c r="Y64" s="58" t="n">
        <f aca="false">IFERROR(IF(V64=0,"",(W64-V64)/ABS(V64)),"")</f>
        <v>-1</v>
      </c>
      <c r="Z64" s="59" t="n">
        <f aca="false">IFERROR(X64/$X$7,"")</f>
        <v>0.000170388669436104</v>
      </c>
    </row>
    <row r="65" customFormat="false" ht="15" hidden="false" customHeight="false" outlineLevel="1" collapsed="false">
      <c r="B65" s="56" t="s">
        <v>1115</v>
      </c>
      <c r="C65" s="57" t="n">
        <v>0</v>
      </c>
      <c r="D65" s="57" t="n">
        <v>0</v>
      </c>
      <c r="E65" s="57" t="n">
        <v>0</v>
      </c>
      <c r="F65" s="57" t="n">
        <v>0</v>
      </c>
      <c r="G65" s="57" t="n">
        <v>0</v>
      </c>
      <c r="H65" s="57" t="n">
        <v>0</v>
      </c>
      <c r="I65" s="57" t="n">
        <v>0</v>
      </c>
      <c r="J65" s="57" t="n">
        <v>0</v>
      </c>
      <c r="K65" s="57" t="n">
        <v>0</v>
      </c>
      <c r="L65" s="57" t="n">
        <v>157.75</v>
      </c>
      <c r="M65" s="57" t="n">
        <v>468.09</v>
      </c>
      <c r="N65" s="57" t="n">
        <v>42.94</v>
      </c>
      <c r="O65" s="57" t="n">
        <v>192.71</v>
      </c>
      <c r="P65" s="57" t="n">
        <v>92.03</v>
      </c>
      <c r="Q65" s="57" t="n">
        <v>0</v>
      </c>
      <c r="R65" s="57" t="n">
        <v>243</v>
      </c>
      <c r="S65" s="57" t="n">
        <v>0</v>
      </c>
      <c r="T65" s="57" t="n">
        <v>28</v>
      </c>
      <c r="U65" s="57" t="n">
        <v>13.74</v>
      </c>
      <c r="V65" s="57" t="n">
        <v>0</v>
      </c>
      <c r="W65" s="57" t="n">
        <v>0</v>
      </c>
      <c r="X65" s="57" t="n">
        <v>1238.26</v>
      </c>
      <c r="Y65" s="58" t="str">
        <f aca="false">IFERROR(IF(V65=0,"",(W65-V65)/ABS(V65)),"")</f>
        <v/>
      </c>
      <c r="Z65" s="59" t="n">
        <f aca="false">IFERROR(X65/$X$7,"")</f>
        <v>0.000162923145803823</v>
      </c>
    </row>
    <row r="66" customFormat="false" ht="15" hidden="false" customHeight="false" outlineLevel="1" collapsed="false">
      <c r="B66" s="56" t="s">
        <v>1116</v>
      </c>
      <c r="C66" s="57" t="n">
        <v>0</v>
      </c>
      <c r="D66" s="57" t="n">
        <v>0</v>
      </c>
      <c r="E66" s="57" t="n">
        <v>0</v>
      </c>
      <c r="F66" s="57" t="n">
        <v>0</v>
      </c>
      <c r="G66" s="57" t="n">
        <v>0</v>
      </c>
      <c r="H66" s="57" t="n">
        <v>50</v>
      </c>
      <c r="I66" s="57" t="n">
        <v>150</v>
      </c>
      <c r="J66" s="57" t="n">
        <v>70</v>
      </c>
      <c r="K66" s="57" t="n">
        <v>0</v>
      </c>
      <c r="L66" s="57" t="n">
        <v>0</v>
      </c>
      <c r="M66" s="57" t="n">
        <v>0</v>
      </c>
      <c r="N66" s="57" t="n">
        <v>0</v>
      </c>
      <c r="O66" s="57" t="n">
        <v>0</v>
      </c>
      <c r="P66" s="57" t="n">
        <v>0</v>
      </c>
      <c r="Q66" s="57" t="n">
        <v>0</v>
      </c>
      <c r="R66" s="57" t="n">
        <v>0</v>
      </c>
      <c r="S66" s="57" t="n">
        <v>0</v>
      </c>
      <c r="T66" s="57" t="n">
        <v>0</v>
      </c>
      <c r="U66" s="57" t="n">
        <v>0</v>
      </c>
      <c r="V66" s="57" t="n">
        <v>0</v>
      </c>
      <c r="W66" s="57" t="n">
        <v>0</v>
      </c>
      <c r="X66" s="57" t="n">
        <v>270</v>
      </c>
      <c r="Y66" s="58" t="str">
        <f aca="false">IFERROR(IF(V66=0,"",(W66-V66)/ABS(V66)),"")</f>
        <v/>
      </c>
      <c r="Z66" s="59" t="n">
        <f aca="false">IFERROR(X66/$X$7,"")</f>
        <v>3.55250507704618E-005</v>
      </c>
    </row>
    <row r="67" customFormat="false" ht="15" hidden="false" customHeight="false" outlineLevel="1" collapsed="false">
      <c r="B67" s="56" t="s">
        <v>1117</v>
      </c>
      <c r="C67" s="57" t="n">
        <v>0</v>
      </c>
      <c r="D67" s="57" t="n">
        <v>0</v>
      </c>
      <c r="E67" s="57" t="n">
        <v>0</v>
      </c>
      <c r="F67" s="57" t="n">
        <v>0</v>
      </c>
      <c r="G67" s="57" t="n">
        <v>0</v>
      </c>
      <c r="H67" s="57" t="n">
        <v>0</v>
      </c>
      <c r="I67" s="57" t="n">
        <v>0</v>
      </c>
      <c r="J67" s="57" t="n">
        <v>0</v>
      </c>
      <c r="K67" s="57" t="n">
        <v>0</v>
      </c>
      <c r="L67" s="57" t="n">
        <v>0</v>
      </c>
      <c r="M67" s="57" t="n">
        <v>50.21</v>
      </c>
      <c r="N67" s="57" t="n">
        <v>0</v>
      </c>
      <c r="O67" s="57" t="n">
        <v>0</v>
      </c>
      <c r="P67" s="57" t="n">
        <v>0</v>
      </c>
      <c r="Q67" s="57" t="n">
        <v>0</v>
      </c>
      <c r="R67" s="57" t="n">
        <v>0</v>
      </c>
      <c r="S67" s="57" t="n">
        <v>0</v>
      </c>
      <c r="T67" s="57" t="n">
        <v>0</v>
      </c>
      <c r="U67" s="57" t="n">
        <v>0</v>
      </c>
      <c r="V67" s="57" t="n">
        <v>0</v>
      </c>
      <c r="W67" s="57" t="n">
        <v>0</v>
      </c>
      <c r="X67" s="57" t="n">
        <v>50.21</v>
      </c>
      <c r="Y67" s="58" t="str">
        <f aca="false">IFERROR(IF(V67=0,"",(W67-V67)/ABS(V67)),"")</f>
        <v/>
      </c>
      <c r="Z67" s="59" t="n">
        <f aca="false">IFERROR(X67/$X$7,"")</f>
        <v>6.60634370068478E-006</v>
      </c>
    </row>
    <row r="68" customFormat="false" ht="15" hidden="false" customHeight="false" outlineLevel="0" collapsed="false">
      <c r="B68" s="60" t="s">
        <v>1118</v>
      </c>
      <c r="C68" s="61" t="n">
        <v>3885</v>
      </c>
      <c r="D68" s="61" t="n">
        <v>0</v>
      </c>
      <c r="E68" s="61" t="n">
        <v>0</v>
      </c>
      <c r="F68" s="61" t="n">
        <v>10493.86</v>
      </c>
      <c r="G68" s="61" t="n">
        <v>62756.99</v>
      </c>
      <c r="H68" s="61" t="n">
        <v>60721.5</v>
      </c>
      <c r="I68" s="61" t="n">
        <v>78581.94</v>
      </c>
      <c r="J68" s="61" t="n">
        <v>78299.17</v>
      </c>
      <c r="K68" s="61" t="n">
        <v>81427.95</v>
      </c>
      <c r="L68" s="61" t="n">
        <v>94630.38</v>
      </c>
      <c r="M68" s="61" t="n">
        <v>83390.93</v>
      </c>
      <c r="N68" s="61" t="n">
        <v>79459.32</v>
      </c>
      <c r="O68" s="61" t="n">
        <v>88076.27</v>
      </c>
      <c r="P68" s="61" t="n">
        <v>33610.02</v>
      </c>
      <c r="Q68" s="61" t="n">
        <v>48724.8</v>
      </c>
      <c r="R68" s="61" t="n">
        <v>50843.4</v>
      </c>
      <c r="S68" s="61" t="n">
        <v>48447.82</v>
      </c>
      <c r="T68" s="61" t="n">
        <v>51239.05</v>
      </c>
      <c r="U68" s="61" t="n">
        <v>47050.42</v>
      </c>
      <c r="V68" s="61" t="n">
        <v>57635.35</v>
      </c>
      <c r="W68" s="61" t="n">
        <v>39215.22</v>
      </c>
      <c r="X68" s="61" t="n">
        <v>1098489.39</v>
      </c>
      <c r="Y68" s="58" t="n">
        <f aca="false">IFERROR(IF(V68=0,"",(W68-V68)/ABS(V68)),"")</f>
        <v>-0.319597781569818</v>
      </c>
      <c r="Z68" s="59" t="n">
        <f aca="false">IFERROR(X68/$X$7,"")</f>
        <v>0.144532930928014</v>
      </c>
    </row>
    <row r="69" customFormat="false" ht="15" hidden="false" customHeight="false" outlineLevel="0" collapsed="false">
      <c r="B69" s="62" t="s">
        <v>1119</v>
      </c>
      <c r="C69" s="63" t="n">
        <v>-3885</v>
      </c>
      <c r="D69" s="63" t="n">
        <v>0</v>
      </c>
      <c r="E69" s="63" t="n">
        <v>-5300</v>
      </c>
      <c r="F69" s="63" t="n">
        <v>-78485.76</v>
      </c>
      <c r="G69" s="63" t="n">
        <v>-98508.05</v>
      </c>
      <c r="H69" s="63" t="n">
        <v>-51061</v>
      </c>
      <c r="I69" s="63" t="n">
        <v>-104692.51</v>
      </c>
      <c r="J69" s="63" t="n">
        <v>-9058.92</v>
      </c>
      <c r="K69" s="63" t="n">
        <v>-78359.66</v>
      </c>
      <c r="L69" s="63" t="n">
        <v>10562.49</v>
      </c>
      <c r="M69" s="63" t="n">
        <v>-39682.2</v>
      </c>
      <c r="N69" s="63" t="n">
        <v>-15211.39</v>
      </c>
      <c r="O69" s="63" t="n">
        <v>-95478.73</v>
      </c>
      <c r="P69" s="63" t="n">
        <v>28851.25</v>
      </c>
      <c r="Q69" s="63" t="n">
        <v>-14863.57</v>
      </c>
      <c r="R69" s="63" t="n">
        <v>-61373.79</v>
      </c>
      <c r="S69" s="63" t="n">
        <v>-28892.11</v>
      </c>
      <c r="T69" s="63" t="n">
        <v>-32590.68</v>
      </c>
      <c r="U69" s="63" t="n">
        <v>-7021.59</v>
      </c>
      <c r="V69" s="63" t="n">
        <v>9474.01</v>
      </c>
      <c r="W69" s="63" t="n">
        <v>73946.86</v>
      </c>
      <c r="X69" s="63" t="n">
        <v>-601630.35</v>
      </c>
      <c r="Y69" s="58" t="n">
        <f aca="false">IFERROR(IF(V69=0,"",(W69-V69)/ABS(V69)),"")</f>
        <v>6.80523347558215</v>
      </c>
      <c r="Z69" s="59" t="n">
        <f aca="false">IFERROR(X69/$X$7,"")</f>
        <v>-0.0791590693659286</v>
      </c>
    </row>
    <row r="71" customFormat="false" ht="15" hidden="false" customHeight="false" outlineLevel="0" collapsed="false">
      <c r="B71" s="54" t="s">
        <v>1120</v>
      </c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</row>
    <row r="72" customFormat="false" ht="15" hidden="false" customHeight="false" outlineLevel="1" collapsed="false">
      <c r="B72" s="56" t="s">
        <v>1121</v>
      </c>
      <c r="C72" s="57" t="n">
        <v>0</v>
      </c>
      <c r="D72" s="57" t="n">
        <v>0</v>
      </c>
      <c r="E72" s="57" t="n">
        <v>0</v>
      </c>
      <c r="F72" s="57" t="n">
        <v>0</v>
      </c>
      <c r="G72" s="57" t="n">
        <v>0</v>
      </c>
      <c r="H72" s="57" t="n">
        <v>0</v>
      </c>
      <c r="I72" s="57" t="n">
        <v>17635.02</v>
      </c>
      <c r="J72" s="57" t="n">
        <v>17660.87</v>
      </c>
      <c r="K72" s="57" t="n">
        <v>33097.78</v>
      </c>
      <c r="L72" s="57" t="n">
        <v>75426.78</v>
      </c>
      <c r="M72" s="57" t="n">
        <v>75486.78</v>
      </c>
      <c r="N72" s="57" t="n">
        <v>81252.11</v>
      </c>
      <c r="O72" s="57" t="n">
        <v>75426.78</v>
      </c>
      <c r="P72" s="57" t="n">
        <v>124823.38</v>
      </c>
      <c r="Q72" s="57" t="n">
        <v>95629.47</v>
      </c>
      <c r="R72" s="57" t="n">
        <v>83254.7</v>
      </c>
      <c r="S72" s="57" t="n">
        <v>83322.37</v>
      </c>
      <c r="T72" s="57" t="n">
        <v>83514.06</v>
      </c>
      <c r="U72" s="57" t="n">
        <v>103560.2</v>
      </c>
      <c r="V72" s="57" t="n">
        <v>103771.9</v>
      </c>
      <c r="W72" s="57" t="n">
        <v>103251.2</v>
      </c>
      <c r="X72" s="57" t="n">
        <v>1157113.4</v>
      </c>
      <c r="Y72" s="58" t="n">
        <f aca="false">IFERROR(IF(V72=0,"",(W72-V72)/ABS(V72)),"")</f>
        <v>-0.00501773601524109</v>
      </c>
      <c r="Z72" s="59" t="n">
        <f aca="false">IFERROR(X72/$X$7,"")</f>
        <v>0.152246341785858</v>
      </c>
    </row>
    <row r="73" customFormat="false" ht="15" hidden="false" customHeight="false" outlineLevel="1" collapsed="false">
      <c r="B73" s="56" t="s">
        <v>1122</v>
      </c>
      <c r="C73" s="57" t="n">
        <v>0</v>
      </c>
      <c r="D73" s="57" t="n">
        <v>0</v>
      </c>
      <c r="E73" s="57" t="n">
        <v>0</v>
      </c>
      <c r="F73" s="57" t="n">
        <v>0</v>
      </c>
      <c r="G73" s="57" t="n">
        <v>0</v>
      </c>
      <c r="H73" s="57" t="n">
        <v>0</v>
      </c>
      <c r="I73" s="57" t="n">
        <v>0</v>
      </c>
      <c r="J73" s="57" t="n">
        <v>0</v>
      </c>
      <c r="K73" s="57" t="n">
        <v>0</v>
      </c>
      <c r="L73" s="57" t="n">
        <v>6250</v>
      </c>
      <c r="M73" s="57" t="n">
        <v>7581</v>
      </c>
      <c r="N73" s="57" t="n">
        <v>8705</v>
      </c>
      <c r="O73" s="57" t="n">
        <v>7750</v>
      </c>
      <c r="P73" s="57" t="n">
        <v>7750</v>
      </c>
      <c r="Q73" s="57" t="n">
        <v>7750</v>
      </c>
      <c r="R73" s="57" t="n">
        <v>7750</v>
      </c>
      <c r="S73" s="57" t="n">
        <v>7750</v>
      </c>
      <c r="T73" s="57" t="n">
        <v>7750</v>
      </c>
      <c r="U73" s="57" t="n">
        <v>7750</v>
      </c>
      <c r="V73" s="57" t="n">
        <v>0</v>
      </c>
      <c r="W73" s="57" t="n">
        <v>0</v>
      </c>
      <c r="X73" s="57" t="n">
        <v>76786</v>
      </c>
      <c r="Y73" s="58" t="str">
        <f aca="false">IFERROR(IF(V73=0,"",(W73-V73)/ABS(V73)),"")</f>
        <v/>
      </c>
      <c r="Z73" s="59" t="n">
        <f aca="false">IFERROR(X73/$X$7,"")</f>
        <v>0.0101030612905951</v>
      </c>
    </row>
    <row r="74" customFormat="false" ht="15" hidden="false" customHeight="false" outlineLevel="1" collapsed="false">
      <c r="B74" s="56" t="s">
        <v>1123</v>
      </c>
      <c r="C74" s="57" t="n">
        <v>13783</v>
      </c>
      <c r="D74" s="57" t="n">
        <v>17592</v>
      </c>
      <c r="E74" s="57" t="n">
        <v>20252</v>
      </c>
      <c r="F74" s="57" t="n">
        <v>0</v>
      </c>
      <c r="G74" s="57" t="n">
        <v>0</v>
      </c>
      <c r="H74" s="57" t="n">
        <v>3.3</v>
      </c>
      <c r="I74" s="57" t="n">
        <v>646.87</v>
      </c>
      <c r="J74" s="57" t="n">
        <v>154.1</v>
      </c>
      <c r="K74" s="57" t="n">
        <v>0</v>
      </c>
      <c r="L74" s="57" t="n">
        <v>4100</v>
      </c>
      <c r="M74" s="57" t="n">
        <v>2550</v>
      </c>
      <c r="N74" s="57" t="n">
        <v>0</v>
      </c>
      <c r="O74" s="57" t="n">
        <v>0</v>
      </c>
      <c r="P74" s="57" t="n">
        <v>0</v>
      </c>
      <c r="Q74" s="57" t="n">
        <v>0</v>
      </c>
      <c r="R74" s="57" t="n">
        <v>0</v>
      </c>
      <c r="S74" s="57" t="n">
        <v>0</v>
      </c>
      <c r="T74" s="57" t="n">
        <v>0</v>
      </c>
      <c r="U74" s="57" t="n">
        <v>0</v>
      </c>
      <c r="V74" s="57" t="n">
        <v>0</v>
      </c>
      <c r="W74" s="57" t="n">
        <v>0</v>
      </c>
      <c r="X74" s="57" t="n">
        <v>59081.27</v>
      </c>
      <c r="Y74" s="58" t="str">
        <f aca="false">IFERROR(IF(V74=0,"",(W74-V74)/ABS(V74)),"")</f>
        <v/>
      </c>
      <c r="Z74" s="59" t="n">
        <f aca="false">IFERROR(X74/$X$7,"")</f>
        <v>0.00777357450493839</v>
      </c>
    </row>
    <row r="75" customFormat="false" ht="15" hidden="false" customHeight="false" outlineLevel="1" collapsed="false">
      <c r="B75" s="56" t="s">
        <v>1124</v>
      </c>
      <c r="C75" s="57" t="n">
        <v>0</v>
      </c>
      <c r="D75" s="57" t="n">
        <v>0</v>
      </c>
      <c r="E75" s="57" t="n">
        <v>0</v>
      </c>
      <c r="F75" s="57" t="n">
        <v>0</v>
      </c>
      <c r="G75" s="57" t="n">
        <v>10917.99</v>
      </c>
      <c r="H75" s="57" t="n">
        <v>0</v>
      </c>
      <c r="I75" s="57" t="n">
        <v>2170.05</v>
      </c>
      <c r="J75" s="57" t="n">
        <v>0</v>
      </c>
      <c r="K75" s="57" t="n">
        <v>0</v>
      </c>
      <c r="L75" s="57" t="n">
        <v>0</v>
      </c>
      <c r="M75" s="57" t="n">
        <v>148.64</v>
      </c>
      <c r="N75" s="57" t="n">
        <v>4655.22</v>
      </c>
      <c r="O75" s="57" t="n">
        <v>882.6</v>
      </c>
      <c r="P75" s="57" t="n">
        <v>0</v>
      </c>
      <c r="Q75" s="57" t="n">
        <v>4439.64</v>
      </c>
      <c r="R75" s="57" t="n">
        <v>2855.89</v>
      </c>
      <c r="S75" s="57" t="n">
        <v>8591.51</v>
      </c>
      <c r="T75" s="57" t="n">
        <v>1967.03</v>
      </c>
      <c r="U75" s="57" t="n">
        <v>1927.86</v>
      </c>
      <c r="V75" s="57" t="n">
        <v>1153.94</v>
      </c>
      <c r="W75" s="57" t="n">
        <v>0</v>
      </c>
      <c r="X75" s="57" t="n">
        <v>39710.37</v>
      </c>
      <c r="Y75" s="58" t="n">
        <f aca="false">IFERROR(IF(V75=0,"",(W75-V75)/ABS(V75)),"")</f>
        <v>-1</v>
      </c>
      <c r="Z75" s="59" t="n">
        <f aca="false">IFERROR(X75/$X$7,"")</f>
        <v>0.00522486263097713</v>
      </c>
    </row>
    <row r="76" customFormat="false" ht="15" hidden="false" customHeight="false" outlineLevel="1" collapsed="false">
      <c r="B76" s="56" t="s">
        <v>1125</v>
      </c>
      <c r="C76" s="57" t="n">
        <v>0</v>
      </c>
      <c r="D76" s="57" t="n">
        <v>0</v>
      </c>
      <c r="E76" s="57" t="n">
        <v>0</v>
      </c>
      <c r="F76" s="57" t="n">
        <v>0</v>
      </c>
      <c r="G76" s="57" t="n">
        <v>0</v>
      </c>
      <c r="H76" s="57" t="n">
        <v>0</v>
      </c>
      <c r="I76" s="57" t="n">
        <v>0</v>
      </c>
      <c r="J76" s="57" t="n">
        <v>0</v>
      </c>
      <c r="K76" s="57" t="n">
        <v>0</v>
      </c>
      <c r="L76" s="57" t="n">
        <v>0</v>
      </c>
      <c r="M76" s="57" t="n">
        <v>0</v>
      </c>
      <c r="N76" s="57" t="n">
        <v>0</v>
      </c>
      <c r="O76" s="57" t="n">
        <v>0</v>
      </c>
      <c r="P76" s="57" t="n">
        <v>2055.6</v>
      </c>
      <c r="Q76" s="57" t="n">
        <v>0.01</v>
      </c>
      <c r="R76" s="57" t="n">
        <v>2000</v>
      </c>
      <c r="S76" s="57" t="n">
        <v>1985.33</v>
      </c>
      <c r="T76" s="57" t="n">
        <v>2056</v>
      </c>
      <c r="U76" s="57" t="n">
        <v>2055.6</v>
      </c>
      <c r="V76" s="57" t="n">
        <v>2077.21</v>
      </c>
      <c r="W76" s="57" t="n">
        <v>0</v>
      </c>
      <c r="X76" s="57" t="n">
        <v>12229.75</v>
      </c>
      <c r="Y76" s="58" t="n">
        <f aca="false">IFERROR(IF(V76=0,"",(W76-V76)/ABS(V76)),"")</f>
        <v>-1</v>
      </c>
      <c r="Z76" s="59" t="n">
        <f aca="false">IFERROR(X76/$X$7,"")</f>
        <v>0.00160912033207428</v>
      </c>
    </row>
    <row r="77" customFormat="false" ht="15" hidden="false" customHeight="false" outlineLevel="1" collapsed="false">
      <c r="B77" s="56" t="s">
        <v>1126</v>
      </c>
      <c r="C77" s="57" t="n">
        <v>0</v>
      </c>
      <c r="D77" s="57" t="n">
        <v>0</v>
      </c>
      <c r="E77" s="57" t="n">
        <v>0</v>
      </c>
      <c r="F77" s="57" t="n">
        <v>0</v>
      </c>
      <c r="G77" s="57" t="n">
        <v>0</v>
      </c>
      <c r="H77" s="57" t="n">
        <v>3.7</v>
      </c>
      <c r="I77" s="57" t="n">
        <v>0</v>
      </c>
      <c r="J77" s="57" t="n">
        <v>0</v>
      </c>
      <c r="K77" s="57" t="n">
        <v>0</v>
      </c>
      <c r="L77" s="57" t="n">
        <v>0</v>
      </c>
      <c r="M77" s="57" t="n">
        <v>0</v>
      </c>
      <c r="N77" s="57" t="n">
        <v>4500</v>
      </c>
      <c r="O77" s="57" t="n">
        <v>4910.24</v>
      </c>
      <c r="P77" s="57" t="n">
        <v>0</v>
      </c>
      <c r="Q77" s="57" t="n">
        <v>0</v>
      </c>
      <c r="R77" s="57" t="n">
        <v>0</v>
      </c>
      <c r="S77" s="57" t="n">
        <v>0</v>
      </c>
      <c r="T77" s="57" t="n">
        <v>0</v>
      </c>
      <c r="U77" s="57" t="n">
        <v>0</v>
      </c>
      <c r="V77" s="57" t="n">
        <v>0</v>
      </c>
      <c r="W77" s="57" t="n">
        <v>0</v>
      </c>
      <c r="X77" s="57" t="n">
        <v>9413.94</v>
      </c>
      <c r="Y77" s="58" t="str">
        <f aca="false">IFERROR(IF(V77=0,"",(W77-V77)/ABS(V77)),"")</f>
        <v/>
      </c>
      <c r="Z77" s="59" t="n">
        <f aca="false">IFERROR(X77/$X$7,"")</f>
        <v>0.00123863220907438</v>
      </c>
    </row>
    <row r="78" customFormat="false" ht="15" hidden="false" customHeight="false" outlineLevel="1" collapsed="false">
      <c r="B78" s="56" t="s">
        <v>1127</v>
      </c>
      <c r="C78" s="57" t="n">
        <v>0</v>
      </c>
      <c r="D78" s="57" t="n">
        <v>0</v>
      </c>
      <c r="E78" s="57" t="n">
        <v>0</v>
      </c>
      <c r="F78" s="57" t="n">
        <v>0</v>
      </c>
      <c r="G78" s="57" t="n">
        <v>0</v>
      </c>
      <c r="H78" s="57" t="n">
        <v>0</v>
      </c>
      <c r="I78" s="57" t="n">
        <v>0</v>
      </c>
      <c r="J78" s="57" t="n">
        <v>0</v>
      </c>
      <c r="K78" s="57" t="n">
        <v>0</v>
      </c>
      <c r="L78" s="57" t="n">
        <v>0</v>
      </c>
      <c r="M78" s="57" t="n">
        <v>0</v>
      </c>
      <c r="N78" s="57" t="n">
        <v>0</v>
      </c>
      <c r="O78" s="57" t="n">
        <v>0</v>
      </c>
      <c r="P78" s="57" t="n">
        <v>0</v>
      </c>
      <c r="Q78" s="57" t="n">
        <v>0</v>
      </c>
      <c r="R78" s="57" t="n">
        <v>0</v>
      </c>
      <c r="S78" s="57" t="n">
        <v>0</v>
      </c>
      <c r="T78" s="57" t="n">
        <v>0</v>
      </c>
      <c r="U78" s="57" t="n">
        <v>0</v>
      </c>
      <c r="V78" s="57" t="n">
        <v>7750</v>
      </c>
      <c r="W78" s="57" t="n">
        <v>0</v>
      </c>
      <c r="X78" s="57" t="n">
        <v>7750</v>
      </c>
      <c r="Y78" s="58" t="n">
        <f aca="false">IFERROR(IF(V78=0,"",(W78-V78)/ABS(V78)),"")</f>
        <v>-1</v>
      </c>
      <c r="Z78" s="59" t="n">
        <f aca="false">IFERROR(X78/$X$7,"")</f>
        <v>0.00101970053137437</v>
      </c>
    </row>
    <row r="79" customFormat="false" ht="15" hidden="false" customHeight="false" outlineLevel="1" collapsed="false">
      <c r="B79" s="56" t="s">
        <v>1128</v>
      </c>
      <c r="C79" s="57" t="n">
        <v>0</v>
      </c>
      <c r="D79" s="57" t="n">
        <v>0</v>
      </c>
      <c r="E79" s="57" t="n">
        <v>0</v>
      </c>
      <c r="F79" s="57" t="n">
        <v>0</v>
      </c>
      <c r="G79" s="57" t="n">
        <v>0</v>
      </c>
      <c r="H79" s="57" t="n">
        <v>0</v>
      </c>
      <c r="I79" s="57" t="n">
        <v>0</v>
      </c>
      <c r="J79" s="57" t="n">
        <v>0</v>
      </c>
      <c r="K79" s="57" t="n">
        <v>0</v>
      </c>
      <c r="L79" s="57" t="n">
        <v>0</v>
      </c>
      <c r="M79" s="57" t="n">
        <v>0</v>
      </c>
      <c r="N79" s="57" t="n">
        <v>0</v>
      </c>
      <c r="O79" s="57" t="n">
        <v>2360.04</v>
      </c>
      <c r="P79" s="57" t="n">
        <v>2929.54</v>
      </c>
      <c r="Q79" s="57" t="n">
        <v>0</v>
      </c>
      <c r="R79" s="57" t="n">
        <v>0</v>
      </c>
      <c r="S79" s="57" t="n">
        <v>517.08</v>
      </c>
      <c r="T79" s="57" t="n">
        <v>22</v>
      </c>
      <c r="U79" s="57" t="n">
        <v>89.29</v>
      </c>
      <c r="V79" s="57" t="n">
        <v>24.22</v>
      </c>
      <c r="W79" s="57" t="n">
        <v>0</v>
      </c>
      <c r="X79" s="57" t="n">
        <v>5942.17</v>
      </c>
      <c r="Y79" s="58" t="n">
        <f aca="false">IFERROR(IF(V79=0,"",(W79-V79)/ABS(V79)),"")</f>
        <v>-1</v>
      </c>
      <c r="Z79" s="59" t="n">
        <f aca="false">IFERROR(X79/$X$7,"")</f>
        <v>0.000781836633098945</v>
      </c>
    </row>
    <row r="80" customFormat="false" ht="15" hidden="false" customHeight="false" outlineLevel="1" collapsed="false">
      <c r="B80" s="56" t="s">
        <v>1129</v>
      </c>
      <c r="C80" s="57" t="n">
        <v>0</v>
      </c>
      <c r="D80" s="57" t="n">
        <v>0</v>
      </c>
      <c r="E80" s="57" t="n">
        <v>0</v>
      </c>
      <c r="F80" s="57" t="n">
        <v>0</v>
      </c>
      <c r="G80" s="57" t="n">
        <v>0</v>
      </c>
      <c r="H80" s="57" t="n">
        <v>0</v>
      </c>
      <c r="I80" s="57" t="n">
        <v>0</v>
      </c>
      <c r="J80" s="57" t="n">
        <v>0</v>
      </c>
      <c r="K80" s="57" t="n">
        <v>0</v>
      </c>
      <c r="L80" s="57" t="n">
        <v>3385.22</v>
      </c>
      <c r="M80" s="57" t="n">
        <v>0</v>
      </c>
      <c r="N80" s="57" t="n">
        <v>0</v>
      </c>
      <c r="O80" s="57" t="n">
        <v>681.34</v>
      </c>
      <c r="P80" s="57" t="n">
        <v>0</v>
      </c>
      <c r="Q80" s="57" t="n">
        <v>0</v>
      </c>
      <c r="R80" s="57" t="n">
        <v>0</v>
      </c>
      <c r="S80" s="57" t="n">
        <v>0</v>
      </c>
      <c r="T80" s="57" t="n">
        <v>0</v>
      </c>
      <c r="U80" s="57" t="n">
        <v>0</v>
      </c>
      <c r="V80" s="57" t="n">
        <v>0</v>
      </c>
      <c r="W80" s="57" t="n">
        <v>0</v>
      </c>
      <c r="X80" s="57" t="n">
        <v>4066.56</v>
      </c>
      <c r="Y80" s="58" t="str">
        <f aca="false">IFERROR(IF(V80=0,"",(W80-V80)/ABS(V80)),"")</f>
        <v/>
      </c>
      <c r="Z80" s="59" t="n">
        <f aca="false">IFERROR(X80/$X$7,"")</f>
        <v>0.000535054631337516</v>
      </c>
    </row>
    <row r="81" customFormat="false" ht="15" hidden="false" customHeight="false" outlineLevel="1" collapsed="false">
      <c r="B81" s="56" t="s">
        <v>1130</v>
      </c>
      <c r="C81" s="57" t="n">
        <v>0</v>
      </c>
      <c r="D81" s="57" t="n">
        <v>0</v>
      </c>
      <c r="E81" s="57" t="n">
        <v>0</v>
      </c>
      <c r="F81" s="57" t="n">
        <v>0</v>
      </c>
      <c r="G81" s="57" t="n">
        <v>156.18</v>
      </c>
      <c r="H81" s="57" t="n">
        <v>156.18</v>
      </c>
      <c r="I81" s="57" t="n">
        <v>0</v>
      </c>
      <c r="J81" s="57" t="n">
        <v>0</v>
      </c>
      <c r="K81" s="57" t="n">
        <v>234.78</v>
      </c>
      <c r="L81" s="57" t="n">
        <v>0</v>
      </c>
      <c r="M81" s="57" t="n">
        <v>0</v>
      </c>
      <c r="N81" s="57" t="n">
        <v>0</v>
      </c>
      <c r="O81" s="57" t="n">
        <v>104.13</v>
      </c>
      <c r="P81" s="57" t="n">
        <v>2734.2</v>
      </c>
      <c r="Q81" s="57" t="n">
        <v>0</v>
      </c>
      <c r="R81" s="57" t="n">
        <v>0</v>
      </c>
      <c r="S81" s="57" t="n">
        <v>0</v>
      </c>
      <c r="T81" s="57" t="n">
        <v>0</v>
      </c>
      <c r="U81" s="57" t="n">
        <v>0</v>
      </c>
      <c r="V81" s="57" t="n">
        <v>0</v>
      </c>
      <c r="W81" s="57" t="n">
        <v>0</v>
      </c>
      <c r="X81" s="57" t="n">
        <v>3385.47</v>
      </c>
      <c r="Y81" s="58" t="str">
        <f aca="false">IFERROR(IF(V81=0,"",(W81-V81)/ABS(V81)),"")</f>
        <v/>
      </c>
      <c r="Z81" s="59" t="n">
        <f aca="false">IFERROR(X81/$X$7,"")</f>
        <v>0.000445440717155094</v>
      </c>
    </row>
    <row r="82" customFormat="false" ht="15" hidden="false" customHeight="false" outlineLevel="1" collapsed="false">
      <c r="B82" s="56" t="s">
        <v>1131</v>
      </c>
      <c r="C82" s="57" t="n">
        <v>0</v>
      </c>
      <c r="D82" s="57" t="n">
        <v>0</v>
      </c>
      <c r="E82" s="57" t="n">
        <v>0</v>
      </c>
      <c r="F82" s="57" t="n">
        <v>0</v>
      </c>
      <c r="G82" s="57" t="n">
        <v>0</v>
      </c>
      <c r="H82" s="57" t="n">
        <v>0</v>
      </c>
      <c r="I82" s="57" t="n">
        <v>0</v>
      </c>
      <c r="J82" s="57" t="n">
        <v>0</v>
      </c>
      <c r="K82" s="57" t="n">
        <v>0</v>
      </c>
      <c r="L82" s="57" t="n">
        <v>0</v>
      </c>
      <c r="M82" s="57" t="n">
        <v>0</v>
      </c>
      <c r="N82" s="57" t="n">
        <v>0</v>
      </c>
      <c r="O82" s="57" t="n">
        <v>0</v>
      </c>
      <c r="P82" s="57" t="n">
        <v>0</v>
      </c>
      <c r="Q82" s="57" t="n">
        <v>0</v>
      </c>
      <c r="R82" s="57" t="n">
        <v>0</v>
      </c>
      <c r="S82" s="57" t="n">
        <v>0</v>
      </c>
      <c r="T82" s="57" t="n">
        <v>0</v>
      </c>
      <c r="U82" s="57" t="n">
        <v>0</v>
      </c>
      <c r="V82" s="57" t="n">
        <v>130.21</v>
      </c>
      <c r="W82" s="57" t="n">
        <v>0</v>
      </c>
      <c r="X82" s="57" t="n">
        <v>130.21</v>
      </c>
      <c r="Y82" s="58" t="n">
        <f aca="false">IFERROR(IF(V82=0,"",(W82-V82)/ABS(V82)),"")</f>
        <v>-1</v>
      </c>
      <c r="Z82" s="59" t="n">
        <f aca="false">IFERROR(X82/$X$7,"")</f>
        <v>1.71322846697105E-005</v>
      </c>
    </row>
    <row r="83" customFormat="false" ht="15" hidden="false" customHeight="false" outlineLevel="0" collapsed="false">
      <c r="B83" s="60" t="s">
        <v>1132</v>
      </c>
      <c r="C83" s="61" t="n">
        <v>13783</v>
      </c>
      <c r="D83" s="61" t="n">
        <v>17592</v>
      </c>
      <c r="E83" s="61" t="n">
        <v>20252</v>
      </c>
      <c r="F83" s="61" t="n">
        <v>0</v>
      </c>
      <c r="G83" s="61" t="n">
        <v>11074.17</v>
      </c>
      <c r="H83" s="61" t="n">
        <v>163.18</v>
      </c>
      <c r="I83" s="61" t="n">
        <v>20451.94</v>
      </c>
      <c r="J83" s="61" t="n">
        <v>17814.97</v>
      </c>
      <c r="K83" s="61" t="n">
        <v>33332.56</v>
      </c>
      <c r="L83" s="61" t="n">
        <v>89162</v>
      </c>
      <c r="M83" s="61" t="n">
        <v>85766.42</v>
      </c>
      <c r="N83" s="61" t="n">
        <v>99112.33</v>
      </c>
      <c r="O83" s="61" t="n">
        <v>92115.13</v>
      </c>
      <c r="P83" s="61" t="n">
        <v>140292.72</v>
      </c>
      <c r="Q83" s="61" t="n">
        <v>107819.12</v>
      </c>
      <c r="R83" s="61" t="n">
        <v>95860.59</v>
      </c>
      <c r="S83" s="61" t="n">
        <v>102166.29</v>
      </c>
      <c r="T83" s="61" t="n">
        <v>95309.09</v>
      </c>
      <c r="U83" s="61" t="n">
        <v>115382.95</v>
      </c>
      <c r="V83" s="61" t="n">
        <v>114907.48</v>
      </c>
      <c r="W83" s="61" t="n">
        <v>103251.2</v>
      </c>
      <c r="X83" s="61" t="n">
        <v>1375609.14</v>
      </c>
      <c r="Y83" s="58" t="n">
        <f aca="false">IFERROR(IF(V83=0,"",(W83-V83)/ABS(V83)),"")</f>
        <v>-0.101440567663654</v>
      </c>
      <c r="Z83" s="59" t="n">
        <f aca="false">IFERROR(X83/$X$7,"")</f>
        <v>0.180994757551153</v>
      </c>
    </row>
    <row r="84" customFormat="false" ht="15" hidden="false" customHeight="false" outlineLevel="0" collapsed="false">
      <c r="B84" s="54" t="s">
        <v>1133</v>
      </c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</row>
    <row r="85" customFormat="false" ht="15" hidden="false" customHeight="false" outlineLevel="1" collapsed="false">
      <c r="B85" s="56" t="s">
        <v>1134</v>
      </c>
      <c r="C85" s="57" t="n">
        <v>0</v>
      </c>
      <c r="D85" s="57" t="n">
        <v>0</v>
      </c>
      <c r="E85" s="57" t="n">
        <v>0</v>
      </c>
      <c r="F85" s="57" t="n">
        <v>0</v>
      </c>
      <c r="G85" s="57" t="n">
        <v>0</v>
      </c>
      <c r="H85" s="57" t="n">
        <v>0</v>
      </c>
      <c r="I85" s="57" t="n">
        <v>0</v>
      </c>
      <c r="J85" s="57" t="n">
        <v>0</v>
      </c>
      <c r="K85" s="57" t="n">
        <v>0</v>
      </c>
      <c r="L85" s="57" t="n">
        <v>0</v>
      </c>
      <c r="M85" s="57" t="n">
        <v>0</v>
      </c>
      <c r="N85" s="57" t="n">
        <v>0</v>
      </c>
      <c r="O85" s="57" t="n">
        <v>0</v>
      </c>
      <c r="P85" s="57" t="n">
        <v>0</v>
      </c>
      <c r="Q85" s="57" t="n">
        <v>0</v>
      </c>
      <c r="R85" s="57" t="n">
        <v>25000</v>
      </c>
      <c r="S85" s="57" t="n">
        <v>25000</v>
      </c>
      <c r="T85" s="57" t="n">
        <v>25000</v>
      </c>
      <c r="U85" s="57" t="n">
        <v>25000</v>
      </c>
      <c r="V85" s="57" t="n">
        <v>25000</v>
      </c>
      <c r="W85" s="57" t="n">
        <v>25000</v>
      </c>
      <c r="X85" s="57" t="n">
        <v>150000</v>
      </c>
      <c r="Y85" s="58" t="n">
        <f aca="false">IFERROR(IF(V85=0,"",(W85-V85)/ABS(V85)),"")</f>
        <v>0</v>
      </c>
      <c r="Z85" s="59" t="n">
        <f aca="false">IFERROR(X85/$X$7,"")</f>
        <v>0.0197361393169232</v>
      </c>
    </row>
    <row r="86" customFormat="false" ht="15" hidden="false" customHeight="false" outlineLevel="0" collapsed="false">
      <c r="B86" s="60" t="s">
        <v>1135</v>
      </c>
      <c r="C86" s="61" t="n">
        <v>0</v>
      </c>
      <c r="D86" s="61" t="n">
        <v>0</v>
      </c>
      <c r="E86" s="61" t="n">
        <v>0</v>
      </c>
      <c r="F86" s="61" t="n">
        <v>0</v>
      </c>
      <c r="G86" s="61" t="n">
        <v>0</v>
      </c>
      <c r="H86" s="61" t="n">
        <v>0</v>
      </c>
      <c r="I86" s="61" t="n">
        <v>0</v>
      </c>
      <c r="J86" s="61" t="n">
        <v>0</v>
      </c>
      <c r="K86" s="61" t="n">
        <v>0</v>
      </c>
      <c r="L86" s="61" t="n">
        <v>0</v>
      </c>
      <c r="M86" s="61" t="n">
        <v>0</v>
      </c>
      <c r="N86" s="61" t="n">
        <v>0</v>
      </c>
      <c r="O86" s="61" t="n">
        <v>0</v>
      </c>
      <c r="P86" s="61" t="n">
        <v>0</v>
      </c>
      <c r="Q86" s="61" t="n">
        <v>0</v>
      </c>
      <c r="R86" s="61" t="n">
        <v>25000</v>
      </c>
      <c r="S86" s="61" t="n">
        <v>25000</v>
      </c>
      <c r="T86" s="61" t="n">
        <v>25000</v>
      </c>
      <c r="U86" s="61" t="n">
        <v>25000</v>
      </c>
      <c r="V86" s="61" t="n">
        <v>25000</v>
      </c>
      <c r="W86" s="61" t="n">
        <v>25000</v>
      </c>
      <c r="X86" s="61" t="n">
        <v>150000</v>
      </c>
      <c r="Y86" s="58" t="n">
        <f aca="false">IFERROR(IF(V86=0,"",(W86-V86)/ABS(V86)),"")</f>
        <v>0</v>
      </c>
      <c r="Z86" s="59" t="n">
        <f aca="false">IFERROR(X86/$X$7,"")</f>
        <v>0.0197361393169232</v>
      </c>
    </row>
    <row r="87" customFormat="false" ht="15" hidden="false" customHeight="false" outlineLevel="0" collapsed="false">
      <c r="B87" s="62" t="s">
        <v>1136</v>
      </c>
      <c r="C87" s="63" t="n">
        <v>-17668</v>
      </c>
      <c r="D87" s="63" t="n">
        <v>-17592</v>
      </c>
      <c r="E87" s="63" t="n">
        <v>-25552</v>
      </c>
      <c r="F87" s="63" t="n">
        <v>-78485.76</v>
      </c>
      <c r="G87" s="63" t="n">
        <v>-109582.22</v>
      </c>
      <c r="H87" s="63" t="n">
        <v>-51224.18</v>
      </c>
      <c r="I87" s="63" t="n">
        <v>-125144.45</v>
      </c>
      <c r="J87" s="63" t="n">
        <v>-26873.89</v>
      </c>
      <c r="K87" s="63" t="n">
        <v>-111692.22</v>
      </c>
      <c r="L87" s="63" t="n">
        <v>-78599.51</v>
      </c>
      <c r="M87" s="63" t="n">
        <v>-125448.62</v>
      </c>
      <c r="N87" s="63" t="n">
        <v>-114323.72</v>
      </c>
      <c r="O87" s="63" t="n">
        <v>-187593.86</v>
      </c>
      <c r="P87" s="63" t="n">
        <v>-111441.47</v>
      </c>
      <c r="Q87" s="63" t="n">
        <v>-122682.69</v>
      </c>
      <c r="R87" s="63" t="n">
        <v>-182234.38</v>
      </c>
      <c r="S87" s="63" t="n">
        <v>-156058.4</v>
      </c>
      <c r="T87" s="63" t="n">
        <v>-152899.77</v>
      </c>
      <c r="U87" s="63" t="n">
        <v>-147404.54</v>
      </c>
      <c r="V87" s="63" t="n">
        <v>-130433.47</v>
      </c>
      <c r="W87" s="63" t="n">
        <v>-54304.34</v>
      </c>
      <c r="X87" s="63" t="n">
        <v>-2127239.49</v>
      </c>
      <c r="Y87" s="58" t="n">
        <f aca="false">IFERROR(IF(V87=0,"",(W87-V87)/ABS(V87)),"")</f>
        <v>0.583662536923997</v>
      </c>
      <c r="Z87" s="59" t="n">
        <f aca="false">IFERROR(X87/$X$7,"")</f>
        <v>-0.279889966234005</v>
      </c>
    </row>
  </sheetData>
  <mergeCells count="2">
    <mergeCell ref="B2:X2"/>
    <mergeCell ref="B3:X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4"/>
    <col collapsed="false" customWidth="true" hidden="false" outlineLevel="0" max="5" min="5" style="1" width="34"/>
    <col collapsed="false" customWidth="true" hidden="false" outlineLevel="0" max="6" min="6" style="1" width="20"/>
    <col collapsed="false" customWidth="true" hidden="true" outlineLevel="0" max="11" min="10" style="1" width="13"/>
  </cols>
  <sheetData>
    <row r="1" customFormat="false" ht="15" hidden="false" customHeight="true" outlineLevel="0" collapsed="false">
      <c r="J1" s="1" t="s">
        <v>102</v>
      </c>
      <c r="K1" s="1" t="s">
        <v>1137</v>
      </c>
    </row>
    <row r="2" customFormat="false" ht="19.5" hidden="false" customHeight="true" outlineLevel="0" collapsed="false">
      <c r="B2" s="9" t="s">
        <v>1138</v>
      </c>
      <c r="C2" s="9"/>
      <c r="D2" s="9"/>
      <c r="E2" s="9"/>
      <c r="F2" s="9"/>
      <c r="J2" s="1" t="s">
        <v>31</v>
      </c>
      <c r="K2" s="1" t="n">
        <v>14869.98</v>
      </c>
    </row>
    <row r="3" customFormat="false" ht="15" hidden="false" customHeight="true" outlineLevel="0" collapsed="false">
      <c r="B3" s="33" t="s">
        <v>1139</v>
      </c>
      <c r="C3" s="33"/>
      <c r="D3" s="33"/>
      <c r="E3" s="33"/>
      <c r="F3" s="33"/>
      <c r="J3" s="1" t="s">
        <v>71</v>
      </c>
      <c r="K3" s="1" t="n">
        <v>6581.67</v>
      </c>
    </row>
    <row r="4" customFormat="false" ht="15" hidden="false" customHeight="true" outlineLevel="0" collapsed="false">
      <c r="J4" s="1" t="s">
        <v>84</v>
      </c>
      <c r="K4" s="1" t="n">
        <v>1624.62</v>
      </c>
    </row>
    <row r="5" customFormat="false" ht="15" hidden="false" customHeight="true" outlineLevel="0" collapsed="false">
      <c r="B5" s="11" t="s">
        <v>1140</v>
      </c>
      <c r="C5" s="11"/>
      <c r="E5" s="11" t="s">
        <v>1141</v>
      </c>
      <c r="F5" s="11"/>
      <c r="J5" s="1" t="s">
        <v>45</v>
      </c>
      <c r="K5" s="1" t="n">
        <v>118.52</v>
      </c>
    </row>
    <row r="6" customFormat="false" ht="15" hidden="false" customHeight="true" outlineLevel="0" collapsed="false">
      <c r="B6" s="13" t="s">
        <v>1142</v>
      </c>
      <c r="C6" s="64" t="n">
        <v>25000</v>
      </c>
      <c r="E6" s="13" t="s">
        <v>1143</v>
      </c>
      <c r="F6" s="64" t="n">
        <v>60000</v>
      </c>
      <c r="J6" s="1" t="s">
        <v>52</v>
      </c>
      <c r="K6" s="1" t="n">
        <v>6297.26</v>
      </c>
    </row>
    <row r="7" customFormat="false" ht="15" hidden="false" customHeight="true" outlineLevel="0" collapsed="false">
      <c r="B7" s="13" t="s">
        <v>1144</v>
      </c>
      <c r="C7" s="64" t="n">
        <v>5000</v>
      </c>
      <c r="E7" s="13" t="s">
        <v>1145</v>
      </c>
      <c r="F7" s="64" t="n">
        <v>40000</v>
      </c>
      <c r="J7" s="1" t="s">
        <v>81</v>
      </c>
      <c r="K7" s="1" t="n">
        <v>4500</v>
      </c>
    </row>
    <row r="8" customFormat="false" ht="15" hidden="false" customHeight="true" outlineLevel="0" collapsed="false">
      <c r="B8" s="13" t="s">
        <v>1146</v>
      </c>
      <c r="C8" s="65" t="n">
        <v>12</v>
      </c>
      <c r="E8" s="13" t="s">
        <v>1147</v>
      </c>
      <c r="F8" s="66" t="n">
        <v>0.3</v>
      </c>
      <c r="J8" s="1" t="s">
        <v>34</v>
      </c>
      <c r="K8" s="1" t="n">
        <v>8195.65</v>
      </c>
    </row>
    <row r="9" customFormat="false" ht="15" hidden="false" customHeight="true" outlineLevel="0" collapsed="false">
      <c r="B9" s="13" t="s">
        <v>1148</v>
      </c>
      <c r="C9" s="67" t="n">
        <v>0.018</v>
      </c>
      <c r="E9" s="68" t="s">
        <v>1149</v>
      </c>
      <c r="F9" s="69" t="s">
        <v>66</v>
      </c>
      <c r="J9" s="1" t="s">
        <v>38</v>
      </c>
      <c r="K9" s="1" t="n">
        <v>3333.3</v>
      </c>
    </row>
    <row r="10" customFormat="false" ht="15" hidden="false" customHeight="true" outlineLevel="0" collapsed="false">
      <c r="E10" s="68" t="s">
        <v>1150</v>
      </c>
      <c r="F10" s="70" t="n">
        <f aca="false">IFERROR(VLOOKUP(F9,$J$2:$K$69,2,FALSE()),0)</f>
        <v>3732.86</v>
      </c>
      <c r="J10" s="1" t="s">
        <v>40</v>
      </c>
      <c r="K10" s="1" t="n">
        <v>1235.6</v>
      </c>
    </row>
    <row r="11" customFormat="false" ht="15" hidden="false" customHeight="true" outlineLevel="0" collapsed="false">
      <c r="B11" s="10" t="s">
        <v>1151</v>
      </c>
      <c r="C11" s="10"/>
      <c r="D11" s="10"/>
      <c r="E11" s="10"/>
      <c r="F11" s="10"/>
      <c r="J11" s="1" t="s">
        <v>43</v>
      </c>
      <c r="K11" s="1" t="n">
        <v>1279.8</v>
      </c>
    </row>
    <row r="12" customFormat="false" ht="15" hidden="false" customHeight="true" outlineLevel="0" collapsed="false">
      <c r="B12" s="71" t="s">
        <v>1152</v>
      </c>
      <c r="C12" s="71"/>
      <c r="D12" s="71"/>
      <c r="E12" s="71"/>
      <c r="F12" s="72" t="n">
        <f aca="false">C6-C7</f>
        <v>20000</v>
      </c>
      <c r="J12" s="1" t="s">
        <v>47</v>
      </c>
      <c r="K12" s="1" t="n">
        <v>750.63</v>
      </c>
    </row>
    <row r="13" customFormat="false" ht="15" hidden="false" customHeight="true" outlineLevel="0" collapsed="false">
      <c r="B13" s="71" t="s">
        <v>1153</v>
      </c>
      <c r="C13" s="71"/>
      <c r="D13" s="71"/>
      <c r="E13" s="71"/>
      <c r="F13" s="72" t="n">
        <f aca="false">IF(C9=0,(C6-C7)/C8,(C6-C7)*(C9*(1+C9)^C8)/((1+C9)^C8-1))</f>
        <v>1868.03953737888</v>
      </c>
      <c r="J13" s="1" t="s">
        <v>66</v>
      </c>
      <c r="K13" s="1" t="n">
        <v>3732.86</v>
      </c>
    </row>
    <row r="14" customFormat="false" ht="15" hidden="false" customHeight="true" outlineLevel="0" collapsed="false">
      <c r="B14" s="71" t="s">
        <v>1154</v>
      </c>
      <c r="C14" s="71"/>
      <c r="D14" s="71"/>
      <c r="E14" s="71"/>
      <c r="F14" s="72" t="n">
        <f aca="false">C7+F13*C8</f>
        <v>27416.4744485466</v>
      </c>
      <c r="J14" s="1" t="s">
        <v>60</v>
      </c>
      <c r="K14" s="1" t="n">
        <v>360.89</v>
      </c>
    </row>
    <row r="15" customFormat="false" ht="15" hidden="false" customHeight="true" outlineLevel="0" collapsed="false">
      <c r="B15" s="71" t="s">
        <v>1155</v>
      </c>
      <c r="C15" s="71"/>
      <c r="D15" s="71"/>
      <c r="E15" s="71"/>
      <c r="F15" s="72" t="n">
        <f aca="false">F14-C6</f>
        <v>2416.47444854656</v>
      </c>
      <c r="J15" s="1" t="s">
        <v>89</v>
      </c>
      <c r="K15" s="1" t="n">
        <v>2032.31</v>
      </c>
    </row>
    <row r="16" customFormat="false" ht="15" hidden="false" customHeight="true" outlineLevel="0" collapsed="false">
      <c r="B16" s="71" t="s">
        <v>1156</v>
      </c>
      <c r="C16" s="71"/>
      <c r="D16" s="71"/>
      <c r="E16" s="71"/>
      <c r="F16" s="72" t="n">
        <f aca="false">(F6-F7)*F8-F10</f>
        <v>2267.14</v>
      </c>
      <c r="J16" s="1" t="s">
        <v>93</v>
      </c>
      <c r="K16" s="1" t="n">
        <v>894.99</v>
      </c>
    </row>
    <row r="17" customFormat="false" ht="15" hidden="false" customHeight="true" outlineLevel="0" collapsed="false">
      <c r="J17" s="1" t="s">
        <v>33</v>
      </c>
      <c r="K17" s="1" t="n">
        <v>6210.86</v>
      </c>
    </row>
    <row r="18" customFormat="false" ht="39.75" hidden="false" customHeight="true" outlineLevel="0" collapsed="false">
      <c r="B18" s="73" t="str">
        <f aca="false"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R$ 399.10 por mês.</v>
      </c>
      <c r="C18" s="73"/>
      <c r="D18" s="73"/>
      <c r="E18" s="73"/>
      <c r="F18" s="73"/>
      <c r="J18" s="1" t="s">
        <v>24</v>
      </c>
      <c r="K18" s="1" t="n">
        <v>310272.17</v>
      </c>
    </row>
    <row r="19" customFormat="false" ht="15" hidden="false" customHeight="true" outlineLevel="0" collapsed="false">
      <c r="J19" s="1" t="s">
        <v>42</v>
      </c>
      <c r="K19" s="1" t="n">
        <v>3790.75</v>
      </c>
    </row>
    <row r="20" customFormat="false" ht="15" hidden="false" customHeight="true" outlineLevel="0" collapsed="false">
      <c r="J20" s="1" t="s">
        <v>53</v>
      </c>
      <c r="K20" s="1" t="n">
        <v>205.24</v>
      </c>
    </row>
    <row r="21" customFormat="false" ht="15" hidden="false" customHeight="true" outlineLevel="0" collapsed="false">
      <c r="J21" s="1" t="s">
        <v>73</v>
      </c>
      <c r="K21" s="1" t="n">
        <v>168</v>
      </c>
    </row>
    <row r="22" customFormat="false" ht="15" hidden="false" customHeight="true" outlineLevel="0" collapsed="false">
      <c r="J22" s="1" t="s">
        <v>75</v>
      </c>
      <c r="K22" s="1" t="n">
        <v>50.21</v>
      </c>
    </row>
    <row r="23" customFormat="false" ht="15" hidden="false" customHeight="true" outlineLevel="0" collapsed="false">
      <c r="J23" s="1" t="s">
        <v>37</v>
      </c>
      <c r="K23" s="1" t="n">
        <v>985.44</v>
      </c>
    </row>
    <row r="24" customFormat="false" ht="15" hidden="false" customHeight="true" outlineLevel="0" collapsed="false">
      <c r="J24" s="1" t="s">
        <v>58</v>
      </c>
      <c r="K24" s="1" t="n">
        <v>108045.41</v>
      </c>
    </row>
    <row r="25" customFormat="false" ht="15" hidden="false" customHeight="true" outlineLevel="0" collapsed="false">
      <c r="J25" s="1" t="s">
        <v>68</v>
      </c>
      <c r="K25" s="1" t="n">
        <v>175.57</v>
      </c>
    </row>
    <row r="26" customFormat="false" ht="15" hidden="false" customHeight="true" outlineLevel="0" collapsed="false">
      <c r="J26" s="1" t="s">
        <v>35</v>
      </c>
      <c r="K26" s="1" t="n">
        <v>5197.09</v>
      </c>
    </row>
    <row r="27" customFormat="false" ht="15" hidden="false" customHeight="true" outlineLevel="0" collapsed="false">
      <c r="J27" s="1" t="s">
        <v>48</v>
      </c>
      <c r="K27" s="1" t="n">
        <v>37.5</v>
      </c>
    </row>
    <row r="28" customFormat="false" ht="15" hidden="false" customHeight="true" outlineLevel="0" collapsed="false">
      <c r="J28" s="1" t="s">
        <v>30</v>
      </c>
      <c r="K28" s="1" t="n">
        <v>60521.74</v>
      </c>
    </row>
    <row r="29" customFormat="false" ht="15" hidden="false" customHeight="true" outlineLevel="0" collapsed="false">
      <c r="J29" s="1" t="s">
        <v>85</v>
      </c>
      <c r="K29" s="1" t="n">
        <v>3492.42</v>
      </c>
    </row>
    <row r="30" customFormat="false" ht="15" hidden="false" customHeight="true" outlineLevel="0" collapsed="false">
      <c r="J30" s="1" t="s">
        <v>61</v>
      </c>
      <c r="K30" s="1" t="n">
        <v>5133.93</v>
      </c>
    </row>
    <row r="31" customFormat="false" ht="15" hidden="false" customHeight="true" outlineLevel="0" collapsed="false">
      <c r="J31" s="1" t="s">
        <v>87</v>
      </c>
      <c r="K31" s="1" t="n">
        <v>5766.28</v>
      </c>
    </row>
    <row r="32" customFormat="false" ht="15" hidden="false" customHeight="true" outlineLevel="0" collapsed="false">
      <c r="J32" s="1" t="s">
        <v>94</v>
      </c>
      <c r="K32" s="1" t="n">
        <v>800</v>
      </c>
    </row>
    <row r="33" customFormat="false" ht="15" hidden="false" customHeight="true" outlineLevel="0" collapsed="false">
      <c r="J33" s="1" t="s">
        <v>76</v>
      </c>
      <c r="K33" s="1" t="n">
        <v>1100</v>
      </c>
    </row>
    <row r="34" customFormat="false" ht="15" hidden="false" customHeight="true" outlineLevel="0" collapsed="false">
      <c r="J34" s="1" t="s">
        <v>55</v>
      </c>
      <c r="K34" s="1" t="n">
        <v>2033.28</v>
      </c>
    </row>
    <row r="35" customFormat="false" ht="15" hidden="false" customHeight="true" outlineLevel="0" collapsed="false">
      <c r="J35" s="1" t="s">
        <v>70</v>
      </c>
      <c r="K35" s="1" t="n">
        <v>3982.2</v>
      </c>
    </row>
    <row r="36" customFormat="false" ht="15" hidden="false" customHeight="true" outlineLevel="0" collapsed="false">
      <c r="J36" s="1" t="s">
        <v>28</v>
      </c>
      <c r="K36" s="1" t="n">
        <v>22039.98</v>
      </c>
    </row>
    <row r="37" customFormat="false" ht="15" hidden="false" customHeight="true" outlineLevel="0" collapsed="false">
      <c r="J37" s="1" t="s">
        <v>90</v>
      </c>
      <c r="K37" s="1" t="n">
        <v>442.7</v>
      </c>
    </row>
    <row r="38" customFormat="false" ht="15" hidden="false" customHeight="true" outlineLevel="0" collapsed="false">
      <c r="J38" s="1" t="s">
        <v>92</v>
      </c>
      <c r="K38" s="1" t="n">
        <v>90</v>
      </c>
    </row>
    <row r="39" customFormat="false" ht="15" hidden="false" customHeight="true" outlineLevel="0" collapsed="false">
      <c r="J39" s="1" t="s">
        <v>44</v>
      </c>
      <c r="K39" s="1" t="n">
        <v>341</v>
      </c>
    </row>
    <row r="40" customFormat="false" ht="15" hidden="false" customHeight="true" outlineLevel="0" collapsed="false">
      <c r="J40" s="1" t="s">
        <v>46</v>
      </c>
      <c r="K40" s="1" t="n">
        <v>345.45</v>
      </c>
    </row>
    <row r="41" customFormat="false" ht="15" hidden="false" customHeight="true" outlineLevel="0" collapsed="false">
      <c r="J41" s="1" t="s">
        <v>57</v>
      </c>
      <c r="K41" s="1" t="n">
        <v>168.07</v>
      </c>
    </row>
    <row r="42" customFormat="false" ht="15" hidden="false" customHeight="true" outlineLevel="0" collapsed="false">
      <c r="J42" s="1" t="s">
        <v>74</v>
      </c>
      <c r="K42" s="1" t="n">
        <v>351.37</v>
      </c>
    </row>
    <row r="43" customFormat="false" ht="15" hidden="false" customHeight="true" outlineLevel="0" collapsed="false">
      <c r="J43" s="1" t="s">
        <v>67</v>
      </c>
      <c r="K43" s="1" t="n">
        <v>176.35</v>
      </c>
    </row>
    <row r="44" customFormat="false" ht="15" hidden="false" customHeight="true" outlineLevel="0" collapsed="false">
      <c r="J44" s="1" t="s">
        <v>83</v>
      </c>
      <c r="K44" s="1" t="n">
        <v>677.09</v>
      </c>
    </row>
    <row r="45" customFormat="false" ht="15" hidden="false" customHeight="true" outlineLevel="0" collapsed="false">
      <c r="J45" s="1" t="s">
        <v>80</v>
      </c>
      <c r="K45" s="1" t="n">
        <v>2456.97</v>
      </c>
    </row>
    <row r="46" customFormat="false" ht="15" hidden="false" customHeight="true" outlineLevel="0" collapsed="false">
      <c r="J46" s="1" t="s">
        <v>97</v>
      </c>
      <c r="K46" s="1" t="n">
        <v>293.75</v>
      </c>
    </row>
    <row r="47" customFormat="false" ht="15" hidden="false" customHeight="true" outlineLevel="0" collapsed="false">
      <c r="J47" s="1" t="s">
        <v>32</v>
      </c>
      <c r="K47" s="1" t="n">
        <v>1011.31</v>
      </c>
    </row>
    <row r="48" customFormat="false" ht="15" hidden="false" customHeight="true" outlineLevel="0" collapsed="false">
      <c r="J48" s="1" t="s">
        <v>82</v>
      </c>
      <c r="K48" s="1" t="n">
        <v>1183.59</v>
      </c>
    </row>
    <row r="49" customFormat="false" ht="15" hidden="false" customHeight="true" outlineLevel="0" collapsed="false">
      <c r="J49" s="1" t="s">
        <v>56</v>
      </c>
      <c r="K49" s="1" t="n">
        <v>691.11</v>
      </c>
    </row>
    <row r="50" customFormat="false" ht="15" hidden="false" customHeight="true" outlineLevel="0" collapsed="false">
      <c r="J50" s="1" t="s">
        <v>72</v>
      </c>
      <c r="K50" s="1" t="n">
        <v>664.62</v>
      </c>
    </row>
    <row r="51" customFormat="false" ht="15" hidden="false" customHeight="true" outlineLevel="0" collapsed="false">
      <c r="J51" s="1" t="s">
        <v>88</v>
      </c>
      <c r="K51" s="1" t="n">
        <v>13706.25</v>
      </c>
    </row>
    <row r="52" customFormat="false" ht="15" hidden="false" customHeight="true" outlineLevel="0" collapsed="false">
      <c r="J52" s="1" t="s">
        <v>50</v>
      </c>
      <c r="K52" s="1" t="n">
        <v>3666.91</v>
      </c>
    </row>
    <row r="53" customFormat="false" ht="15" hidden="false" customHeight="true" outlineLevel="0" collapsed="false">
      <c r="J53" s="1" t="s">
        <v>86</v>
      </c>
      <c r="K53" s="1" t="n">
        <v>50000</v>
      </c>
    </row>
    <row r="54" customFormat="false" ht="15" hidden="false" customHeight="true" outlineLevel="0" collapsed="false">
      <c r="J54" s="1" t="s">
        <v>51</v>
      </c>
      <c r="K54" s="1" t="n">
        <v>27996.15</v>
      </c>
    </row>
    <row r="55" customFormat="false" ht="15" hidden="false" customHeight="true" outlineLevel="0" collapsed="false">
      <c r="J55" s="1" t="s">
        <v>62</v>
      </c>
      <c r="K55" s="1" t="n">
        <v>373.59</v>
      </c>
    </row>
    <row r="56" customFormat="false" ht="15" hidden="false" customHeight="true" outlineLevel="0" collapsed="false">
      <c r="J56" s="1" t="s">
        <v>64</v>
      </c>
      <c r="K56" s="1" t="n">
        <v>398.66</v>
      </c>
    </row>
    <row r="57" customFormat="false" ht="15" hidden="false" customHeight="true" outlineLevel="0" collapsed="false">
      <c r="J57" s="1" t="s">
        <v>96</v>
      </c>
      <c r="K57" s="1" t="n">
        <v>98135.45</v>
      </c>
    </row>
    <row r="58" customFormat="false" ht="15" hidden="false" customHeight="true" outlineLevel="0" collapsed="false">
      <c r="J58" s="1" t="s">
        <v>77</v>
      </c>
      <c r="K58" s="1" t="n">
        <v>2433.39</v>
      </c>
    </row>
    <row r="59" customFormat="false" ht="15" hidden="false" customHeight="true" outlineLevel="0" collapsed="false">
      <c r="J59" s="1" t="s">
        <v>26</v>
      </c>
      <c r="K59" s="1" t="n">
        <v>55264.27</v>
      </c>
    </row>
    <row r="60" customFormat="false" ht="15" hidden="false" customHeight="true" outlineLevel="0" collapsed="false">
      <c r="J60" s="1" t="s">
        <v>65</v>
      </c>
      <c r="K60" s="1" t="n">
        <v>135.03</v>
      </c>
    </row>
    <row r="61" customFormat="false" ht="15" hidden="false" customHeight="true" outlineLevel="0" collapsed="false">
      <c r="J61" s="1" t="s">
        <v>78</v>
      </c>
      <c r="K61" s="1" t="n">
        <v>364</v>
      </c>
    </row>
    <row r="62" customFormat="false" ht="15" hidden="false" customHeight="true" outlineLevel="0" collapsed="false">
      <c r="J62" s="1" t="s">
        <v>29</v>
      </c>
      <c r="K62" s="1" t="n">
        <v>5727</v>
      </c>
    </row>
    <row r="63" customFormat="false" ht="15" hidden="false" customHeight="true" outlineLevel="0" collapsed="false">
      <c r="J63" s="1" t="s">
        <v>95</v>
      </c>
      <c r="K63" s="1" t="n">
        <v>1604.6</v>
      </c>
    </row>
    <row r="64" customFormat="false" ht="15" hidden="false" customHeight="true" outlineLevel="0" collapsed="false">
      <c r="J64" s="1" t="s">
        <v>91</v>
      </c>
      <c r="K64" s="1" t="n">
        <v>2448</v>
      </c>
    </row>
    <row r="65" customFormat="false" ht="15" hidden="false" customHeight="true" outlineLevel="0" collapsed="false">
      <c r="J65" s="1" t="s">
        <v>49</v>
      </c>
      <c r="K65" s="1" t="n">
        <v>2481.82</v>
      </c>
    </row>
    <row r="66" customFormat="false" ht="15" hidden="false" customHeight="true" outlineLevel="0" collapsed="false">
      <c r="J66" s="1" t="s">
        <v>59</v>
      </c>
      <c r="K66" s="1" t="n">
        <v>3451.34</v>
      </c>
    </row>
    <row r="67" customFormat="false" ht="15" hidden="false" customHeight="true" outlineLevel="0" collapsed="false">
      <c r="J67" s="1" t="s">
        <v>79</v>
      </c>
      <c r="K67" s="1" t="n">
        <v>618.73</v>
      </c>
    </row>
    <row r="68" customFormat="false" ht="15" hidden="false" customHeight="true" outlineLevel="0" collapsed="false">
      <c r="J68" s="1" t="s">
        <v>54</v>
      </c>
      <c r="K68" s="1" t="n">
        <v>940.13</v>
      </c>
    </row>
    <row r="69" customFormat="false" ht="15" hidden="false" customHeight="true" outlineLevel="0" collapsed="false">
      <c r="J69" s="1" t="s">
        <v>69</v>
      </c>
      <c r="K69" s="1" t="n">
        <v>303.41</v>
      </c>
    </row>
  </sheetData>
  <mergeCells count="11">
    <mergeCell ref="B2:F2"/>
    <mergeCell ref="B3:F3"/>
    <mergeCell ref="B5:C5"/>
    <mergeCell ref="E5:F5"/>
    <mergeCell ref="B11:F11"/>
    <mergeCell ref="B12:E12"/>
    <mergeCell ref="B13:E13"/>
    <mergeCell ref="B14:E14"/>
    <mergeCell ref="B15:E15"/>
    <mergeCell ref="B16:E16"/>
    <mergeCell ref="B18:F18"/>
  </mergeCells>
  <dataValidations count="1">
    <dataValidation allowBlank="true" errorStyle="stop" operator="between" showDropDown="false" showErrorMessage="false" showInputMessage="false" sqref="F9" type="list">
      <formula1>$J$2:$J$69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6" min="3" style="1" width="14"/>
    <col collapsed="false" customWidth="true" hidden="false" outlineLevel="0" max="8" min="7" style="1" width="16"/>
  </cols>
  <sheetData>
    <row r="2" customFormat="false" ht="19.5" hidden="false" customHeight="true" outlineLevel="0" collapsed="false">
      <c r="B2" s="9" t="s">
        <v>1157</v>
      </c>
      <c r="C2" s="9"/>
      <c r="D2" s="9"/>
      <c r="E2" s="9"/>
      <c r="F2" s="9"/>
      <c r="G2" s="9"/>
      <c r="H2" s="9"/>
    </row>
    <row r="3" customFormat="false" ht="15" hidden="false" customHeight="true" outlineLevel="0" collapsed="false">
      <c r="B3" s="33" t="s">
        <v>1158</v>
      </c>
      <c r="C3" s="33"/>
      <c r="D3" s="33"/>
      <c r="E3" s="33"/>
      <c r="F3" s="33"/>
      <c r="G3" s="33"/>
      <c r="H3" s="33"/>
    </row>
    <row r="5" customFormat="false" ht="26.25" hidden="false" customHeight="true" outlineLevel="0" collapsed="false">
      <c r="B5" s="10" t="s">
        <v>1159</v>
      </c>
      <c r="C5" s="10" t="s">
        <v>1160</v>
      </c>
      <c r="D5" s="10" t="s">
        <v>1161</v>
      </c>
      <c r="E5" s="10" t="s">
        <v>1162</v>
      </c>
      <c r="F5" s="10" t="s">
        <v>1163</v>
      </c>
      <c r="G5" s="10" t="s">
        <v>1164</v>
      </c>
      <c r="H5" s="10" t="s">
        <v>957</v>
      </c>
    </row>
    <row r="6" customFormat="false" ht="15" hidden="false" customHeight="true" outlineLevel="0" collapsed="false">
      <c r="B6" s="74" t="s">
        <v>1165</v>
      </c>
      <c r="C6" s="75" t="n">
        <v>500</v>
      </c>
      <c r="D6" s="75" t="n">
        <v>480</v>
      </c>
      <c r="E6" s="75" t="n">
        <v>8</v>
      </c>
      <c r="F6" s="76" t="n">
        <f aca="false">IF(C6=0,"",D6/C6)</f>
        <v>0.96</v>
      </c>
      <c r="G6" s="64" t="n">
        <v>12.5</v>
      </c>
      <c r="H6" s="77" t="str">
        <f aca="false">IF(C6="","",IF(D6&gt;=C6,"Meta atingida",IF(D6&gt;=C6*0.8,"Quase lá","Abaixo da meta")))</f>
        <v>Quase lá</v>
      </c>
    </row>
    <row r="7" customFormat="false" ht="15" hidden="false" customHeight="true" outlineLevel="0" collapsed="false">
      <c r="B7" s="74" t="s">
        <v>1166</v>
      </c>
      <c r="C7" s="75" t="n">
        <v>300</v>
      </c>
      <c r="D7" s="75" t="n">
        <v>300</v>
      </c>
      <c r="E7" s="75" t="n">
        <v>2</v>
      </c>
      <c r="F7" s="76" t="n">
        <f aca="false">IF(C7=0,"",D7/C7)</f>
        <v>1</v>
      </c>
      <c r="G7" s="64" t="n">
        <v>22</v>
      </c>
      <c r="H7" s="77" t="str">
        <f aca="false">IF(C7="","",IF(D7&gt;=C7,"Meta atingida",IF(D7&gt;=C7*0.8,"Quase lá","Abaixo da meta")))</f>
        <v>Meta atingida</v>
      </c>
    </row>
    <row r="8" customFormat="false" ht="15" hidden="false" customHeight="true" outlineLevel="0" collapsed="false">
      <c r="B8" s="74" t="s">
        <v>1167</v>
      </c>
      <c r="C8" s="75" t="n">
        <v>200</v>
      </c>
      <c r="D8" s="75" t="n">
        <v>140</v>
      </c>
      <c r="E8" s="75" t="n">
        <v>5</v>
      </c>
      <c r="F8" s="76" t="n">
        <f aca="false">IF(C8=0,"",D8/C8)</f>
        <v>0.7</v>
      </c>
      <c r="G8" s="64" t="n">
        <v>18.75</v>
      </c>
      <c r="H8" s="77" t="str">
        <f aca="false">IF(C8="","",IF(D8&gt;=C8,"Meta atingida",IF(D8&gt;=C8*0.8,"Quase lá","Abaixo da meta")))</f>
        <v>Abaixo da meta</v>
      </c>
    </row>
    <row r="9" customFormat="false" ht="15" hidden="false" customHeight="true" outlineLevel="0" collapsed="false">
      <c r="B9" s="74" t="s">
        <v>1168</v>
      </c>
      <c r="C9" s="75" t="n">
        <v>600</v>
      </c>
      <c r="D9" s="75" t="n">
        <v>520</v>
      </c>
      <c r="E9" s="75" t="n">
        <v>10</v>
      </c>
      <c r="F9" s="76" t="n">
        <f aca="false">IF(C9=0,"",D9/C9)</f>
        <v>0.866666666666667</v>
      </c>
      <c r="G9" s="64" t="n">
        <v>8.3</v>
      </c>
      <c r="H9" s="77" t="str">
        <f aca="false">IF(C9="","",IF(D9&gt;=C9,"Meta atingida",IF(D9&gt;=C9*0.8,"Quase lá","Abaixo da meta")))</f>
        <v>Quase lá</v>
      </c>
    </row>
    <row r="10" customFormat="false" ht="15" hidden="false" customHeight="true" outlineLevel="0" collapsed="false">
      <c r="B10" s="74"/>
      <c r="C10" s="75"/>
      <c r="D10" s="75"/>
      <c r="E10" s="75"/>
      <c r="F10" s="76" t="str">
        <f aca="false">IF(C10=0,"",D10/C10)</f>
        <v/>
      </c>
      <c r="G10" s="64"/>
      <c r="H10" s="77" t="str">
        <f aca="false">IF(C10="","",IF(D10&gt;=C10,"Meta atingida",IF(D10&gt;=C10*0.8,"Quase lá","Abaixo da meta")))</f>
        <v/>
      </c>
    </row>
    <row r="11" customFormat="false" ht="15" hidden="false" customHeight="true" outlineLevel="0" collapsed="false">
      <c r="B11" s="74"/>
      <c r="C11" s="75"/>
      <c r="D11" s="75"/>
      <c r="E11" s="75"/>
      <c r="F11" s="76" t="str">
        <f aca="false">IF(C11=0,"",D11/C11)</f>
        <v/>
      </c>
      <c r="G11" s="64"/>
      <c r="H11" s="77" t="str">
        <f aca="false">IF(C11="","",IF(D11&gt;=C11,"Meta atingida",IF(D11&gt;=C11*0.8,"Quase lá","Abaixo da meta")))</f>
        <v/>
      </c>
    </row>
    <row r="12" customFormat="false" ht="15" hidden="false" customHeight="true" outlineLevel="0" collapsed="false">
      <c r="B12" s="74"/>
      <c r="C12" s="75"/>
      <c r="D12" s="75"/>
      <c r="E12" s="75"/>
      <c r="F12" s="76" t="str">
        <f aca="false">IF(C12=0,"",D12/C12)</f>
        <v/>
      </c>
      <c r="G12" s="64"/>
      <c r="H12" s="77" t="str">
        <f aca="false">IF(C12="","",IF(D12&gt;=C12,"Meta atingida",IF(D12&gt;=C12*0.8,"Quase lá","Abaixo da meta")))</f>
        <v/>
      </c>
    </row>
    <row r="13" customFormat="false" ht="15" hidden="false" customHeight="true" outlineLevel="0" collapsed="false">
      <c r="B13" s="74"/>
      <c r="C13" s="75"/>
      <c r="D13" s="75"/>
      <c r="E13" s="75"/>
      <c r="F13" s="76" t="str">
        <f aca="false">IF(C13=0,"",D13/C13)</f>
        <v/>
      </c>
      <c r="G13" s="64"/>
      <c r="H13" s="77" t="str">
        <f aca="false">IF(C13="","",IF(D13&gt;=C13,"Meta atingida",IF(D13&gt;=C13*0.8,"Quase lá","Abaixo da meta")))</f>
        <v/>
      </c>
    </row>
    <row r="14" customFormat="false" ht="15" hidden="false" customHeight="true" outlineLevel="0" collapsed="false">
      <c r="B14" s="74"/>
      <c r="C14" s="75"/>
      <c r="D14" s="75"/>
      <c r="E14" s="75"/>
      <c r="F14" s="76" t="str">
        <f aca="false">IF(C14=0,"",D14/C14)</f>
        <v/>
      </c>
      <c r="G14" s="64"/>
      <c r="H14" s="77" t="str">
        <f aca="false">IF(C14="","",IF(D14&gt;=C14,"Meta atingida",IF(D14&gt;=C14*0.8,"Quase lá","Abaixo da meta")))</f>
        <v/>
      </c>
    </row>
    <row r="15" customFormat="false" ht="15" hidden="false" customHeight="true" outlineLevel="0" collapsed="false">
      <c r="B15" s="74"/>
      <c r="C15" s="75"/>
      <c r="D15" s="75"/>
      <c r="E15" s="75"/>
      <c r="F15" s="76" t="str">
        <f aca="false">IF(C15=0,"",D15/C15)</f>
        <v/>
      </c>
      <c r="G15" s="64"/>
      <c r="H15" s="77" t="str">
        <f aca="false">IF(C15="","",IF(D15&gt;=C15,"Meta atingida",IF(D15&gt;=C15*0.8,"Quase lá","Abaixo da meta")))</f>
        <v/>
      </c>
    </row>
    <row r="16" customFormat="false" ht="15" hidden="false" customHeight="true" outlineLevel="0" collapsed="false">
      <c r="B16" s="74"/>
      <c r="C16" s="75"/>
      <c r="D16" s="75"/>
      <c r="E16" s="75"/>
      <c r="F16" s="76" t="str">
        <f aca="false">IF(C16=0,"",D16/C16)</f>
        <v/>
      </c>
      <c r="G16" s="64"/>
      <c r="H16" s="77" t="str">
        <f aca="false">IF(C16="","",IF(D16&gt;=C16,"Meta atingida",IF(D16&gt;=C16*0.8,"Quase lá","Abaixo da meta")))</f>
        <v/>
      </c>
    </row>
    <row r="17" customFormat="false" ht="15" hidden="false" customHeight="true" outlineLevel="0" collapsed="false">
      <c r="B17" s="74"/>
      <c r="C17" s="75"/>
      <c r="D17" s="75"/>
      <c r="E17" s="75"/>
      <c r="F17" s="76" t="str">
        <f aca="false">IF(C17=0,"",D17/C17)</f>
        <v/>
      </c>
      <c r="G17" s="64"/>
      <c r="H17" s="77" t="str">
        <f aca="false">IF(C17="","",IF(D17&gt;=C17,"Meta atingida",IF(D17&gt;=C17*0.8,"Quase lá","Abaixo da meta")))</f>
        <v/>
      </c>
    </row>
    <row r="18" customFormat="false" ht="15" hidden="false" customHeight="true" outlineLevel="0" collapsed="false">
      <c r="B18" s="74"/>
      <c r="C18" s="75"/>
      <c r="D18" s="75"/>
      <c r="E18" s="75"/>
      <c r="F18" s="76" t="str">
        <f aca="false">IF(C18=0,"",D18/C18)</f>
        <v/>
      </c>
      <c r="G18" s="64"/>
      <c r="H18" s="77" t="str">
        <f aca="false">IF(C18="","",IF(D18&gt;=C18,"Meta atingida",IF(D18&gt;=C18*0.8,"Quase lá","Abaixo da meta")))</f>
        <v/>
      </c>
    </row>
    <row r="19" customFormat="false" ht="15" hidden="false" customHeight="true" outlineLevel="0" collapsed="false">
      <c r="B19" s="74"/>
      <c r="C19" s="75"/>
      <c r="D19" s="75"/>
      <c r="E19" s="75"/>
      <c r="F19" s="76" t="str">
        <f aca="false">IF(C19=0,"",D19/C19)</f>
        <v/>
      </c>
      <c r="G19" s="64"/>
      <c r="H19" s="77" t="str">
        <f aca="false">IF(C19="","",IF(D19&gt;=C19,"Meta atingida",IF(D19&gt;=C19*0.8,"Quase lá","Abaixo da meta")))</f>
        <v/>
      </c>
    </row>
    <row r="20" customFormat="false" ht="15" hidden="false" customHeight="true" outlineLevel="0" collapsed="false">
      <c r="B20" s="74"/>
      <c r="C20" s="75"/>
      <c r="D20" s="75"/>
      <c r="E20" s="75"/>
      <c r="F20" s="76" t="str">
        <f aca="false">IF(C20=0,"",D20/C20)</f>
        <v/>
      </c>
      <c r="G20" s="64"/>
      <c r="H20" s="77" t="str">
        <f aca="false">IF(C20="","",IF(D20&gt;=C20,"Meta atingida",IF(D20&gt;=C20*0.8,"Quase lá","Abaixo da meta")))</f>
        <v/>
      </c>
    </row>
    <row r="21" customFormat="false" ht="15" hidden="false" customHeight="true" outlineLevel="0" collapsed="false">
      <c r="B21" s="74"/>
      <c r="C21" s="75"/>
      <c r="D21" s="75"/>
      <c r="E21" s="75"/>
      <c r="F21" s="76" t="str">
        <f aca="false">IF(C21=0,"",D21/C21)</f>
        <v/>
      </c>
      <c r="G21" s="64"/>
      <c r="H21" s="77" t="str">
        <f aca="false">IF(C21="","",IF(D21&gt;=C21,"Meta atingida",IF(D21&gt;=C21*0.8,"Quase lá","Abaixo da meta")))</f>
        <v/>
      </c>
    </row>
    <row r="22" customFormat="false" ht="15" hidden="false" customHeight="true" outlineLevel="0" collapsed="false">
      <c r="B22" s="74"/>
      <c r="C22" s="75"/>
      <c r="D22" s="75"/>
      <c r="E22" s="75"/>
      <c r="F22" s="76" t="str">
        <f aca="false">IF(C22=0,"",D22/C22)</f>
        <v/>
      </c>
      <c r="G22" s="64"/>
      <c r="H22" s="77" t="str">
        <f aca="false">IF(C22="","",IF(D22&gt;=C22,"Meta atingida",IF(D22&gt;=C22*0.8,"Quase lá","Abaixo da meta")))</f>
        <v/>
      </c>
    </row>
    <row r="23" customFormat="false" ht="15" hidden="false" customHeight="true" outlineLevel="0" collapsed="false">
      <c r="B23" s="74"/>
      <c r="C23" s="75"/>
      <c r="D23" s="75"/>
      <c r="E23" s="75"/>
      <c r="F23" s="76" t="str">
        <f aca="false">IF(C23=0,"",D23/C23)</f>
        <v/>
      </c>
      <c r="G23" s="64"/>
      <c r="H23" s="77" t="str">
        <f aca="false">IF(C23="","",IF(D23&gt;=C23,"Meta atingida",IF(D23&gt;=C23*0.8,"Quase lá","Abaixo da meta")))</f>
        <v/>
      </c>
    </row>
    <row r="24" customFormat="false" ht="15" hidden="false" customHeight="true" outlineLevel="0" collapsed="false">
      <c r="B24" s="74"/>
      <c r="C24" s="75"/>
      <c r="D24" s="75"/>
      <c r="E24" s="75"/>
      <c r="F24" s="76" t="str">
        <f aca="false">IF(C24=0,"",D24/C24)</f>
        <v/>
      </c>
      <c r="G24" s="64"/>
      <c r="H24" s="77" t="str">
        <f aca="false">IF(C24="","",IF(D24&gt;=C24,"Meta atingida",IF(D24&gt;=C24*0.8,"Quase lá","Abaixo da meta")))</f>
        <v/>
      </c>
    </row>
    <row r="25" customFormat="false" ht="15" hidden="false" customHeight="true" outlineLevel="0" collapsed="false">
      <c r="B25" s="74"/>
      <c r="C25" s="75"/>
      <c r="D25" s="75"/>
      <c r="E25" s="75"/>
      <c r="F25" s="76" t="str">
        <f aca="false">IF(C25=0,"",D25/C25)</f>
        <v/>
      </c>
      <c r="G25" s="64"/>
      <c r="H25" s="77" t="str">
        <f aca="false">IF(C25="","",IF(D25&gt;=C25,"Meta atingida",IF(D25&gt;=C25*0.8,"Quase lá","Abaixo da meta")))</f>
        <v/>
      </c>
    </row>
    <row r="26" customFormat="false" ht="15" hidden="false" customHeight="true" outlineLevel="0" collapsed="false">
      <c r="B26" s="74"/>
      <c r="C26" s="75"/>
      <c r="D26" s="75"/>
      <c r="E26" s="75"/>
      <c r="F26" s="76" t="str">
        <f aca="false">IF(C26=0,"",D26/C26)</f>
        <v/>
      </c>
      <c r="G26" s="64"/>
      <c r="H26" s="77" t="str">
        <f aca="false">IF(C26="","",IF(D26&gt;=C26,"Meta atingida",IF(D26&gt;=C26*0.8,"Quase lá","Abaixo da meta")))</f>
        <v/>
      </c>
    </row>
    <row r="27" customFormat="false" ht="15" hidden="false" customHeight="true" outlineLevel="0" collapsed="false">
      <c r="B27" s="74"/>
      <c r="C27" s="75"/>
      <c r="D27" s="75"/>
      <c r="E27" s="75"/>
      <c r="F27" s="76" t="str">
        <f aca="false">IF(C27=0,"",D27/C27)</f>
        <v/>
      </c>
      <c r="G27" s="64"/>
      <c r="H27" s="77" t="str">
        <f aca="false">IF(C27="","",IF(D27&gt;=C27,"Meta atingida",IF(D27&gt;=C27*0.8,"Quase lá","Abaixo da meta")))</f>
        <v/>
      </c>
    </row>
    <row r="28" customFormat="false" ht="15" hidden="false" customHeight="true" outlineLevel="0" collapsed="false">
      <c r="B28" s="74"/>
      <c r="C28" s="75"/>
      <c r="D28" s="75"/>
      <c r="E28" s="75"/>
      <c r="F28" s="76" t="str">
        <f aca="false">IF(C28=0,"",D28/C28)</f>
        <v/>
      </c>
      <c r="G28" s="64"/>
      <c r="H28" s="77" t="str">
        <f aca="false">IF(C28="","",IF(D28&gt;=C28,"Meta atingida",IF(D28&gt;=C28*0.8,"Quase lá","Abaixo da meta")))</f>
        <v/>
      </c>
    </row>
    <row r="29" customFormat="false" ht="15" hidden="false" customHeight="true" outlineLevel="0" collapsed="false">
      <c r="B29" s="74"/>
      <c r="C29" s="75"/>
      <c r="D29" s="75"/>
      <c r="E29" s="75"/>
      <c r="F29" s="76" t="str">
        <f aca="false">IF(C29=0,"",D29/C29)</f>
        <v/>
      </c>
      <c r="G29" s="64"/>
      <c r="H29" s="77" t="str">
        <f aca="false">IF(C29="","",IF(D29&gt;=C29,"Meta atingida",IF(D29&gt;=C29*0.8,"Quase lá","Abaixo da meta")))</f>
        <v/>
      </c>
    </row>
    <row r="30" customFormat="false" ht="15" hidden="false" customHeight="true" outlineLevel="0" collapsed="false">
      <c r="B30" s="74"/>
      <c r="C30" s="75"/>
      <c r="D30" s="75"/>
      <c r="E30" s="75"/>
      <c r="F30" s="76" t="str">
        <f aca="false">IF(C30=0,"",D30/C30)</f>
        <v/>
      </c>
      <c r="G30" s="64"/>
      <c r="H30" s="77" t="str">
        <f aca="false">IF(C30="","",IF(D30&gt;=C30,"Meta atingida",IF(D30&gt;=C30*0.8,"Quase lá","Abaixo da meta")))</f>
        <v/>
      </c>
    </row>
    <row r="31" customFormat="false" ht="15" hidden="false" customHeight="true" outlineLevel="0" collapsed="false">
      <c r="B31" s="74"/>
      <c r="C31" s="75"/>
      <c r="D31" s="75"/>
      <c r="E31" s="75"/>
      <c r="F31" s="76" t="str">
        <f aca="false">IF(C31=0,"",D31/C31)</f>
        <v/>
      </c>
      <c r="G31" s="64"/>
      <c r="H31" s="77" t="str">
        <f aca="false">IF(C31="","",IF(D31&gt;=C31,"Meta atingida",IF(D31&gt;=C31*0.8,"Quase lá","Abaixo da meta")))</f>
        <v/>
      </c>
    </row>
    <row r="32" customFormat="false" ht="15" hidden="false" customHeight="true" outlineLevel="0" collapsed="false">
      <c r="B32" s="74"/>
      <c r="C32" s="75"/>
      <c r="D32" s="75"/>
      <c r="E32" s="75"/>
      <c r="F32" s="76" t="str">
        <f aca="false">IF(C32=0,"",D32/C32)</f>
        <v/>
      </c>
      <c r="G32" s="64"/>
      <c r="H32" s="77" t="str">
        <f aca="false">IF(C32="","",IF(D32&gt;=C32,"Meta atingida",IF(D32&gt;=C32*0.8,"Quase lá","Abaixo da meta")))</f>
        <v/>
      </c>
    </row>
    <row r="33" customFormat="false" ht="15" hidden="false" customHeight="true" outlineLevel="0" collapsed="false">
      <c r="B33" s="74"/>
      <c r="C33" s="75"/>
      <c r="D33" s="75"/>
      <c r="E33" s="75"/>
      <c r="F33" s="76" t="str">
        <f aca="false">IF(C33=0,"",D33/C33)</f>
        <v/>
      </c>
      <c r="G33" s="64"/>
      <c r="H33" s="77" t="str">
        <f aca="false">IF(C33="","",IF(D33&gt;=C33,"Meta atingida",IF(D33&gt;=C33*0.8,"Quase lá","Abaixo da meta")))</f>
        <v/>
      </c>
    </row>
    <row r="34" customFormat="false" ht="15" hidden="false" customHeight="true" outlineLevel="0" collapsed="false">
      <c r="B34" s="74"/>
      <c r="C34" s="75"/>
      <c r="D34" s="75"/>
      <c r="E34" s="75"/>
      <c r="F34" s="76" t="str">
        <f aca="false">IF(C34=0,"",D34/C34)</f>
        <v/>
      </c>
      <c r="G34" s="64"/>
      <c r="H34" s="77" t="str">
        <f aca="false">IF(C34="","",IF(D34&gt;=C34,"Meta atingida",IF(D34&gt;=C34*0.8,"Quase lá","Abaixo da meta")))</f>
        <v/>
      </c>
    </row>
    <row r="35" customFormat="false" ht="15" hidden="false" customHeight="true" outlineLevel="0" collapsed="false">
      <c r="B35" s="74"/>
      <c r="C35" s="75"/>
      <c r="D35" s="75"/>
      <c r="E35" s="75"/>
      <c r="F35" s="76" t="str">
        <f aca="false">IF(C35=0,"",D35/C35)</f>
        <v/>
      </c>
      <c r="G35" s="64"/>
      <c r="H35" s="77" t="str">
        <f aca="false">IF(C35="","",IF(D35&gt;=C35,"Meta atingida",IF(D35&gt;=C35*0.8,"Quase lá","Abaixo da meta")))</f>
        <v/>
      </c>
    </row>
    <row r="36" customFormat="false" ht="15" hidden="false" customHeight="true" outlineLevel="0" collapsed="false">
      <c r="B36" s="74"/>
      <c r="C36" s="75"/>
      <c r="D36" s="75"/>
      <c r="E36" s="75"/>
      <c r="F36" s="76" t="str">
        <f aca="false">IF(C36=0,"",D36/C36)</f>
        <v/>
      </c>
      <c r="G36" s="64"/>
      <c r="H36" s="77" t="str">
        <f aca="false">IF(C36="","",IF(D36&gt;=C36,"Meta atingida",IF(D36&gt;=C36*0.8,"Quase lá","Abaixo da meta")))</f>
        <v/>
      </c>
    </row>
    <row r="37" customFormat="false" ht="15" hidden="false" customHeight="true" outlineLevel="0" collapsed="false">
      <c r="B37" s="74"/>
      <c r="C37" s="75"/>
      <c r="D37" s="75"/>
      <c r="E37" s="75"/>
      <c r="F37" s="76" t="str">
        <f aca="false">IF(C37=0,"",D37/C37)</f>
        <v/>
      </c>
      <c r="G37" s="64"/>
      <c r="H37" s="77" t="str">
        <f aca="false">IF(C37="","",IF(D37&gt;=C37,"Meta atingida",IF(D37&gt;=C37*0.8,"Quase lá","Abaixo da meta")))</f>
        <v/>
      </c>
    </row>
    <row r="38" customFormat="false" ht="15" hidden="false" customHeight="true" outlineLevel="0" collapsed="false">
      <c r="B38" s="74"/>
      <c r="C38" s="75"/>
      <c r="D38" s="75"/>
      <c r="E38" s="75"/>
      <c r="F38" s="76" t="str">
        <f aca="false">IF(C38=0,"",D38/C38)</f>
        <v/>
      </c>
      <c r="G38" s="64"/>
      <c r="H38" s="77" t="str">
        <f aca="false">IF(C38="","",IF(D38&gt;=C38,"Meta atingida",IF(D38&gt;=C38*0.8,"Quase lá","Abaixo da meta")))</f>
        <v/>
      </c>
    </row>
    <row r="39" customFormat="false" ht="15" hidden="false" customHeight="true" outlineLevel="0" collapsed="false">
      <c r="B39" s="74"/>
      <c r="C39" s="75"/>
      <c r="D39" s="75"/>
      <c r="E39" s="75"/>
      <c r="F39" s="76" t="str">
        <f aca="false">IF(C39=0,"",D39/C39)</f>
        <v/>
      </c>
      <c r="G39" s="64"/>
      <c r="H39" s="77" t="str">
        <f aca="false">IF(C39="","",IF(D39&gt;=C39,"Meta atingida",IF(D39&gt;=C39*0.8,"Quase lá","Abaixo da meta")))</f>
        <v/>
      </c>
    </row>
    <row r="40" customFormat="false" ht="15" hidden="false" customHeight="true" outlineLevel="0" collapsed="false">
      <c r="B40" s="74"/>
      <c r="C40" s="75"/>
      <c r="D40" s="75"/>
      <c r="E40" s="75"/>
      <c r="F40" s="76" t="str">
        <f aca="false">IF(C40=0,"",D40/C40)</f>
        <v/>
      </c>
      <c r="G40" s="64"/>
      <c r="H40" s="77" t="str">
        <f aca="false">IF(C40="","",IF(D40&gt;=C40,"Meta atingida",IF(D40&gt;=C40*0.8,"Quase lá","Abaixo da meta")))</f>
        <v/>
      </c>
    </row>
    <row r="41" customFormat="false" ht="15" hidden="false" customHeight="true" outlineLevel="0" collapsed="false">
      <c r="B41" s="74"/>
      <c r="C41" s="75"/>
      <c r="D41" s="75"/>
      <c r="E41" s="75"/>
      <c r="F41" s="76" t="str">
        <f aca="false">IF(C41=0,"",D41/C41)</f>
        <v/>
      </c>
      <c r="G41" s="64"/>
      <c r="H41" s="77" t="str">
        <f aca="false">IF(C41="","",IF(D41&gt;=C41,"Meta atingida",IF(D41&gt;=C41*0.8,"Quase lá","Abaixo da meta")))</f>
        <v/>
      </c>
    </row>
    <row r="42" customFormat="false" ht="15" hidden="false" customHeight="true" outlineLevel="0" collapsed="false">
      <c r="B42" s="74"/>
      <c r="C42" s="75"/>
      <c r="D42" s="75"/>
      <c r="E42" s="75"/>
      <c r="F42" s="76" t="str">
        <f aca="false">IF(C42=0,"",D42/C42)</f>
        <v/>
      </c>
      <c r="G42" s="64"/>
      <c r="H42" s="77" t="str">
        <f aca="false">IF(C42="","",IF(D42&gt;=C42,"Meta atingida",IF(D42&gt;=C42*0.8,"Quase lá","Abaixo da meta")))</f>
        <v/>
      </c>
    </row>
    <row r="43" customFormat="false" ht="15" hidden="false" customHeight="true" outlineLevel="0" collapsed="false">
      <c r="B43" s="74"/>
      <c r="C43" s="75"/>
      <c r="D43" s="75"/>
      <c r="E43" s="75"/>
      <c r="F43" s="76" t="str">
        <f aca="false">IF(C43=0,"",D43/C43)</f>
        <v/>
      </c>
      <c r="G43" s="64"/>
      <c r="H43" s="77" t="str">
        <f aca="false">IF(C43="","",IF(D43&gt;=C43,"Meta atingida",IF(D43&gt;=C43*0.8,"Quase lá","Abaixo da meta")))</f>
        <v/>
      </c>
    </row>
    <row r="44" customFormat="false" ht="15" hidden="false" customHeight="true" outlineLevel="0" collapsed="false">
      <c r="B44" s="74"/>
      <c r="C44" s="75"/>
      <c r="D44" s="75"/>
      <c r="E44" s="75"/>
      <c r="F44" s="76" t="str">
        <f aca="false">IF(C44=0,"",D44/C44)</f>
        <v/>
      </c>
      <c r="G44" s="64"/>
      <c r="H44" s="77" t="str">
        <f aca="false">IF(C44="","",IF(D44&gt;=C44,"Meta atingida",IF(D44&gt;=C44*0.8,"Quase lá","Abaixo da meta")))</f>
        <v/>
      </c>
    </row>
    <row r="45" customFormat="false" ht="15" hidden="false" customHeight="true" outlineLevel="0" collapsed="false">
      <c r="B45" s="74"/>
      <c r="C45" s="75"/>
      <c r="D45" s="75"/>
      <c r="E45" s="75"/>
      <c r="F45" s="76" t="str">
        <f aca="false">IF(C45=0,"",D45/C45)</f>
        <v/>
      </c>
      <c r="G45" s="64"/>
      <c r="H45" s="77" t="str">
        <f aca="false">IF(C45="","",IF(D45&gt;=C45,"Meta atingida",IF(D45&gt;=C45*0.8,"Quase lá","Abaixo da meta")))</f>
        <v/>
      </c>
    </row>
    <row r="46" customFormat="false" ht="15" hidden="false" customHeight="true" outlineLevel="0" collapsed="false">
      <c r="B46" s="12" t="s">
        <v>1053</v>
      </c>
      <c r="C46" s="78" t="n">
        <f aca="false">SUM(C6:C45)</f>
        <v>1600</v>
      </c>
      <c r="D46" s="78" t="n">
        <f aca="false">SUM(D6:D45)</f>
        <v>1440</v>
      </c>
      <c r="E46" s="78" t="n">
        <f aca="false">SUM(E6:E45)</f>
        <v>25</v>
      </c>
      <c r="F46" s="79" t="n">
        <f aca="false">IF(C46=0,"",D46/C46)</f>
        <v>0.9</v>
      </c>
      <c r="G46" s="80"/>
      <c r="H46" s="80"/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4"/>
    <col collapsed="false" customWidth="true" hidden="false" outlineLevel="0" max="4" min="4" style="1" width="18"/>
  </cols>
  <sheetData>
    <row r="2" customFormat="false" ht="19.5" hidden="false" customHeight="true" outlineLevel="0" collapsed="false">
      <c r="B2" s="9" t="s">
        <v>1169</v>
      </c>
      <c r="C2" s="9"/>
      <c r="D2" s="9"/>
    </row>
    <row r="3" customFormat="false" ht="15" hidden="false" customHeight="true" outlineLevel="0" collapsed="false">
      <c r="B3" s="33" t="s">
        <v>1170</v>
      </c>
      <c r="C3" s="33"/>
      <c r="D3" s="33"/>
    </row>
    <row r="5" customFormat="false" ht="15" hidden="false" customHeight="true" outlineLevel="0" collapsed="false">
      <c r="B5" s="10" t="s">
        <v>1171</v>
      </c>
      <c r="C5" s="10" t="s">
        <v>1172</v>
      </c>
      <c r="D5" s="10" t="s">
        <v>1173</v>
      </c>
    </row>
    <row r="6" customFormat="false" ht="15" hidden="false" customHeight="true" outlineLevel="0" collapsed="false">
      <c r="B6" s="13" t="s">
        <v>1174</v>
      </c>
      <c r="C6" s="75" t="s">
        <v>1175</v>
      </c>
      <c r="D6" s="81" t="n">
        <f aca="false">IF(C6="Sim",15,0)</f>
        <v>0</v>
      </c>
    </row>
    <row r="7" customFormat="false" ht="15" hidden="false" customHeight="true" outlineLevel="0" collapsed="false">
      <c r="B7" s="13" t="s">
        <v>1176</v>
      </c>
      <c r="C7" s="75" t="s">
        <v>1175</v>
      </c>
      <c r="D7" s="81" t="n">
        <f aca="false">IF(C7="Sim",25,0)</f>
        <v>0</v>
      </c>
    </row>
    <row r="8" customFormat="false" ht="15" hidden="false" customHeight="true" outlineLevel="0" collapsed="false">
      <c r="B8" s="13" t="s">
        <v>1177</v>
      </c>
      <c r="C8" s="75" t="s">
        <v>1175</v>
      </c>
      <c r="D8" s="81" t="n">
        <f aca="false">IF(C8="Sim",15,0)</f>
        <v>0</v>
      </c>
    </row>
    <row r="9" customFormat="false" ht="15" hidden="false" customHeight="true" outlineLevel="0" collapsed="false">
      <c r="B9" s="13" t="s">
        <v>1178</v>
      </c>
      <c r="C9" s="75" t="s">
        <v>1175</v>
      </c>
      <c r="D9" s="81" t="n">
        <f aca="false">IF(C9="Sim",25,0)</f>
        <v>0</v>
      </c>
    </row>
    <row r="10" customFormat="false" ht="15" hidden="false" customHeight="true" outlineLevel="0" collapsed="false">
      <c r="B10" s="13" t="s">
        <v>1179</v>
      </c>
      <c r="C10" s="75" t="s">
        <v>1175</v>
      </c>
      <c r="D10" s="81" t="n">
        <f aca="false">IF(C10="Sim",10,0)</f>
        <v>0</v>
      </c>
    </row>
    <row r="11" customFormat="false" ht="15" hidden="false" customHeight="true" outlineLevel="0" collapsed="false">
      <c r="B11" s="13" t="s">
        <v>1180</v>
      </c>
      <c r="C11" s="75" t="s">
        <v>1175</v>
      </c>
      <c r="D11" s="81" t="n">
        <f aca="false">IF(C11="Sim",10,0)</f>
        <v>0</v>
      </c>
    </row>
    <row r="12" customFormat="false" ht="15" hidden="false" customHeight="true" outlineLevel="0" collapsed="false">
      <c r="B12" s="12" t="s">
        <v>1181</v>
      </c>
      <c r="C12" s="80"/>
      <c r="D12" s="82" t="n">
        <f aca="false">SUM(D6:D11)</f>
        <v>0</v>
      </c>
    </row>
    <row r="14" customFormat="false" ht="45" hidden="false" customHeight="true" outlineLevel="0" collapsed="false">
      <c r="B14" s="73" t="str">
        <f aca="false"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73"/>
      <c r="D14" s="73"/>
    </row>
    <row r="16" customFormat="false" ht="15" hidden="false" customHeight="true" outlineLevel="0" collapsed="false">
      <c r="B16" s="83" t="s">
        <v>1182</v>
      </c>
    </row>
    <row r="17" customFormat="false" ht="15" hidden="false" customHeight="true" outlineLevel="0" collapsed="false">
      <c r="B17" s="84" t="s">
        <v>1183</v>
      </c>
    </row>
    <row r="18" customFormat="false" ht="15" hidden="false" customHeight="true" outlineLevel="0" collapsed="false">
      <c r="B18" s="84" t="s">
        <v>1184</v>
      </c>
    </row>
    <row r="19" customFormat="false" ht="15" hidden="false" customHeight="true" outlineLevel="0" collapsed="false">
      <c r="B19" s="84" t="s">
        <v>1185</v>
      </c>
    </row>
  </sheetData>
  <mergeCells count="3">
    <mergeCell ref="B2:D2"/>
    <mergeCell ref="B3:D3"/>
    <mergeCell ref="B14:D14"/>
  </mergeCells>
  <dataValidations count="1">
    <dataValidation allowBlank="true" errorStyle="stop" operator="between" showDropDown="false" showErrorMessage="false" showInputMessage="false" sqref="C6:C1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2026-06-05T21:45:15Z</dcterms:created>
  <dc:creator>openpyxl</dc:creator>
  <dc:description/>
  <dc:language>en-US</dc:language>
  <cp:lastModifiedBy/>
  <dcterms:modified xsi:type="dcterms:W3CDTF">2026-06-12T01:57:43Z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