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tegorias" sheetId="2" state="visible" r:id="rId4"/>
    <sheet name="Lançamentos" sheetId="3" state="visible" r:id="rId5"/>
    <sheet name="Fluxo de Caixa" sheetId="4" state="visible" r:id="rId6"/>
    <sheet name="DRE" sheetId="5" state="visible" r:id="rId7"/>
    <sheet name="Simulador de Compra" sheetId="6" state="visible" r:id="rId8"/>
    <sheet name="Produção de Peças" sheetId="7" state="visible" r:id="rId9"/>
    <sheet name="Régua de Crédit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<sst xmlns="http://schemas.openxmlformats.org/spreadsheetml/2006/main" count="2911" uniqueCount="893">
  <si>
    <t xml:space="preserve">SISTEMA DE GESTÃO FINANCEIRA</t>
  </si>
  <si>
    <t xml:space="preserve">Confecção · Modelo pronto para uso</t>
  </si>
  <si>
    <t xml:space="preserve">COMO USAR ESTE ARQUIVO</t>
  </si>
  <si>
    <t xml:space="preserve">As células com fundo AMARELO e texto AZUL são as que você preenche.</t>
  </si>
  <si>
    <t xml:space="preserve">Todo o resto é calculado automaticamente. Não precisa mexer.</t>
  </si>
  <si>
    <t xml:space="preserve">ABAS:</t>
  </si>
  <si>
    <t xml:space="preserve">1. Lançamentos  →  registre toda entrada e saída de dinheiro</t>
  </si>
  <si>
    <t xml:space="preserve">2. Fluxo de Caixa  →  resumo mensal automático</t>
  </si>
  <si>
    <t xml:space="preserve">3. DRE  →  resultado (lucro/prejuízo) automático</t>
  </si>
  <si>
    <t xml:space="preserve">4. Simulador de Compra  →  calcula parcela e limite de pagamento</t>
  </si>
  <si>
    <t xml:space="preserve">5. Produção de Peças  →  acompanhe metas e produção</t>
  </si>
  <si>
    <t xml:space="preserve">6. Régua de Crédito  →  decide liberar crédito ou não</t>
  </si>
  <si>
    <t xml:space="preserve">7. Categorias  →  seu plano de contas (pode editar)</t>
  </si>
  <si>
    <t xml:space="preserve">IMPORTANTE — DATAS:</t>
  </si>
  <si>
    <t xml:space="preserve">Na aba Lançamentos, digite a data no formato DD/MM/AAAA (ex.: 05/06/2026).</t>
  </si>
  <si>
    <t xml:space="preserve">Se o fluxo de caixa não somar, é porque a data foi digitada como texto.</t>
  </si>
  <si>
    <t xml:space="preserve">Confira se a célula da data está alinhada à direita (data real), não à esquerda.</t>
  </si>
  <si>
    <t xml:space="preserve">Categorias (Plano de Contas)</t>
  </si>
  <si>
    <t xml:space="preserve">Categoria de RECEITA</t>
  </si>
  <si>
    <t xml:space="preserve">Tipo</t>
  </si>
  <si>
    <t xml:space="preserve">Categoria de DESPESA</t>
  </si>
  <si>
    <t xml:space="preserve">Lista (auto)</t>
  </si>
  <si>
    <t xml:space="preserve">Vendas</t>
  </si>
  <si>
    <t xml:space="preserve">Receita</t>
  </si>
  <si>
    <t xml:space="preserve">Custo de Mercadoria Vendida</t>
  </si>
  <si>
    <t xml:space="preserve">Receita Financeira</t>
  </si>
  <si>
    <t xml:space="preserve">Tecidos</t>
  </si>
  <si>
    <t xml:space="preserve">Outras Receitas</t>
  </si>
  <si>
    <t xml:space="preserve">Lavanderia</t>
  </si>
  <si>
    <t xml:space="preserve">Travete</t>
  </si>
  <si>
    <t xml:space="preserve">Facção</t>
  </si>
  <si>
    <t xml:space="preserve">Acabamento Externo</t>
  </si>
  <si>
    <t xml:space="preserve">Outros Insumos</t>
  </si>
  <si>
    <t xml:space="preserve">Criação de Modelos</t>
  </si>
  <si>
    <t xml:space="preserve">Aviamento</t>
  </si>
  <si>
    <t xml:space="preserve">Etiquetas</t>
  </si>
  <si>
    <t xml:space="preserve">Simples Nacional</t>
  </si>
  <si>
    <t xml:space="preserve">Embalagens</t>
  </si>
  <si>
    <t xml:space="preserve">Bordado Industrial</t>
  </si>
  <si>
    <t xml:space="preserve">Comissão de Assessores</t>
  </si>
  <si>
    <t xml:space="preserve">Bordado Manual</t>
  </si>
  <si>
    <t xml:space="preserve">Comissão de vendedores</t>
  </si>
  <si>
    <t xml:space="preserve">Darf</t>
  </si>
  <si>
    <t xml:space="preserve">Combustíveis</t>
  </si>
  <si>
    <t xml:space="preserve">Manutenção de Máquinas e Peças</t>
  </si>
  <si>
    <t xml:space="preserve">Alimentação</t>
  </si>
  <si>
    <t xml:space="preserve">Manutenção de Veiculos e Estacionamento</t>
  </si>
  <si>
    <t xml:space="preserve">Compra de Computadores e Eletrônicos</t>
  </si>
  <si>
    <t xml:space="preserve">Exame Adminissional/Demissional</t>
  </si>
  <si>
    <t xml:space="preserve">Vale Transporte</t>
  </si>
  <si>
    <t xml:space="preserve">Publicidade</t>
  </si>
  <si>
    <t xml:space="preserve">Salário e Ordenados</t>
  </si>
  <si>
    <t xml:space="preserve">Aluguéis e Condomínios</t>
  </si>
  <si>
    <t xml:space="preserve">Despesa com Sindicatos</t>
  </si>
  <si>
    <t xml:space="preserve">Web Site e Sistema ERP</t>
  </si>
  <si>
    <t xml:space="preserve">Ipva</t>
  </si>
  <si>
    <t xml:space="preserve">Patrocínio</t>
  </si>
  <si>
    <t xml:space="preserve">Material de Copa e Cozinha</t>
  </si>
  <si>
    <t xml:space="preserve">Empréstimos</t>
  </si>
  <si>
    <t xml:space="preserve">Vales e Adiantamentos</t>
  </si>
  <si>
    <t xml:space="preserve">Consulta de Crédito Cliente</t>
  </si>
  <si>
    <t xml:space="preserve">Frete e Transporte de Mercadorias</t>
  </si>
  <si>
    <t xml:space="preserve">Segurança e Monitoramento</t>
  </si>
  <si>
    <t xml:space="preserve">Títulos de Capitalização</t>
  </si>
  <si>
    <t xml:space="preserve">Seguros</t>
  </si>
  <si>
    <t xml:space="preserve">Telefonia Fixa e Internet</t>
  </si>
  <si>
    <t xml:space="preserve">Compra de Veículos</t>
  </si>
  <si>
    <t xml:space="preserve">Material de Limpeza e Higiene</t>
  </si>
  <si>
    <t xml:space="preserve">Energia Elétrica</t>
  </si>
  <si>
    <t xml:space="preserve">Água</t>
  </si>
  <si>
    <t xml:space="preserve">Juros de Empréstimos</t>
  </si>
  <si>
    <t xml:space="preserve">Acertos e Recisões</t>
  </si>
  <si>
    <t xml:space="preserve">Premiações e Abonos</t>
  </si>
  <si>
    <t xml:space="preserve">Despesa não Identificada</t>
  </si>
  <si>
    <t xml:space="preserve">Material de Escritório</t>
  </si>
  <si>
    <t xml:space="preserve">Despesas com Documentos e Xerox</t>
  </si>
  <si>
    <t xml:space="preserve">Honorários Contábeis (Contabilidade)</t>
  </si>
  <si>
    <t xml:space="preserve">Tarifas e Custos de Op. Bancárias</t>
  </si>
  <si>
    <t xml:space="preserve">Telefonia Móvel</t>
  </si>
  <si>
    <t xml:space="preserve">Viagens e estadas</t>
  </si>
  <si>
    <t xml:space="preserve">Multas e Juros por Atraso</t>
  </si>
  <si>
    <t xml:space="preserve">Assessoria Técnica Profissional</t>
  </si>
  <si>
    <t xml:space="preserve">Outros Tributos</t>
  </si>
  <si>
    <t xml:space="preserve">Multas</t>
  </si>
  <si>
    <t xml:space="preserve">Advogados - Honorários</t>
  </si>
  <si>
    <t xml:space="preserve">Fgts, Gps e Pis</t>
  </si>
  <si>
    <t xml:space="preserve">Retiradas de Sócios</t>
  </si>
  <si>
    <t xml:space="preserve">Férias</t>
  </si>
  <si>
    <t xml:space="preserve">Produção Externa</t>
  </si>
  <si>
    <t xml:space="preserve">Consórcio</t>
  </si>
  <si>
    <t xml:space="preserve">Manutenção de Imóveis</t>
  </si>
  <si>
    <t xml:space="preserve">Uniforme e EPIs</t>
  </si>
  <si>
    <t xml:space="preserve">Manutenção de Moveis e Utensílios</t>
  </si>
  <si>
    <t xml:space="preserve">Coquetéis, festas e outros eventos</t>
  </si>
  <si>
    <t xml:space="preserve">Gasto com Reforma</t>
  </si>
  <si>
    <t xml:space="preserve">Tráfego/Social Mídia</t>
  </si>
  <si>
    <t xml:space="preserve">Suspenso (a classificar)</t>
  </si>
  <si>
    <t xml:space="preserve">Outras Despesas</t>
  </si>
  <si>
    <t xml:space="preserve">Lançamentos (Entradas e Saídas)</t>
  </si>
  <si>
    <t xml:space="preserve">Uma linha por movimentação. Digite a Data como DD/MM/AAAA. Tipo e Categoria têm menu.</t>
  </si>
  <si>
    <t xml:space="preserve">Data</t>
  </si>
  <si>
    <t xml:space="preserve">Descrição</t>
  </si>
  <si>
    <t xml:space="preserve">Categoria</t>
  </si>
  <si>
    <t xml:space="preserve">Valor (R$)</t>
  </si>
  <si>
    <t xml:space="preserve">Mês</t>
  </si>
  <si>
    <t xml:space="preserve">Conferido?</t>
  </si>
  <si>
    <t xml:space="preserve">Acabamento Externo - 12/2024</t>
  </si>
  <si>
    <t xml:space="preserve">Saída</t>
  </si>
  <si>
    <t xml:space="preserve">Sim</t>
  </si>
  <si>
    <t xml:space="preserve">Aviamento - 12/2024</t>
  </si>
  <si>
    <t xml:space="preserve">Facção - 12/2024</t>
  </si>
  <si>
    <t xml:space="preserve">Tecidos - 12/2024</t>
  </si>
  <si>
    <t xml:space="preserve">Travete - 12/2024</t>
  </si>
  <si>
    <t xml:space="preserve">Vendas (recebidas) - 01/2025</t>
  </si>
  <si>
    <t xml:space="preserve">Entrada</t>
  </si>
  <si>
    <t xml:space="preserve">Acertos e Recisões - 01/2025</t>
  </si>
  <si>
    <t xml:space="preserve">Advogados - Honorários - 01/2025</t>
  </si>
  <si>
    <t xml:space="preserve">Aluguéis e Condomínios - 01/2025</t>
  </si>
  <si>
    <t xml:space="preserve">Aviamento - 01/2025</t>
  </si>
  <si>
    <t xml:space="preserve">Compra de Veículos - 01/2025</t>
  </si>
  <si>
    <t xml:space="preserve">Empréstimos - 01/2025</t>
  </si>
  <si>
    <t xml:space="preserve">Energia Elétrica - 01/2025</t>
  </si>
  <si>
    <t xml:space="preserve">Etiquetas - 01/2025</t>
  </si>
  <si>
    <t xml:space="preserve">Facção - 01/2025</t>
  </si>
  <si>
    <t xml:space="preserve">Frete e Transporte de Mercadorias - 01/2025</t>
  </si>
  <si>
    <t xml:space="preserve">Férias - 01/2025</t>
  </si>
  <si>
    <t xml:space="preserve">Lavanderia - 01/2025</t>
  </si>
  <si>
    <t xml:space="preserve">Material de Limpeza e Higiene - 01/2025</t>
  </si>
  <si>
    <t xml:space="preserve">Outros Insumos - 01/2025</t>
  </si>
  <si>
    <t xml:space="preserve">Publicidade - 01/2025</t>
  </si>
  <si>
    <t xml:space="preserve">Retiradas de Sócios - 01/2025</t>
  </si>
  <si>
    <t xml:space="preserve">Salário e Ordenados - 01/2025</t>
  </si>
  <si>
    <t xml:space="preserve">Segurança e Monitoramento - 01/2025</t>
  </si>
  <si>
    <t xml:space="preserve">Seguros - 01/2025</t>
  </si>
  <si>
    <t xml:space="preserve">Suspenso (a classificar) - 01/2025</t>
  </si>
  <si>
    <t xml:space="preserve">Tecidos - 01/2025</t>
  </si>
  <si>
    <t xml:space="preserve">Telefonia Fixa e Internet - 01/2025</t>
  </si>
  <si>
    <t xml:space="preserve">Travete - 01/2025</t>
  </si>
  <si>
    <t xml:space="preserve">Vale Transporte - 01/2025</t>
  </si>
  <si>
    <t xml:space="preserve">Vales e Adiantamentos - 01/2025</t>
  </si>
  <si>
    <t xml:space="preserve">Web Site e Sistema ERP - 01/2025</t>
  </si>
  <si>
    <t xml:space="preserve">Água - 01/2025</t>
  </si>
  <si>
    <t xml:space="preserve">Vendas (recebidas) - 02/2025</t>
  </si>
  <si>
    <t xml:space="preserve">Acabamento Externo - 02/2025</t>
  </si>
  <si>
    <t xml:space="preserve">Advogados - Honorários - 02/2025</t>
  </si>
  <si>
    <t xml:space="preserve">Alimentação - 02/2025</t>
  </si>
  <si>
    <t xml:space="preserve">Aluguéis e Condomínios - 02/2025</t>
  </si>
  <si>
    <t xml:space="preserve">Aviamento - 02/2025</t>
  </si>
  <si>
    <t xml:space="preserve">Combustíveis - 02/2025</t>
  </si>
  <si>
    <t xml:space="preserve">Compra de Veículos - 02/2025</t>
  </si>
  <si>
    <t xml:space="preserve">Coquetéis, festas e outros eventos - 02/2025</t>
  </si>
  <si>
    <t xml:space="preserve">Criação de Modelos - 02/2025</t>
  </si>
  <si>
    <t xml:space="preserve">Darf - 02/2025</t>
  </si>
  <si>
    <t xml:space="preserve">Embalagens - 02/2025</t>
  </si>
  <si>
    <t xml:space="preserve">Empréstimos - 02/2025</t>
  </si>
  <si>
    <t xml:space="preserve">Etiquetas - 02/2025</t>
  </si>
  <si>
    <t xml:space="preserve">Exame Adminissional/Demissional - 02/2025</t>
  </si>
  <si>
    <t xml:space="preserve">Facção - 02/2025</t>
  </si>
  <si>
    <t xml:space="preserve">Frete e Transporte de Mercadorias - 02/2025</t>
  </si>
  <si>
    <t xml:space="preserve">Férias - 02/2025</t>
  </si>
  <si>
    <t xml:space="preserve">Lavanderia - 02/2025</t>
  </si>
  <si>
    <t xml:space="preserve">Manutenção de Máquinas e Peças - 02/2025</t>
  </si>
  <si>
    <t xml:space="preserve">Material de Limpeza e Higiene - 02/2025</t>
  </si>
  <si>
    <t xml:space="preserve">Multas - 02/2025</t>
  </si>
  <si>
    <t xml:space="preserve">Outros Insumos - 02/2025</t>
  </si>
  <si>
    <t xml:space="preserve">Publicidade - 02/2025</t>
  </si>
  <si>
    <t xml:space="preserve">Retiradas de Sócios - 02/2025</t>
  </si>
  <si>
    <t xml:space="preserve">Salário e Ordenados - 02/2025</t>
  </si>
  <si>
    <t xml:space="preserve">Segurança e Monitoramento - 02/2025</t>
  </si>
  <si>
    <t xml:space="preserve">Seguros - 02/2025</t>
  </si>
  <si>
    <t xml:space="preserve">Suspenso (a classificar) - 02/2025</t>
  </si>
  <si>
    <t xml:space="preserve">Tecidos - 02/2025</t>
  </si>
  <si>
    <t xml:space="preserve">Telefonia Fixa e Internet - 02/2025</t>
  </si>
  <si>
    <t xml:space="preserve">Travete - 02/2025</t>
  </si>
  <si>
    <t xml:space="preserve">Vales e Adiantamentos - 02/2025</t>
  </si>
  <si>
    <t xml:space="preserve">Web Site e Sistema ERP - 02/2025</t>
  </si>
  <si>
    <t xml:space="preserve">Água - 02/2025</t>
  </si>
  <si>
    <t xml:space="preserve">Vendas (recebidas) - 03/2025</t>
  </si>
  <si>
    <t xml:space="preserve">Acabamento Externo - 03/2025</t>
  </si>
  <si>
    <t xml:space="preserve">Acertos e Recisões - 03/2025</t>
  </si>
  <si>
    <t xml:space="preserve">Advogados - Honorários - 03/2025</t>
  </si>
  <si>
    <t xml:space="preserve">Alimentação - 03/2025</t>
  </si>
  <si>
    <t xml:space="preserve">Aluguéis e Condomínios - 03/2025</t>
  </si>
  <si>
    <t xml:space="preserve">Aviamento - 03/2025</t>
  </si>
  <si>
    <t xml:space="preserve">Bordado Industrial - 03/2025</t>
  </si>
  <si>
    <t xml:space="preserve">Combustíveis - 03/2025</t>
  </si>
  <si>
    <t xml:space="preserve">Compra de Veículos - 03/2025</t>
  </si>
  <si>
    <t xml:space="preserve">Consulta de Crédito Cliente - 03/2025</t>
  </si>
  <si>
    <t xml:space="preserve">Criação de Modelos - 03/2025</t>
  </si>
  <si>
    <t xml:space="preserve">Despesa com Sindicatos - 03/2025</t>
  </si>
  <si>
    <t xml:space="preserve">Embalagens - 03/2025</t>
  </si>
  <si>
    <t xml:space="preserve">Empréstimos - 03/2025</t>
  </si>
  <si>
    <t xml:space="preserve">Energia Elétrica - 03/2025</t>
  </si>
  <si>
    <t xml:space="preserve">Etiquetas - 03/2025</t>
  </si>
  <si>
    <t xml:space="preserve">Exame Adminissional/Demissional - 03/2025</t>
  </si>
  <si>
    <t xml:space="preserve">Facção - 03/2025</t>
  </si>
  <si>
    <t xml:space="preserve">Frete e Transporte de Mercadorias - 03/2025</t>
  </si>
  <si>
    <t xml:space="preserve">Férias - 03/2025</t>
  </si>
  <si>
    <t xml:space="preserve">Lavanderia - 03/2025</t>
  </si>
  <si>
    <t xml:space="preserve">Manutenção de Moveis e Utensílios - 03/2025</t>
  </si>
  <si>
    <t xml:space="preserve">Manutenção de Veiculos e Estacionamento - 03/2025</t>
  </si>
  <si>
    <t xml:space="preserve">Material de Limpeza e Higiene - 03/2025</t>
  </si>
  <si>
    <t xml:space="preserve">Multas - 03/2025</t>
  </si>
  <si>
    <t xml:space="preserve">Multas e Juros por Atraso - 03/2025</t>
  </si>
  <si>
    <t xml:space="preserve">Outros Insumos - 03/2025</t>
  </si>
  <si>
    <t xml:space="preserve">Premiações e Abonos - 03/2025</t>
  </si>
  <si>
    <t xml:space="preserve">Publicidade - 03/2025</t>
  </si>
  <si>
    <t xml:space="preserve">Retiradas de Sócios - 03/2025</t>
  </si>
  <si>
    <t xml:space="preserve">Salário e Ordenados - 03/2025</t>
  </si>
  <si>
    <t xml:space="preserve">Segurança e Monitoramento - 03/2025</t>
  </si>
  <si>
    <t xml:space="preserve">Seguros - 03/2025</t>
  </si>
  <si>
    <t xml:space="preserve">Suspenso (a classificar) - 03/2025</t>
  </si>
  <si>
    <t xml:space="preserve">Tarifas e Custos de Op. Bancárias - 03/2025</t>
  </si>
  <si>
    <t xml:space="preserve">Tecidos - 03/2025</t>
  </si>
  <si>
    <t xml:space="preserve">Telefonia Fixa e Internet - 03/2025</t>
  </si>
  <si>
    <t xml:space="preserve">Telefonia Móvel - 03/2025</t>
  </si>
  <si>
    <t xml:space="preserve">Travete - 03/2025</t>
  </si>
  <si>
    <t xml:space="preserve">Vale Transporte - 03/2025</t>
  </si>
  <si>
    <t xml:space="preserve">Vales e Adiantamentos - 03/2025</t>
  </si>
  <si>
    <t xml:space="preserve">Web Site e Sistema ERP - 03/2025</t>
  </si>
  <si>
    <t xml:space="preserve">Água - 03/2025</t>
  </si>
  <si>
    <t xml:space="preserve">Vendas (recebidas) - 04/2025</t>
  </si>
  <si>
    <t xml:space="preserve">Acabamento Externo - 04/2025</t>
  </si>
  <si>
    <t xml:space="preserve">Acertos e Recisões - 04/2025</t>
  </si>
  <si>
    <t xml:space="preserve">Advogados - Honorários - 04/2025</t>
  </si>
  <si>
    <t xml:space="preserve">Alimentação - 04/2025</t>
  </si>
  <si>
    <t xml:space="preserve">Aluguéis e Condomínios - 04/2025</t>
  </si>
  <si>
    <t xml:space="preserve">Aviamento - 04/2025</t>
  </si>
  <si>
    <t xml:space="preserve">Bordado Industrial - 04/2025</t>
  </si>
  <si>
    <t xml:space="preserve">Combustíveis - 04/2025</t>
  </si>
  <si>
    <t xml:space="preserve">Compra de Veículos - 04/2025</t>
  </si>
  <si>
    <t xml:space="preserve">Consulta de Crédito Cliente - 04/2025</t>
  </si>
  <si>
    <t xml:space="preserve">Criação de Modelos - 04/2025</t>
  </si>
  <si>
    <t xml:space="preserve">Darf - 04/2025</t>
  </si>
  <si>
    <t xml:space="preserve">Empréstimos - 04/2025</t>
  </si>
  <si>
    <t xml:space="preserve">Energia Elétrica - 04/2025</t>
  </si>
  <si>
    <t xml:space="preserve">Etiquetas - 04/2025</t>
  </si>
  <si>
    <t xml:space="preserve">Exame Adminissional/Demissional - 04/2025</t>
  </si>
  <si>
    <t xml:space="preserve">Facção - 04/2025</t>
  </si>
  <si>
    <t xml:space="preserve">Frete e Transporte de Mercadorias - 04/2025</t>
  </si>
  <si>
    <t xml:space="preserve">Lavanderia - 04/2025</t>
  </si>
  <si>
    <t xml:space="preserve">Manutenção de Moveis e Utensílios - 04/2025</t>
  </si>
  <si>
    <t xml:space="preserve">Manutenção de Máquinas e Peças - 04/2025</t>
  </si>
  <si>
    <t xml:space="preserve">Manutenção de Veiculos e Estacionamento - 04/2025</t>
  </si>
  <si>
    <t xml:space="preserve">Material de Escritório - 04/2025</t>
  </si>
  <si>
    <t xml:space="preserve">Material de Limpeza e Higiene - 04/2025</t>
  </si>
  <si>
    <t xml:space="preserve">Publicidade - 04/2025</t>
  </si>
  <si>
    <t xml:space="preserve">Retiradas de Sócios - 04/2025</t>
  </si>
  <si>
    <t xml:space="preserve">Salário e Ordenados - 04/2025</t>
  </si>
  <si>
    <t xml:space="preserve">Segurança e Monitoramento - 04/2025</t>
  </si>
  <si>
    <t xml:space="preserve">Seguros - 04/2025</t>
  </si>
  <si>
    <t xml:space="preserve">Suspenso (a classificar) - 04/2025</t>
  </si>
  <si>
    <t xml:space="preserve">Tarifas e Custos de Op. Bancárias - 04/2025</t>
  </si>
  <si>
    <t xml:space="preserve">Tecidos - 04/2025</t>
  </si>
  <si>
    <t xml:space="preserve">Telefonia Fixa e Internet - 04/2025</t>
  </si>
  <si>
    <t xml:space="preserve">Telefonia Móvel - 04/2025</t>
  </si>
  <si>
    <t xml:space="preserve">Travete - 04/2025</t>
  </si>
  <si>
    <t xml:space="preserve">Uniforme e EPIs - 04/2025</t>
  </si>
  <si>
    <t xml:space="preserve">Vale Transporte - 04/2025</t>
  </si>
  <si>
    <t xml:space="preserve">Vales e Adiantamentos - 04/2025</t>
  </si>
  <si>
    <t xml:space="preserve">Viagens e estadas - 04/2025</t>
  </si>
  <si>
    <t xml:space="preserve">Web Site e Sistema ERP - 04/2025</t>
  </si>
  <si>
    <t xml:space="preserve">Água - 04/2025</t>
  </si>
  <si>
    <t xml:space="preserve">Vendas (recebidas) - 05/2025</t>
  </si>
  <si>
    <t xml:space="preserve">Acabamento Externo - 05/2025</t>
  </si>
  <si>
    <t xml:space="preserve">Acertos e Recisões - 05/2025</t>
  </si>
  <si>
    <t xml:space="preserve">Advogados - Honorários - 05/2025</t>
  </si>
  <si>
    <t xml:space="preserve">Alimentação - 05/2025</t>
  </si>
  <si>
    <t xml:space="preserve">Aluguéis e Condomínios - 05/2025</t>
  </si>
  <si>
    <t xml:space="preserve">Aviamento - 05/2025</t>
  </si>
  <si>
    <t xml:space="preserve">Bordado Industrial - 05/2025</t>
  </si>
  <si>
    <t xml:space="preserve">Combustíveis - 05/2025</t>
  </si>
  <si>
    <t xml:space="preserve">Compra de Veículos - 05/2025</t>
  </si>
  <si>
    <t xml:space="preserve">Consulta de Crédito Cliente - 05/2025</t>
  </si>
  <si>
    <t xml:space="preserve">Criação de Modelos - 05/2025</t>
  </si>
  <si>
    <t xml:space="preserve">Despesa com Sindicatos - 05/2025</t>
  </si>
  <si>
    <t xml:space="preserve">Embalagens - 05/2025</t>
  </si>
  <si>
    <t xml:space="preserve">Empréstimos - 05/2025</t>
  </si>
  <si>
    <t xml:space="preserve">Energia Elétrica - 05/2025</t>
  </si>
  <si>
    <t xml:space="preserve">Etiquetas - 05/2025</t>
  </si>
  <si>
    <t xml:space="preserve">Facção - 05/2025</t>
  </si>
  <si>
    <t xml:space="preserve">Fgts, Gps e Pis - 05/2025</t>
  </si>
  <si>
    <t xml:space="preserve">Frete e Transporte de Mercadorias - 05/2025</t>
  </si>
  <si>
    <t xml:space="preserve">Lavanderia - 05/2025</t>
  </si>
  <si>
    <t xml:space="preserve">Manutenção de Imóveis - 05/2025</t>
  </si>
  <si>
    <t xml:space="preserve">Manutenção de Moveis e Utensílios - 05/2025</t>
  </si>
  <si>
    <t xml:space="preserve">Manutenção de Máquinas e Peças - 05/2025</t>
  </si>
  <si>
    <t xml:space="preserve">Manutenção de Veiculos e Estacionamento - 05/2025</t>
  </si>
  <si>
    <t xml:space="preserve">Material de Escritório - 05/2025</t>
  </si>
  <si>
    <t xml:space="preserve">Material de Limpeza e Higiene - 05/2025</t>
  </si>
  <si>
    <t xml:space="preserve">Outras Despesas - 05/2025</t>
  </si>
  <si>
    <t xml:space="preserve">Outros Insumos - 05/2025</t>
  </si>
  <si>
    <t xml:space="preserve">Publicidade - 05/2025</t>
  </si>
  <si>
    <t xml:space="preserve">Salário e Ordenados - 05/2025</t>
  </si>
  <si>
    <t xml:space="preserve">Segurança e Monitoramento - 05/2025</t>
  </si>
  <si>
    <t xml:space="preserve">Seguros - 05/2025</t>
  </si>
  <si>
    <t xml:space="preserve">Suspenso (a classificar) - 05/2025</t>
  </si>
  <si>
    <t xml:space="preserve">Tecidos - 05/2025</t>
  </si>
  <si>
    <t xml:space="preserve">Telefonia Fixa e Internet - 05/2025</t>
  </si>
  <si>
    <t xml:space="preserve">Telefonia Móvel - 05/2025</t>
  </si>
  <si>
    <t xml:space="preserve">Travete - 05/2025</t>
  </si>
  <si>
    <t xml:space="preserve">Vale Transporte - 05/2025</t>
  </si>
  <si>
    <t xml:space="preserve">Vales e Adiantamentos - 05/2025</t>
  </si>
  <si>
    <t xml:space="preserve">Viagens e estadas - 05/2025</t>
  </si>
  <si>
    <t xml:space="preserve">Web Site e Sistema ERP - 05/2025</t>
  </si>
  <si>
    <t xml:space="preserve">Água - 05/2025</t>
  </si>
  <si>
    <t xml:space="preserve">Vendas (recebidas) - 06/2025</t>
  </si>
  <si>
    <t xml:space="preserve">Acabamento Externo - 06/2025</t>
  </si>
  <si>
    <t xml:space="preserve">Advogados - Honorários - 06/2025</t>
  </si>
  <si>
    <t xml:space="preserve">Alimentação - 06/2025</t>
  </si>
  <si>
    <t xml:space="preserve">Aluguéis e Condomínios - 06/2025</t>
  </si>
  <si>
    <t xml:space="preserve">Aviamento - 06/2025</t>
  </si>
  <si>
    <t xml:space="preserve">Bordado Industrial - 06/2025</t>
  </si>
  <si>
    <t xml:space="preserve">Combustíveis - 06/2025</t>
  </si>
  <si>
    <t xml:space="preserve">Compra de Computadores e Eletrônicos - 06/2025</t>
  </si>
  <si>
    <t xml:space="preserve">Compra de Veículos - 06/2025</t>
  </si>
  <si>
    <t xml:space="preserve">Consulta de Crédito Cliente - 06/2025</t>
  </si>
  <si>
    <t xml:space="preserve">Coquetéis, festas e outros eventos - 06/2025</t>
  </si>
  <si>
    <t xml:space="preserve">Criação de Modelos - 06/2025</t>
  </si>
  <si>
    <t xml:space="preserve">Despesa com Sindicatos - 06/2025</t>
  </si>
  <si>
    <t xml:space="preserve">Embalagens - 06/2025</t>
  </si>
  <si>
    <t xml:space="preserve">Empréstimos - 06/2025</t>
  </si>
  <si>
    <t xml:space="preserve">Energia Elétrica - 06/2025</t>
  </si>
  <si>
    <t xml:space="preserve">Etiquetas - 06/2025</t>
  </si>
  <si>
    <t xml:space="preserve">Facção - 06/2025</t>
  </si>
  <si>
    <t xml:space="preserve">Fgts, Gps e Pis - 06/2025</t>
  </si>
  <si>
    <t xml:space="preserve">Frete e Transporte de Mercadorias - 06/2025</t>
  </si>
  <si>
    <t xml:space="preserve">Férias - 06/2025</t>
  </si>
  <si>
    <t xml:space="preserve">Gasto com Reforma - 06/2025</t>
  </si>
  <si>
    <t xml:space="preserve">Lavanderia - 06/2025</t>
  </si>
  <si>
    <t xml:space="preserve">Manutenção de Imóveis - 06/2025</t>
  </si>
  <si>
    <t xml:space="preserve">Manutenção de Veiculos e Estacionamento - 06/2025</t>
  </si>
  <si>
    <t xml:space="preserve">Material de Escritório - 06/2025</t>
  </si>
  <si>
    <t xml:space="preserve">Material de Limpeza e Higiene - 06/2025</t>
  </si>
  <si>
    <t xml:space="preserve">Multas - 06/2025</t>
  </si>
  <si>
    <t xml:space="preserve">Outros Insumos - 06/2025</t>
  </si>
  <si>
    <t xml:space="preserve">Produção Externa - 06/2025</t>
  </si>
  <si>
    <t xml:space="preserve">Publicidade - 06/2025</t>
  </si>
  <si>
    <t xml:space="preserve">Salário e Ordenados - 06/2025</t>
  </si>
  <si>
    <t xml:space="preserve">Segurança e Monitoramento - 06/2025</t>
  </si>
  <si>
    <t xml:space="preserve">Seguros - 06/2025</t>
  </si>
  <si>
    <t xml:space="preserve">Suspenso (a classificar) - 06/2025</t>
  </si>
  <si>
    <t xml:space="preserve">Tecidos - 06/2025</t>
  </si>
  <si>
    <t xml:space="preserve">Telefonia Fixa e Internet - 06/2025</t>
  </si>
  <si>
    <t xml:space="preserve">Travete - 06/2025</t>
  </si>
  <si>
    <t xml:space="preserve">Vale Transporte - 06/2025</t>
  </si>
  <si>
    <t xml:space="preserve">Vales e Adiantamentos - 06/2025</t>
  </si>
  <si>
    <t xml:space="preserve">Viagens e estadas - 06/2025</t>
  </si>
  <si>
    <t xml:space="preserve">Web Site e Sistema ERP - 06/2025</t>
  </si>
  <si>
    <t xml:space="preserve">Água - 06/2025</t>
  </si>
  <si>
    <t xml:space="preserve">Vendas (recebidas) - 07/2025</t>
  </si>
  <si>
    <t xml:space="preserve">Acabamento Externo - 07/2025</t>
  </si>
  <si>
    <t xml:space="preserve">Alimentação - 07/2025</t>
  </si>
  <si>
    <t xml:space="preserve">Aluguéis e Condomínios - 07/2025</t>
  </si>
  <si>
    <t xml:space="preserve">Aviamento - 07/2025</t>
  </si>
  <si>
    <t xml:space="preserve">Bordado Industrial - 07/2025</t>
  </si>
  <si>
    <t xml:space="preserve">Bordado Manual - 07/2025</t>
  </si>
  <si>
    <t xml:space="preserve">Combustíveis - 07/2025</t>
  </si>
  <si>
    <t xml:space="preserve">Compra de Computadores e Eletrônicos - 07/2025</t>
  </si>
  <si>
    <t xml:space="preserve">Compra de Veículos - 07/2025</t>
  </si>
  <si>
    <t xml:space="preserve">Consulta de Crédito Cliente - 07/2025</t>
  </si>
  <si>
    <t xml:space="preserve">Criação de Modelos - 07/2025</t>
  </si>
  <si>
    <t xml:space="preserve">Despesa com Sindicatos - 07/2025</t>
  </si>
  <si>
    <t xml:space="preserve">Embalagens - 07/2025</t>
  </si>
  <si>
    <t xml:space="preserve">Empréstimos - 07/2025</t>
  </si>
  <si>
    <t xml:space="preserve">Energia Elétrica - 07/2025</t>
  </si>
  <si>
    <t xml:space="preserve">Etiquetas - 07/2025</t>
  </si>
  <si>
    <t xml:space="preserve">Exame Adminissional/Demissional - 07/2025</t>
  </si>
  <si>
    <t xml:space="preserve">Facção - 07/2025</t>
  </si>
  <si>
    <t xml:space="preserve">Frete e Transporte de Mercadorias - 07/2025</t>
  </si>
  <si>
    <t xml:space="preserve">Ipva - 07/2025</t>
  </si>
  <si>
    <t xml:space="preserve">Juros de Empréstimos - 07/2025</t>
  </si>
  <si>
    <t xml:space="preserve">Lavanderia - 07/2025</t>
  </si>
  <si>
    <t xml:space="preserve">Manutenção de Máquinas e Peças - 07/2025</t>
  </si>
  <si>
    <t xml:space="preserve">Manutenção de Veiculos e Estacionamento - 07/2025</t>
  </si>
  <si>
    <t xml:space="preserve">Material de Copa e Cozinha - 07/2025</t>
  </si>
  <si>
    <t xml:space="preserve">Material de Limpeza e Higiene - 07/2025</t>
  </si>
  <si>
    <t xml:space="preserve">Outros Insumos - 07/2025</t>
  </si>
  <si>
    <t xml:space="preserve">Patrocínio - 07/2025</t>
  </si>
  <si>
    <t xml:space="preserve">Publicidade - 07/2025</t>
  </si>
  <si>
    <t xml:space="preserve">Salário e Ordenados - 07/2025</t>
  </si>
  <si>
    <t xml:space="preserve">Segurança e Monitoramento - 07/2025</t>
  </si>
  <si>
    <t xml:space="preserve">Seguros - 07/2025</t>
  </si>
  <si>
    <t xml:space="preserve">Suspenso (a classificar) - 07/2025</t>
  </si>
  <si>
    <t xml:space="preserve">Tecidos - 07/2025</t>
  </si>
  <si>
    <t xml:space="preserve">Telefonia Fixa e Internet - 07/2025</t>
  </si>
  <si>
    <t xml:space="preserve">Travete - 07/2025</t>
  </si>
  <si>
    <t xml:space="preserve">Vale Transporte - 07/2025</t>
  </si>
  <si>
    <t xml:space="preserve">Vales e Adiantamentos - 07/2025</t>
  </si>
  <si>
    <t xml:space="preserve">Web Site e Sistema ERP - 07/2025</t>
  </si>
  <si>
    <t xml:space="preserve">Água - 07/2025</t>
  </si>
  <si>
    <t xml:space="preserve">Vendas (recebidas) - 08/2025</t>
  </si>
  <si>
    <t xml:space="preserve">Acabamento Externo - 08/2025</t>
  </si>
  <si>
    <t xml:space="preserve">Acertos e Recisões - 08/2025</t>
  </si>
  <si>
    <t xml:space="preserve">Advogados - Honorários - 08/2025</t>
  </si>
  <si>
    <t xml:space="preserve">Alimentação - 08/2025</t>
  </si>
  <si>
    <t xml:space="preserve">Aluguéis e Condomínios - 08/2025</t>
  </si>
  <si>
    <t xml:space="preserve">Aviamento - 08/2025</t>
  </si>
  <si>
    <t xml:space="preserve">Bordado Industrial - 08/2025</t>
  </si>
  <si>
    <t xml:space="preserve">Combustíveis - 08/2025</t>
  </si>
  <si>
    <t xml:space="preserve">Consulta de Crédito Cliente - 08/2025</t>
  </si>
  <si>
    <t xml:space="preserve">Criação de Modelos - 08/2025</t>
  </si>
  <si>
    <t xml:space="preserve">Darf - 08/2025</t>
  </si>
  <si>
    <t xml:space="preserve">Despesa com Sindicatos - 08/2025</t>
  </si>
  <si>
    <t xml:space="preserve">Despesas com Documentos e Xerox - 08/2025</t>
  </si>
  <si>
    <t xml:space="preserve">Empréstimos - 08/2025</t>
  </si>
  <si>
    <t xml:space="preserve">Energia Elétrica - 08/2025</t>
  </si>
  <si>
    <t xml:space="preserve">Etiquetas - 08/2025</t>
  </si>
  <si>
    <t xml:space="preserve">Facção - 08/2025</t>
  </si>
  <si>
    <t xml:space="preserve">Frete e Transporte de Mercadorias - 08/2025</t>
  </si>
  <si>
    <t xml:space="preserve">Juros de Empréstimos - 08/2025</t>
  </si>
  <si>
    <t xml:space="preserve">Lavanderia - 08/2025</t>
  </si>
  <si>
    <t xml:space="preserve">Manutenção de Veiculos e Estacionamento - 08/2025</t>
  </si>
  <si>
    <t xml:space="preserve">Material de Copa e Cozinha - 08/2025</t>
  </si>
  <si>
    <t xml:space="preserve">Material de Escritório - 08/2025</t>
  </si>
  <si>
    <t xml:space="preserve">Outros Insumos - 08/2025</t>
  </si>
  <si>
    <t xml:space="preserve">Premiações e Abonos - 08/2025</t>
  </si>
  <si>
    <t xml:space="preserve">Publicidade - 08/2025</t>
  </si>
  <si>
    <t xml:space="preserve">Salário e Ordenados - 08/2025</t>
  </si>
  <si>
    <t xml:space="preserve">Segurança e Monitoramento - 08/2025</t>
  </si>
  <si>
    <t xml:space="preserve">Seguros - 08/2025</t>
  </si>
  <si>
    <t xml:space="preserve">Suspenso (a classificar) - 08/2025</t>
  </si>
  <si>
    <t xml:space="preserve">Tecidos - 08/2025</t>
  </si>
  <si>
    <t xml:space="preserve">Telefonia Fixa e Internet - 08/2025</t>
  </si>
  <si>
    <t xml:space="preserve">Travete - 08/2025</t>
  </si>
  <si>
    <t xml:space="preserve">Vale Transporte - 08/2025</t>
  </si>
  <si>
    <t xml:space="preserve">Vales e Adiantamentos - 08/2025</t>
  </si>
  <si>
    <t xml:space="preserve">Web Site e Sistema ERP - 08/2025</t>
  </si>
  <si>
    <t xml:space="preserve">Vendas (recebidas) - 09/2025</t>
  </si>
  <si>
    <t xml:space="preserve">Acabamento Externo - 09/2025</t>
  </si>
  <si>
    <t xml:space="preserve">Alimentação - 09/2025</t>
  </si>
  <si>
    <t xml:space="preserve">Aluguéis e Condomínios - 09/2025</t>
  </si>
  <si>
    <t xml:space="preserve">Aviamento - 09/2025</t>
  </si>
  <si>
    <t xml:space="preserve">Bordado Industrial - 09/2025</t>
  </si>
  <si>
    <t xml:space="preserve">Combustíveis - 09/2025</t>
  </si>
  <si>
    <t xml:space="preserve">Consulta de Crédito Cliente - 09/2025</t>
  </si>
  <si>
    <t xml:space="preserve">Criação de Modelos - 09/2025</t>
  </si>
  <si>
    <t xml:space="preserve">Darf - 09/2025</t>
  </si>
  <si>
    <t xml:space="preserve">Despesa com Sindicatos - 09/2025</t>
  </si>
  <si>
    <t xml:space="preserve">Embalagens - 09/2025</t>
  </si>
  <si>
    <t xml:space="preserve">Empréstimos - 09/2025</t>
  </si>
  <si>
    <t xml:space="preserve">Etiquetas - 09/2025</t>
  </si>
  <si>
    <t xml:space="preserve">Exame Adminissional/Demissional - 09/2025</t>
  </si>
  <si>
    <t xml:space="preserve">Facção - 09/2025</t>
  </si>
  <si>
    <t xml:space="preserve">Frete e Transporte de Mercadorias - 09/2025</t>
  </si>
  <si>
    <t xml:space="preserve">Juros de Empréstimos - 09/2025</t>
  </si>
  <si>
    <t xml:space="preserve">Lavanderia - 09/2025</t>
  </si>
  <si>
    <t xml:space="preserve">Manutenção de Veiculos e Estacionamento - 09/2025</t>
  </si>
  <si>
    <t xml:space="preserve">Material de Escritório - 09/2025</t>
  </si>
  <si>
    <t xml:space="preserve">Material de Limpeza e Higiene - 09/2025</t>
  </si>
  <si>
    <t xml:space="preserve">Publicidade - 09/2025</t>
  </si>
  <si>
    <t xml:space="preserve">Salário e Ordenados - 09/2025</t>
  </si>
  <si>
    <t xml:space="preserve">Segurança e Monitoramento - 09/2025</t>
  </si>
  <si>
    <t xml:space="preserve">Seguros - 09/2025</t>
  </si>
  <si>
    <t xml:space="preserve">Suspenso (a classificar) - 09/2025</t>
  </si>
  <si>
    <t xml:space="preserve">Tarifas e Custos de Op. Bancárias - 09/2025</t>
  </si>
  <si>
    <t xml:space="preserve">Tecidos - 09/2025</t>
  </si>
  <si>
    <t xml:space="preserve">Telefonia Fixa e Internet - 09/2025</t>
  </si>
  <si>
    <t xml:space="preserve">Telefonia Móvel - 09/2025</t>
  </si>
  <si>
    <t xml:space="preserve">Travete - 09/2025</t>
  </si>
  <si>
    <t xml:space="preserve">Vales e Adiantamentos - 09/2025</t>
  </si>
  <si>
    <t xml:space="preserve">Viagens e estadas - 09/2025</t>
  </si>
  <si>
    <t xml:space="preserve">Web Site e Sistema ERP - 09/2025</t>
  </si>
  <si>
    <t xml:space="preserve">Vendas (recebidas) - 10/2025</t>
  </si>
  <si>
    <t xml:space="preserve">Acabamento Externo - 10/2025</t>
  </si>
  <si>
    <t xml:space="preserve">Advogados - Honorários - 10/2025</t>
  </si>
  <si>
    <t xml:space="preserve">Alimentação - 10/2025</t>
  </si>
  <si>
    <t xml:space="preserve">Aluguéis e Condomínios - 10/2025</t>
  </si>
  <si>
    <t xml:space="preserve">Assessoria Técnica Profissional - 10/2025</t>
  </si>
  <si>
    <t xml:space="preserve">Aviamento - 10/2025</t>
  </si>
  <si>
    <t xml:space="preserve">Bordado Industrial - 10/2025</t>
  </si>
  <si>
    <t xml:space="preserve">Bordado Manual - 10/2025</t>
  </si>
  <si>
    <t xml:space="preserve">Combustíveis - 10/2025</t>
  </si>
  <si>
    <t xml:space="preserve">Consulta de Crédito Cliente - 10/2025</t>
  </si>
  <si>
    <t xml:space="preserve">Criação de Modelos - 10/2025</t>
  </si>
  <si>
    <t xml:space="preserve">Darf - 10/2025</t>
  </si>
  <si>
    <t xml:space="preserve">Despesa com Sindicatos - 10/2025</t>
  </si>
  <si>
    <t xml:space="preserve">Embalagens - 10/2025</t>
  </si>
  <si>
    <t xml:space="preserve">Empréstimos - 10/2025</t>
  </si>
  <si>
    <t xml:space="preserve">Energia Elétrica - 10/2025</t>
  </si>
  <si>
    <t xml:space="preserve">Etiquetas - 10/2025</t>
  </si>
  <si>
    <t xml:space="preserve">Facção - 10/2025</t>
  </si>
  <si>
    <t xml:space="preserve">Fgts, Gps e Pis - 10/2025</t>
  </si>
  <si>
    <t xml:space="preserve">Frete e Transporte de Mercadorias - 10/2025</t>
  </si>
  <si>
    <t xml:space="preserve">Ipva - 10/2025</t>
  </si>
  <si>
    <t xml:space="preserve">Lavanderia - 10/2025</t>
  </si>
  <si>
    <t xml:space="preserve">Material de Copa e Cozinha - 10/2025</t>
  </si>
  <si>
    <t xml:space="preserve">Material de Escritório - 10/2025</t>
  </si>
  <si>
    <t xml:space="preserve">Material de Limpeza e Higiene - 10/2025</t>
  </si>
  <si>
    <t xml:space="preserve">Multas - 10/2025</t>
  </si>
  <si>
    <t xml:space="preserve">Multas e Juros por Atraso - 10/2025</t>
  </si>
  <si>
    <t xml:space="preserve">Outros Insumos - 10/2025</t>
  </si>
  <si>
    <t xml:space="preserve">Outros Tributos - 10/2025</t>
  </si>
  <si>
    <t xml:space="preserve">Premiações e Abonos - 10/2025</t>
  </si>
  <si>
    <t xml:space="preserve">Publicidade - 10/2025</t>
  </si>
  <si>
    <t xml:space="preserve">Salário e Ordenados - 10/2025</t>
  </si>
  <si>
    <t xml:space="preserve">Segurança e Monitoramento - 10/2025</t>
  </si>
  <si>
    <t xml:space="preserve">Seguros - 10/2025</t>
  </si>
  <si>
    <t xml:space="preserve">Suspenso (a classificar) - 10/2025</t>
  </si>
  <si>
    <t xml:space="preserve">Tecidos - 10/2025</t>
  </si>
  <si>
    <t xml:space="preserve">Telefonia Fixa e Internet - 10/2025</t>
  </si>
  <si>
    <t xml:space="preserve">Travete - 10/2025</t>
  </si>
  <si>
    <t xml:space="preserve">Vales e Adiantamentos - 10/2025</t>
  </si>
  <si>
    <t xml:space="preserve">Viagens e estadas - 10/2025</t>
  </si>
  <si>
    <t xml:space="preserve">Web Site e Sistema ERP - 10/2025</t>
  </si>
  <si>
    <t xml:space="preserve">Água - 10/2025</t>
  </si>
  <si>
    <t xml:space="preserve">Vendas (recebidas) - 11/2025</t>
  </si>
  <si>
    <t xml:space="preserve">Acabamento Externo - 11/2025</t>
  </si>
  <si>
    <t xml:space="preserve">Acertos e Recisões - 11/2025</t>
  </si>
  <si>
    <t xml:space="preserve">Advogados - Honorários - 11/2025</t>
  </si>
  <si>
    <t xml:space="preserve">Alimentação - 11/2025</t>
  </si>
  <si>
    <t xml:space="preserve">Aluguéis e Condomínios - 11/2025</t>
  </si>
  <si>
    <t xml:space="preserve">Assessoria Técnica Profissional - 11/2025</t>
  </si>
  <si>
    <t xml:space="preserve">Aviamento - 11/2025</t>
  </si>
  <si>
    <t xml:space="preserve">Combustíveis - 11/2025</t>
  </si>
  <si>
    <t xml:space="preserve">Compra de Computadores e Eletrônicos - 11/2025</t>
  </si>
  <si>
    <t xml:space="preserve">Consulta de Crédito Cliente - 11/2025</t>
  </si>
  <si>
    <t xml:space="preserve">Criação de Modelos - 11/2025</t>
  </si>
  <si>
    <t xml:space="preserve">Despesa com Sindicatos - 11/2025</t>
  </si>
  <si>
    <t xml:space="preserve">Embalagens - 11/2025</t>
  </si>
  <si>
    <t xml:space="preserve">Empréstimos - 11/2025</t>
  </si>
  <si>
    <t xml:space="preserve">Etiquetas - 11/2025</t>
  </si>
  <si>
    <t xml:space="preserve">Facção - 11/2025</t>
  </si>
  <si>
    <t xml:space="preserve">Fgts, Gps e Pis - 11/2025</t>
  </si>
  <si>
    <t xml:space="preserve">Frete e Transporte de Mercadorias - 11/2025</t>
  </si>
  <si>
    <t xml:space="preserve">Lavanderia - 11/2025</t>
  </si>
  <si>
    <t xml:space="preserve">Material de Copa e Cozinha - 11/2025</t>
  </si>
  <si>
    <t xml:space="preserve">Material de Limpeza e Higiene - 11/2025</t>
  </si>
  <si>
    <t xml:space="preserve">Multas - 11/2025</t>
  </si>
  <si>
    <t xml:space="preserve">Outros Insumos - 11/2025</t>
  </si>
  <si>
    <t xml:space="preserve">Outros Tributos - 11/2025</t>
  </si>
  <si>
    <t xml:space="preserve">Produção Externa - 11/2025</t>
  </si>
  <si>
    <t xml:space="preserve">Publicidade - 11/2025</t>
  </si>
  <si>
    <t xml:space="preserve">Salário e Ordenados - 11/2025</t>
  </si>
  <si>
    <t xml:space="preserve">Segurança e Monitoramento - 11/2025</t>
  </si>
  <si>
    <t xml:space="preserve">Seguros - 11/2025</t>
  </si>
  <si>
    <t xml:space="preserve">Suspenso (a classificar) - 11/2025</t>
  </si>
  <si>
    <t xml:space="preserve">Tecidos - 11/2025</t>
  </si>
  <si>
    <t xml:space="preserve">Travete - 11/2025</t>
  </si>
  <si>
    <t xml:space="preserve">Vales e Adiantamentos - 11/2025</t>
  </si>
  <si>
    <t xml:space="preserve">Viagens e estadas - 11/2025</t>
  </si>
  <si>
    <t xml:space="preserve">Web Site e Sistema ERP - 11/2025</t>
  </si>
  <si>
    <t xml:space="preserve">Vendas (recebidas) - 12/2025</t>
  </si>
  <si>
    <t xml:space="preserve">Vendas (recebidas) - 01/2026</t>
  </si>
  <si>
    <t xml:space="preserve">Acabamento Externo - 01/2026</t>
  </si>
  <si>
    <t xml:space="preserve">Acertos e Recisões - 01/2026</t>
  </si>
  <si>
    <t xml:space="preserve">Advogados - Honorários - 01/2026</t>
  </si>
  <si>
    <t xml:space="preserve">Alimentação - 01/2026</t>
  </si>
  <si>
    <t xml:space="preserve">Aluguéis e Condomínios - 01/2026</t>
  </si>
  <si>
    <t xml:space="preserve">Assessoria Técnica Profissional - 01/2026</t>
  </si>
  <si>
    <t xml:space="preserve">Aviamento - 01/2026</t>
  </si>
  <si>
    <t xml:space="preserve">Combustíveis - 01/2026</t>
  </si>
  <si>
    <t xml:space="preserve">Consulta de Crédito Cliente - 01/2026</t>
  </si>
  <si>
    <t xml:space="preserve">Criação de Modelos - 01/2026</t>
  </si>
  <si>
    <t xml:space="preserve">Darf - 01/2026</t>
  </si>
  <si>
    <t xml:space="preserve">Despesa com Sindicatos - 01/2026</t>
  </si>
  <si>
    <t xml:space="preserve">Embalagens - 01/2026</t>
  </si>
  <si>
    <t xml:space="preserve">Empréstimos - 01/2026</t>
  </si>
  <si>
    <t xml:space="preserve">Energia Elétrica - 01/2026</t>
  </si>
  <si>
    <t xml:space="preserve">Etiquetas - 01/2026</t>
  </si>
  <si>
    <t xml:space="preserve">Facção - 01/2026</t>
  </si>
  <si>
    <t xml:space="preserve">Fgts, Gps e Pis - 01/2026</t>
  </si>
  <si>
    <t xml:space="preserve">Frete e Transporte de Mercadorias - 01/2026</t>
  </si>
  <si>
    <t xml:space="preserve">Juros de Empréstimos - 01/2026</t>
  </si>
  <si>
    <t xml:space="preserve">Lavanderia - 01/2026</t>
  </si>
  <si>
    <t xml:space="preserve">Manutenção de Imóveis - 01/2026</t>
  </si>
  <si>
    <t xml:space="preserve">Manutenção de Veiculos e Estacionamento - 01/2026</t>
  </si>
  <si>
    <t xml:space="preserve">Material de Copa e Cozinha - 01/2026</t>
  </si>
  <si>
    <t xml:space="preserve">Material de Escritório - 01/2026</t>
  </si>
  <si>
    <t xml:space="preserve">Outros Insumos - 01/2026</t>
  </si>
  <si>
    <t xml:space="preserve">Patrocínio - 01/2026</t>
  </si>
  <si>
    <t xml:space="preserve">Publicidade - 01/2026</t>
  </si>
  <si>
    <t xml:space="preserve">Salário e Ordenados - 01/2026</t>
  </si>
  <si>
    <t xml:space="preserve">Seguros - 01/2026</t>
  </si>
  <si>
    <t xml:space="preserve">Tecidos - 01/2026</t>
  </si>
  <si>
    <t xml:space="preserve">Telefonia Fixa e Internet - 01/2026</t>
  </si>
  <si>
    <t xml:space="preserve">Telefonia Móvel - 01/2026</t>
  </si>
  <si>
    <t xml:space="preserve">Travete - 01/2026</t>
  </si>
  <si>
    <t xml:space="preserve">Vale Transporte - 01/2026</t>
  </si>
  <si>
    <t xml:space="preserve">Vales e Adiantamentos - 01/2026</t>
  </si>
  <si>
    <t xml:space="preserve">Viagens e estadas - 01/2026</t>
  </si>
  <si>
    <t xml:space="preserve">Web Site e Sistema ERP - 01/2026</t>
  </si>
  <si>
    <t xml:space="preserve">Água - 01/2026</t>
  </si>
  <si>
    <t xml:space="preserve">Vendas (recebidas) - 02/2026</t>
  </si>
  <si>
    <t xml:space="preserve">Acabamento Externo - 02/2026</t>
  </si>
  <si>
    <t xml:space="preserve">Advogados - Honorários - 02/2026</t>
  </si>
  <si>
    <t xml:space="preserve">Alimentação - 02/2026</t>
  </si>
  <si>
    <t xml:space="preserve">Aluguéis e Condomínios - 02/2026</t>
  </si>
  <si>
    <t xml:space="preserve">Assessoria Técnica Profissional - 02/2026</t>
  </si>
  <si>
    <t xml:space="preserve">Aviamento - 02/2026</t>
  </si>
  <si>
    <t xml:space="preserve">Bordado Manual - 02/2026</t>
  </si>
  <si>
    <t xml:space="preserve">Combustíveis - 02/2026</t>
  </si>
  <si>
    <t xml:space="preserve">Consulta de Crédito Cliente - 02/2026</t>
  </si>
  <si>
    <t xml:space="preserve">Consórcio - 02/2026</t>
  </si>
  <si>
    <t xml:space="preserve">Criação de Modelos - 02/2026</t>
  </si>
  <si>
    <t xml:space="preserve">Darf - 02/2026</t>
  </si>
  <si>
    <t xml:space="preserve">Despesa não Identificada - 02/2026</t>
  </si>
  <si>
    <t xml:space="preserve">Embalagens - 02/2026</t>
  </si>
  <si>
    <t xml:space="preserve">Empréstimos - 02/2026</t>
  </si>
  <si>
    <t xml:space="preserve">Etiquetas - 02/2026</t>
  </si>
  <si>
    <t xml:space="preserve">Exame Adminissional/Demissional - 02/2026</t>
  </si>
  <si>
    <t xml:space="preserve">Facção - 02/2026</t>
  </si>
  <si>
    <t xml:space="preserve">Fgts, Gps e Pis - 02/2026</t>
  </si>
  <si>
    <t xml:space="preserve">Frete e Transporte de Mercadorias - 02/2026</t>
  </si>
  <si>
    <t xml:space="preserve">Férias - 02/2026</t>
  </si>
  <si>
    <t xml:space="preserve">Honorários Contábeis (Contabilidade) - 02/2026</t>
  </si>
  <si>
    <t xml:space="preserve">Lavanderia - 02/2026</t>
  </si>
  <si>
    <t xml:space="preserve">Manutenção de Veiculos e Estacionamento - 02/2026</t>
  </si>
  <si>
    <t xml:space="preserve">Outras Despesas - 02/2026</t>
  </si>
  <si>
    <t xml:space="preserve">Outros Insumos - 02/2026</t>
  </si>
  <si>
    <t xml:space="preserve">Outros Tributos - 02/2026</t>
  </si>
  <si>
    <t xml:space="preserve">Produção Externa - 02/2026</t>
  </si>
  <si>
    <t xml:space="preserve">Publicidade - 02/2026</t>
  </si>
  <si>
    <t xml:space="preserve">Salário e Ordenados - 02/2026</t>
  </si>
  <si>
    <t xml:space="preserve">Segurança e Monitoramento - 02/2026</t>
  </si>
  <si>
    <t xml:space="preserve">Seguros - 02/2026</t>
  </si>
  <si>
    <t xml:space="preserve">Tecidos - 02/2026</t>
  </si>
  <si>
    <t xml:space="preserve">Telefonia Fixa e Internet - 02/2026</t>
  </si>
  <si>
    <t xml:space="preserve">Travete - 02/2026</t>
  </si>
  <si>
    <t xml:space="preserve">Tráfego/Social Mídia - 02/2026</t>
  </si>
  <si>
    <t xml:space="preserve">Vale Transporte - 02/2026</t>
  </si>
  <si>
    <t xml:space="preserve">Vales e Adiantamentos - 02/2026</t>
  </si>
  <si>
    <t xml:space="preserve">Web Site e Sistema ERP - 02/2026</t>
  </si>
  <si>
    <t xml:space="preserve">Vendas (recebidas) - 03/2026</t>
  </si>
  <si>
    <t xml:space="preserve">Acabamento Externo - 03/2026</t>
  </si>
  <si>
    <t xml:space="preserve">Advogados - Honorários - 03/2026</t>
  </si>
  <si>
    <t xml:space="preserve">Alimentação - 03/2026</t>
  </si>
  <si>
    <t xml:space="preserve">Aluguéis e Condomínios - 03/2026</t>
  </si>
  <si>
    <t xml:space="preserve">Assessoria Técnica Profissional - 03/2026</t>
  </si>
  <si>
    <t xml:space="preserve">Aviamento - 03/2026</t>
  </si>
  <si>
    <t xml:space="preserve">Bordado Manual - 03/2026</t>
  </si>
  <si>
    <t xml:space="preserve">Combustíveis - 03/2026</t>
  </si>
  <si>
    <t xml:space="preserve">Consulta de Crédito Cliente - 03/2026</t>
  </si>
  <si>
    <t xml:space="preserve">Consórcio - 03/2026</t>
  </si>
  <si>
    <t xml:space="preserve">Criação de Modelos - 03/2026</t>
  </si>
  <si>
    <t xml:space="preserve">Darf - 03/2026</t>
  </si>
  <si>
    <t xml:space="preserve">Embalagens - 03/2026</t>
  </si>
  <si>
    <t xml:space="preserve">Empréstimos - 03/2026</t>
  </si>
  <si>
    <t xml:space="preserve">Energia Elétrica - 03/2026</t>
  </si>
  <si>
    <t xml:space="preserve">Etiquetas - 03/2026</t>
  </si>
  <si>
    <t xml:space="preserve">Facção - 03/2026</t>
  </si>
  <si>
    <t xml:space="preserve">Fgts, Gps e Pis - 03/2026</t>
  </si>
  <si>
    <t xml:space="preserve">Frete e Transporte de Mercadorias - 03/2026</t>
  </si>
  <si>
    <t xml:space="preserve">Férias - 03/2026</t>
  </si>
  <si>
    <t xml:space="preserve">Juros de Empréstimos - 03/2026</t>
  </si>
  <si>
    <t xml:space="preserve">Lavanderia - 03/2026</t>
  </si>
  <si>
    <t xml:space="preserve">Manutenção de Imóveis - 03/2026</t>
  </si>
  <si>
    <t xml:space="preserve">Manutenção de Veiculos e Estacionamento - 03/2026</t>
  </si>
  <si>
    <t xml:space="preserve">Material de Copa e Cozinha - 03/2026</t>
  </si>
  <si>
    <t xml:space="preserve">Outros Tributos - 03/2026</t>
  </si>
  <si>
    <t xml:space="preserve">Premiações e Abonos - 03/2026</t>
  </si>
  <si>
    <t xml:space="preserve">Produção Externa - 03/2026</t>
  </si>
  <si>
    <t xml:space="preserve">Publicidade - 03/2026</t>
  </si>
  <si>
    <t xml:space="preserve">Salário e Ordenados - 03/2026</t>
  </si>
  <si>
    <t xml:space="preserve">Segurança e Monitoramento - 03/2026</t>
  </si>
  <si>
    <t xml:space="preserve">Seguros - 03/2026</t>
  </si>
  <si>
    <t xml:space="preserve">Tecidos - 03/2026</t>
  </si>
  <si>
    <t xml:space="preserve">Telefonia Fixa e Internet - 03/2026</t>
  </si>
  <si>
    <t xml:space="preserve">Travete - 03/2026</t>
  </si>
  <si>
    <t xml:space="preserve">Tráfego/Social Mídia - 03/2026</t>
  </si>
  <si>
    <t xml:space="preserve">Vale Transporte - 03/2026</t>
  </si>
  <si>
    <t xml:space="preserve">Vales e Adiantamentos - 03/2026</t>
  </si>
  <si>
    <t xml:space="preserve">Web Site e Sistema ERP - 03/2026</t>
  </si>
  <si>
    <t xml:space="preserve">Água - 03/2026</t>
  </si>
  <si>
    <t xml:space="preserve">Vendas (recebidas) - 04/2026</t>
  </si>
  <si>
    <t xml:space="preserve">Acabamento Externo - 04/2026</t>
  </si>
  <si>
    <t xml:space="preserve">Advogados - Honorários - 04/2026</t>
  </si>
  <si>
    <t xml:space="preserve">Aluguéis e Condomínios - 04/2026</t>
  </si>
  <si>
    <t xml:space="preserve">Assessoria Técnica Profissional - 04/2026</t>
  </si>
  <si>
    <t xml:space="preserve">Aviamento - 04/2026</t>
  </si>
  <si>
    <t xml:space="preserve">Bordado Manual - 04/2026</t>
  </si>
  <si>
    <t xml:space="preserve">Combustíveis - 04/2026</t>
  </si>
  <si>
    <t xml:space="preserve">Consulta de Crédito Cliente - 04/2026</t>
  </si>
  <si>
    <t xml:space="preserve">Consórcio - 04/2026</t>
  </si>
  <si>
    <t xml:space="preserve">Criação de Modelos - 04/2026</t>
  </si>
  <si>
    <t xml:space="preserve">Darf - 04/2026</t>
  </si>
  <si>
    <t xml:space="preserve">Embalagens - 04/2026</t>
  </si>
  <si>
    <t xml:space="preserve">Empréstimos - 04/2026</t>
  </si>
  <si>
    <t xml:space="preserve">Etiquetas - 04/2026</t>
  </si>
  <si>
    <t xml:space="preserve">Facção - 04/2026</t>
  </si>
  <si>
    <t xml:space="preserve">Fgts, Gps e Pis - 04/2026</t>
  </si>
  <si>
    <t xml:space="preserve">Frete e Transporte de Mercadorias - 04/2026</t>
  </si>
  <si>
    <t xml:space="preserve">Férias - 04/2026</t>
  </si>
  <si>
    <t xml:space="preserve">Lavanderia - 04/2026</t>
  </si>
  <si>
    <t xml:space="preserve">Manutenção de Imóveis - 04/2026</t>
  </si>
  <si>
    <t xml:space="preserve">Manutenção de Veiculos e Estacionamento - 04/2026</t>
  </si>
  <si>
    <t xml:space="preserve">Material de Copa e Cozinha - 04/2026</t>
  </si>
  <si>
    <t xml:space="preserve">Material de Limpeza e Higiene - 04/2026</t>
  </si>
  <si>
    <t xml:space="preserve">Outros Tributos - 04/2026</t>
  </si>
  <si>
    <t xml:space="preserve">Salário e Ordenados - 04/2026</t>
  </si>
  <si>
    <t xml:space="preserve">Segurança e Monitoramento - 04/2026</t>
  </si>
  <si>
    <t xml:space="preserve">Seguros - 04/2026</t>
  </si>
  <si>
    <t xml:space="preserve">Tecidos - 04/2026</t>
  </si>
  <si>
    <t xml:space="preserve">Telefonia Fixa e Internet - 04/2026</t>
  </si>
  <si>
    <t xml:space="preserve">Travete - 04/2026</t>
  </si>
  <si>
    <t xml:space="preserve">Tráfego/Social Mídia - 04/2026</t>
  </si>
  <si>
    <t xml:space="preserve">Vale Transporte - 04/2026</t>
  </si>
  <si>
    <t xml:space="preserve">Vales e Adiantamentos - 04/2026</t>
  </si>
  <si>
    <t xml:space="preserve">Web Site e Sistema ERP - 04/2026</t>
  </si>
  <si>
    <t xml:space="preserve">Vendas (recebidas) - 05/2026</t>
  </si>
  <si>
    <t xml:space="preserve">Aviamento - 05/2026</t>
  </si>
  <si>
    <t xml:space="preserve">Energia Elétrica - 05/2026</t>
  </si>
  <si>
    <t xml:space="preserve">Etiquetas - 05/2026</t>
  </si>
  <si>
    <t xml:space="preserve">Facção - 05/2026</t>
  </si>
  <si>
    <t xml:space="preserve">Lavanderia - 05/2026</t>
  </si>
  <si>
    <t xml:space="preserve">Tecidos - 05/2026</t>
  </si>
  <si>
    <t xml:space="preserve">Água - 05/2026</t>
  </si>
  <si>
    <t xml:space="preserve">Vendas (recebidas) - 06/2026</t>
  </si>
  <si>
    <t xml:space="preserve">Custo de Mercadoria Vendida - 01/2025</t>
  </si>
  <si>
    <t xml:space="preserve">Custo de Mercadoria Vendida - 02/2025</t>
  </si>
  <si>
    <t xml:space="preserve">Custo de Mercadoria Vendida - 03/2025</t>
  </si>
  <si>
    <t xml:space="preserve">Custo de Mercadoria Vendida - 04/2025</t>
  </si>
  <si>
    <t xml:space="preserve">Custo de Mercadoria Vendida - 05/2025</t>
  </si>
  <si>
    <t xml:space="preserve">Custo de Mercadoria Vendida - 06/2025</t>
  </si>
  <si>
    <t xml:space="preserve">Custo de Mercadoria Vendida - 07/2025</t>
  </si>
  <si>
    <t xml:space="preserve">Custo de Mercadoria Vendida - 08/2025</t>
  </si>
  <si>
    <t xml:space="preserve">Custo de Mercadoria Vendida - 09/2025</t>
  </si>
  <si>
    <t xml:space="preserve">Custo de Mercadoria Vendida - 10/2025</t>
  </si>
  <si>
    <t xml:space="preserve">Custo de Mercadoria Vendida - 11/2025</t>
  </si>
  <si>
    <t xml:space="preserve">Custo de Mercadoria Vendida - 12/2025</t>
  </si>
  <si>
    <t xml:space="preserve">Custo de Mercadoria Vendida - 01/2026</t>
  </si>
  <si>
    <t xml:space="preserve">Custo de Mercadoria Vendida - 02/2026</t>
  </si>
  <si>
    <t xml:space="preserve">Custo de Mercadoria Vendida - 03/2026</t>
  </si>
  <si>
    <t xml:space="preserve">Custo de Mercadoria Vendida - 04/2026</t>
  </si>
  <si>
    <t xml:space="preserve">Fluxo de Caixa Mensal</t>
  </si>
  <si>
    <t xml:space="preserve">Resumo automático por mês a partir dos Lançamentos. Ajuste o saldo inicial na célula amarela.</t>
  </si>
  <si>
    <t xml:space="preserve">Saldo inicial:</t>
  </si>
  <si>
    <t xml:space="preserve">Entradas</t>
  </si>
  <si>
    <t xml:space="preserve">Saídas</t>
  </si>
  <si>
    <t xml:space="preserve">Resultado do Mês</t>
  </si>
  <si>
    <t xml:space="preserve">Saldo Acumulado</t>
  </si>
  <si>
    <t xml:space="preserve">12/2024</t>
  </si>
  <si>
    <t xml:space="preserve">01/2025</t>
  </si>
  <si>
    <t xml:space="preserve">02/2025</t>
  </si>
  <si>
    <t xml:space="preserve">03/2025</t>
  </si>
  <si>
    <t xml:space="preserve">04/2025</t>
  </si>
  <si>
    <t xml:space="preserve">05/2025</t>
  </si>
  <si>
    <t xml:space="preserve">06/2025</t>
  </si>
  <si>
    <t xml:space="preserve">07/2025</t>
  </si>
  <si>
    <t xml:space="preserve">08/2025</t>
  </si>
  <si>
    <t xml:space="preserve">09/2025</t>
  </si>
  <si>
    <t xml:space="preserve">10/2025</t>
  </si>
  <si>
    <t xml:space="preserve">11/2025</t>
  </si>
  <si>
    <t xml:space="preserve">12/2025</t>
  </si>
  <si>
    <t xml:space="preserve">01/2026</t>
  </si>
  <si>
    <t xml:space="preserve">02/2026</t>
  </si>
  <si>
    <t xml:space="preserve">03/2026</t>
  </si>
  <si>
    <t xml:space="preserve">04/2026</t>
  </si>
  <si>
    <t xml:space="preserve">05/2026</t>
  </si>
  <si>
    <t xml:space="preserve">06/2026</t>
  </si>
  <si>
    <t xml:space="preserve">TOTAL</t>
  </si>
  <si>
    <t xml:space="preserve">DRE Gerencial (mês a mês)</t>
  </si>
  <si>
    <t xml:space="preserve">(+) RECEITA BRUTA DE VENDAS</t>
  </si>
  <si>
    <t xml:space="preserve">    Vendas (recebidas)</t>
  </si>
  <si>
    <t xml:space="preserve">(=) RECEITA BRUTA</t>
  </si>
  <si>
    <t xml:space="preserve"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</si>
  <si>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</si>
  <si>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</si>
  <si>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</si>
  <si>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 xml:space="preserve">(=) TOTAL IMPOSTOS E COMISSÕES</t>
  </si>
  <si>
    <t xml:space="preserve">(=) RECEITA LÍQUIDA</t>
  </si>
  <si>
    <t xml:space="preserve">(-) CUSTO (CMV)</t>
  </si>
  <si>
    <t xml:space="preserve">    Custo de Mercadoria Vendida</t>
  </si>
  <si>
    <t xml:space="preserve">(=) MARGEM (Receita Líq. - CMV)</t>
  </si>
  <si>
    <t xml:space="preserve">(-) DESPESAS OPERACIONAIS</t>
  </si>
  <si>
    <t xml:space="preserve">    Facção</t>
  </si>
  <si>
    <t xml:space="preserve">    Tecidos</t>
  </si>
  <si>
    <t xml:space="preserve">    Lavanderia</t>
  </si>
  <si>
    <t xml:space="preserve">    Acabamento Externo</t>
  </si>
  <si>
    <t xml:space="preserve">    Aviamento</t>
  </si>
  <si>
    <t xml:space="preserve">    Travete</t>
  </si>
  <si>
    <t xml:space="preserve">    Criação de Modelos</t>
  </si>
  <si>
    <t xml:space="preserve">    Etiquetas</t>
  </si>
  <si>
    <t xml:space="preserve">    Frete e Transporte de Mercadorias</t>
  </si>
  <si>
    <t xml:space="preserve">    Produção Externa</t>
  </si>
  <si>
    <t xml:space="preserve">    Bordado Industrial</t>
  </si>
  <si>
    <t xml:space="preserve">    Embalagens</t>
  </si>
  <si>
    <t xml:space="preserve">    Outros Insumos</t>
  </si>
  <si>
    <t xml:space="preserve">    Bordado Manual</t>
  </si>
  <si>
    <t xml:space="preserve">    Manutenção de Máquinas e Peças</t>
  </si>
  <si>
    <t xml:space="preserve">(=) TOTAL DESPESAS OPERACIONAIS</t>
  </si>
  <si>
    <t xml:space="preserve">(-) DESPESAS COM PESSOAL</t>
  </si>
  <si>
    <t xml:space="preserve">    Salário e Ordenados</t>
  </si>
  <si>
    <t xml:space="preserve">    Vales e Adiantamentos</t>
  </si>
  <si>
    <t xml:space="preserve">    Acertos e Recisões</t>
  </si>
  <si>
    <t xml:space="preserve">    Férias</t>
  </si>
  <si>
    <t xml:space="preserve">    Fgts, Gps e Pis</t>
  </si>
  <si>
    <t xml:space="preserve">    Vale Transporte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</si>
  <si>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</si>
  <si>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</si>
  <si>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</si>
  <si>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</si>
  <si>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 xml:space="preserve">(=) TOTAL DESPESAS COM PESSOAL</t>
  </si>
  <si>
    <t xml:space="preserve">(-) DESPESAS ADMINISTRATIVAS E GERAIS</t>
  </si>
  <si>
    <t xml:space="preserve">    Suspenso (a classificar)</t>
  </si>
  <si>
    <t xml:space="preserve">    Aluguéis e Condomínios</t>
  </si>
  <si>
    <t xml:space="preserve">    Publicidade</t>
  </si>
  <si>
    <t xml:space="preserve">    Assessoria Técnica Profissional</t>
  </si>
  <si>
    <t xml:space="preserve">    Compra de Veículos</t>
  </si>
  <si>
    <t xml:space="preserve">    Advogados - Honorários</t>
  </si>
  <si>
    <t xml:space="preserve">    Combustíveis</t>
  </si>
  <si>
    <t xml:space="preserve">    Web Site e Sistema ERP</t>
  </si>
  <si>
    <t xml:space="preserve">    Seguros</t>
  </si>
  <si>
    <t xml:space="preserve">    Segurança e Monitoramento</t>
  </si>
  <si>
    <t xml:space="preserve">    Tráfego/Social Mídia</t>
  </si>
  <si>
    <t xml:space="preserve">    Consulta de Crédito Cliente</t>
  </si>
  <si>
    <t xml:space="preserve">    Viagens e estadas</t>
  </si>
  <si>
    <t xml:space="preserve">    Manutenção de Veiculos e Estacionamento</t>
  </si>
  <si>
    <t xml:space="preserve">    Água</t>
  </si>
  <si>
    <t xml:space="preserve">    Material de Escritório</t>
  </si>
  <si>
    <t xml:space="preserve">    Compra de Computadores e Eletrônicos</t>
  </si>
  <si>
    <t xml:space="preserve">    Manutenção de Imóveis</t>
  </si>
  <si>
    <t xml:space="preserve">    Material de Limpeza e Higiene</t>
  </si>
  <si>
    <t xml:space="preserve">    Energia Elétrica</t>
  </si>
  <si>
    <t xml:space="preserve">    Telefonia Fixa e Internet</t>
  </si>
  <si>
    <t xml:space="preserve">    Telefonia Móvel</t>
  </si>
  <si>
    <t xml:space="preserve">    Coquetéis, festas e outros eventos</t>
  </si>
  <si>
    <t xml:space="preserve">    Alimentação</t>
  </si>
  <si>
    <t xml:space="preserve">    Patrocínio</t>
  </si>
  <si>
    <t xml:space="preserve">    Material de Copa e Cozinha</t>
  </si>
  <si>
    <t xml:space="preserve">    Honorários Contábeis (Contabilidade)</t>
  </si>
  <si>
    <t xml:space="preserve">    Gasto com Reforma</t>
  </si>
  <si>
    <t xml:space="preserve">    Outras Despesas</t>
  </si>
  <si>
    <t xml:space="preserve">    Manutenção de Moveis e Utensílios</t>
  </si>
  <si>
    <t xml:space="preserve">    Despesa não Identificada</t>
  </si>
  <si>
    <t xml:space="preserve">    Despesas com Documentos e Xerox</t>
  </si>
  <si>
    <t xml:space="preserve">(=) TOTAL DESPESAS ADMINISTRATIVAS</t>
  </si>
  <si>
    <t xml:space="preserve">(=) EBITDA</t>
  </si>
  <si>
    <t xml:space="preserve">(-) DESPESAS FINANCEIRAS</t>
  </si>
  <si>
    <t xml:space="preserve">    Empréstimos</t>
  </si>
  <si>
    <t xml:space="preserve">    Darf</t>
  </si>
  <si>
    <t xml:space="preserve">    Juros de Empréstimos</t>
  </si>
  <si>
    <t xml:space="preserve">    Tarifas e Custos de Op. Bancárias</t>
  </si>
  <si>
    <t xml:space="preserve">    Consórcio</t>
  </si>
  <si>
    <t xml:space="preserve">    Outros Tributos</t>
  </si>
  <si>
    <t xml:space="preserve">    Multas e Juros por Atraso</t>
  </si>
  <si>
    <t xml:space="preserve">    Ipva</t>
  </si>
  <si>
    <t xml:space="preserve">    Multas</t>
  </si>
  <si>
    <t xml:space="preserve">(=) TOTAL DESPESAS FINANCEIRAS</t>
  </si>
  <si>
    <t xml:space="preserve">(-) RETIRADAS DE SÓCIOS</t>
  </si>
  <si>
    <t xml:space="preserve">    Retiradas de Sócios</t>
  </si>
  <si>
    <t xml:space="preserve">(=) TOTAL RETIRADAS DE SÓCIOS</t>
  </si>
  <si>
    <t xml:space="preserve">(=) EBITDA FINAL</t>
  </si>
  <si>
    <t xml:space="preserve">MédiaMensal</t>
  </si>
  <si>
    <t xml:space="preserve">Simulador de Compra Parcelada</t>
  </si>
  <si>
    <t xml:space="preserve">Preencha os campos amarelos. O sistema calcula a parcela e diz se cabe no seu limite.</t>
  </si>
  <si>
    <t xml:space="preserve">DADOS DA COMPRA</t>
  </si>
  <si>
    <t xml:space="preserve">SUA CAPACIDADE DE PAGAMENTO</t>
  </si>
  <si>
    <t xml:space="preserve">Valor do produto (R$)</t>
  </si>
  <si>
    <t xml:space="preserve">Receita mensal média (R$)</t>
  </si>
  <si>
    <t xml:space="preserve">Entrada / sinal (R$)</t>
  </si>
  <si>
    <t xml:space="preserve">Despesas fixas mensais (R$)</t>
  </si>
  <si>
    <t xml:space="preserve">Número de parcelas</t>
  </si>
  <si>
    <t xml:space="preserve">% da sobra que pode comprometer</t>
  </si>
  <si>
    <t xml:space="preserve">Taxa de juros ao mês (%)</t>
  </si>
  <si>
    <t xml:space="preserve">Parcelas já ativas - categoria</t>
  </si>
  <si>
    <t xml:space="preserve">Parcelas já comprometidas/mês</t>
  </si>
  <si>
    <t xml:space="preserve">RESULTADO DA SIMULAÇÃO</t>
  </si>
  <si>
    <t xml:space="preserve">Valor financiado (produto - entrada)</t>
  </si>
  <si>
    <t xml:space="preserve">Valor da parcela mensal</t>
  </si>
  <si>
    <t xml:space="preserve">Total pago ao final (entrada + parcelas)</t>
  </si>
  <si>
    <t xml:space="preserve">Custo dos juros (total)</t>
  </si>
  <si>
    <t xml:space="preserve">Limite de parcela disponível (já descontando ativas)</t>
  </si>
  <si>
    <t xml:space="preserve">Painel de Produção de Peças</t>
  </si>
  <si>
    <t xml:space="preserve">Preencha peça, meta, produzido, refugo e custo. % atingido e status são automáticos.</t>
  </si>
  <si>
    <t xml:space="preserve">Peça / Produto</t>
  </si>
  <si>
    <t xml:space="preserve">Meta (un)</t>
  </si>
  <si>
    <t xml:space="preserve">Produzido (un)</t>
  </si>
  <si>
    <t xml:space="preserve">Refugo (un)</t>
  </si>
  <si>
    <t xml:space="preserve">% Atingido</t>
  </si>
  <si>
    <t xml:space="preserve">Custo unit. (R$)</t>
  </si>
  <si>
    <t xml:space="preserve">Status</t>
  </si>
  <si>
    <t xml:space="preserve">Camisa Social</t>
  </si>
  <si>
    <t xml:space="preserve">Calça Jeans</t>
  </si>
  <si>
    <t xml:space="preserve">Vestido</t>
  </si>
  <si>
    <t xml:space="preserve">Camiseta Básica</t>
  </si>
  <si>
    <t xml:space="preserve">Régua de Crédito</t>
  </si>
  <si>
    <t xml:space="preserve">Responda Sim/Não. O sistema soma os pontos e decide a liberação.</t>
  </si>
  <si>
    <t xml:space="preserve">Pergunta</t>
  </si>
  <si>
    <t xml:space="preserve">Resposta</t>
  </si>
  <si>
    <t xml:space="preserve">Pontos</t>
  </si>
  <si>
    <t xml:space="preserve">O cliente já comprou com a gente antes?</t>
  </si>
  <si>
    <t xml:space="preserve">Não</t>
  </si>
  <si>
    <t xml:space="preserve">Os pagamentos anteriores foram em dia?</t>
  </si>
  <si>
    <t xml:space="preserve">Possui CNPJ ativo / cadastro regular?</t>
  </si>
  <si>
    <t xml:space="preserve">Está com o nome limpo (sem SPC/Serasa)?</t>
  </si>
  <si>
    <t xml:space="preserve">Apresentou comprovante de renda/faturamento?</t>
  </si>
  <si>
    <t xml:space="preserve">O valor pedido está dentro do histórico dele?</t>
  </si>
  <si>
    <t xml:space="preserve">PONTUAÇÃO TOTAL</t>
  </si>
  <si>
    <t xml:space="preserve">Critério de decisão:</t>
  </si>
  <si>
    <t xml:space="preserve">80 a 100 pontos  →  Crédito liberado</t>
  </si>
  <si>
    <t xml:space="preserve">50 a 79 pontos  →  Liberar com cautela (pedir garantia)</t>
  </si>
  <si>
    <t xml:space="preserve">0 a 49 pontos  →  Crédito negado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</si>
</sst>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&quot;R$ &quot;#,##0.00;[RED]&quot;(R$ &quot;#,##0.00\);\-"/>
    <numFmt numFmtId="167" formatCode="&quot;R$ &quot;#,##0.00"/>
    <numFmt numFmtId="168" formatCode="0"/>
    <numFmt numFmtId="169" formatCode="0%"/>
    <numFmt numFmtId="170" formatCode="0.00%"/>
    <numFmt numFmtId="171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2E5A87"/>
      <name val="Arial"/>
      <family val="0"/>
      <charset val="1"/>
    </font>
    <font>
      <b val="true"/>
      <sz val="12"/>
      <color rgb="FFC62828"/>
      <name val="Arial"/>
      <family val="0"/>
      <charset val="1"/>
    </font>
    <font>
      <b val="true"/>
      <sz val="16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2E7D32"/>
      <name val="Arial"/>
      <family val="0"/>
      <charset val="1"/>
    </font>
    <font>
      <sz val="11"/>
      <color rgb="FFC6282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2E5A87"/>
      </patternFill>
    </fill>
    <fill>
      <patternFill patternType="solid">
        <fgColor rgb="FFC9A227"/>
        <bgColor rgb="FF99CC00"/>
      </patternFill>
    </fill>
    <fill>
      <patternFill patternType="solid">
        <fgColor rgb="FF2E5A87"/>
        <bgColor rgb="FF555555"/>
      </patternFill>
    </fill>
    <fill>
      <patternFill patternType="solid">
        <fgColor rgb="FFFFF8E1"/>
        <bgColor rgb="FFFFFFFF"/>
      </patternFill>
    </fill>
    <fill>
      <patternFill patternType="solid">
        <fgColor rgb="FFDDE7F0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DDE7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C9A227"/>
      <rgbColor rgb="FFFF6600"/>
      <rgbColor rgb="FF666666"/>
      <rgbColor rgb="FFB3B3B3"/>
      <rgbColor rgb="FF1F3A5F"/>
      <rgbColor rgb="FF2E7D32"/>
      <rgbColor rgb="FF003300"/>
      <rgbColor rgb="FF333300"/>
      <rgbColor rgb="FFC62828"/>
      <rgbColor rgb="FF993366"/>
      <rgbColor rgb="FF2E5A87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Entradas x Saídas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'Fluxo de Caixa'!C7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Caixa'!$B$8:$B$26</c:f>
              <c:strCache>
                <c:ptCount val="19"/>
                <c:pt idx="0">
                  <c:v>12/2024</c:v>
                </c:pt>
                <c:pt idx="1">
                  <c:v>01/2025</c:v>
                </c:pt>
                <c:pt idx="2">
                  <c:v>02/2025</c:v>
                </c:pt>
                <c:pt idx="3">
                  <c:v>03/2025</c:v>
                </c:pt>
                <c:pt idx="4">
                  <c:v>04/2025</c:v>
                </c:pt>
                <c:pt idx="5">
                  <c:v>05/2025</c:v>
                </c:pt>
                <c:pt idx="6">
                  <c:v>06/2025</c:v>
                </c:pt>
                <c:pt idx="7">
                  <c:v>07/2025</c:v>
                </c:pt>
                <c:pt idx="8">
                  <c:v>08/2025</c:v>
                </c:pt>
                <c:pt idx="9">
                  <c:v>09/2025</c:v>
                </c:pt>
                <c:pt idx="10">
                  <c:v>10/2025</c:v>
                </c:pt>
                <c:pt idx="11">
                  <c:v>11/2025</c:v>
                </c:pt>
                <c:pt idx="12">
                  <c:v>12/2025</c:v>
                </c:pt>
                <c:pt idx="13">
                  <c:v>01/2026</c:v>
                </c:pt>
                <c:pt idx="14">
                  <c:v>02/2026</c:v>
                </c:pt>
                <c:pt idx="15">
                  <c:v>03/2026</c:v>
                </c:pt>
                <c:pt idx="16">
                  <c:v>04/2026</c:v>
                </c:pt>
                <c:pt idx="17">
                  <c:v>05/2026</c:v>
                </c:pt>
                <c:pt idx="18">
                  <c:v>06/2026</c:v>
                </c:pt>
              </c:strCache>
            </c:strRef>
          </c:cat>
          <c:val>
            <c:numRef>
              <c:f>'Fluxo de Caixa'!$C$8:$C$26</c:f>
              <c:numCache>
                <c:formatCode>"R$ "#,##0.00;[RED]"(R$ "#,##0.00\);\-</c:formatCode>
                <c:ptCount val="19"/>
                <c:pt idx="0">
                  <c:v>0</c:v>
                </c:pt>
                <c:pt idx="1">
                  <c:v>216780.26</c:v>
                </c:pt>
                <c:pt idx="2">
                  <c:v>326133.08</c:v>
                </c:pt>
                <c:pt idx="3">
                  <c:v>357019.64</c:v>
                </c:pt>
                <c:pt idx="4">
                  <c:v>148595.57</c:v>
                </c:pt>
                <c:pt idx="5">
                  <c:v>403279.55</c:v>
                </c:pt>
                <c:pt idx="6">
                  <c:v>531416.69</c:v>
                </c:pt>
                <c:pt idx="7">
                  <c:v>429681.99</c:v>
                </c:pt>
                <c:pt idx="8">
                  <c:v>488467.9</c:v>
                </c:pt>
                <c:pt idx="9">
                  <c:v>494182.25</c:v>
                </c:pt>
                <c:pt idx="10">
                  <c:v>549870.59</c:v>
                </c:pt>
                <c:pt idx="11">
                  <c:v>689343.98</c:v>
                </c:pt>
                <c:pt idx="12">
                  <c:v>759990.9</c:v>
                </c:pt>
                <c:pt idx="13">
                  <c:v>237204.4</c:v>
                </c:pt>
                <c:pt idx="14">
                  <c:v>294769.4</c:v>
                </c:pt>
                <c:pt idx="15">
                  <c:v>407513.03</c:v>
                </c:pt>
                <c:pt idx="16">
                  <c:v>443962.3</c:v>
                </c:pt>
                <c:pt idx="17">
                  <c:v>550000</c:v>
                </c:pt>
                <c:pt idx="18">
                  <c:v>640000</c:v>
                </c:pt>
              </c:numCache>
            </c:numRef>
          </c:val>
        </c:ser>
        <c:ser>
          <c:idx val="1"/>
          <c:order val="1"/>
          <c:tx>
            <c:strRef>
              <c:f>'Fluxo de Caixa'!D7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Caixa'!$B$8:$B$26</c:f>
              <c:strCache>
                <c:ptCount val="19"/>
                <c:pt idx="0">
                  <c:v>12/2024</c:v>
                </c:pt>
                <c:pt idx="1">
                  <c:v>01/2025</c:v>
                </c:pt>
                <c:pt idx="2">
                  <c:v>02/2025</c:v>
                </c:pt>
                <c:pt idx="3">
                  <c:v>03/2025</c:v>
                </c:pt>
                <c:pt idx="4">
                  <c:v>04/2025</c:v>
                </c:pt>
                <c:pt idx="5">
                  <c:v>05/2025</c:v>
                </c:pt>
                <c:pt idx="6">
                  <c:v>06/2025</c:v>
                </c:pt>
                <c:pt idx="7">
                  <c:v>07/2025</c:v>
                </c:pt>
                <c:pt idx="8">
                  <c:v>08/2025</c:v>
                </c:pt>
                <c:pt idx="9">
                  <c:v>09/2025</c:v>
                </c:pt>
                <c:pt idx="10">
                  <c:v>10/2025</c:v>
                </c:pt>
                <c:pt idx="11">
                  <c:v>11/2025</c:v>
                </c:pt>
                <c:pt idx="12">
                  <c:v>12/2025</c:v>
                </c:pt>
                <c:pt idx="13">
                  <c:v>01/2026</c:v>
                </c:pt>
                <c:pt idx="14">
                  <c:v>02/2026</c:v>
                </c:pt>
                <c:pt idx="15">
                  <c:v>03/2026</c:v>
                </c:pt>
                <c:pt idx="16">
                  <c:v>04/2026</c:v>
                </c:pt>
                <c:pt idx="17">
                  <c:v>05/2026</c:v>
                </c:pt>
                <c:pt idx="18">
                  <c:v>06/2026</c:v>
                </c:pt>
              </c:strCache>
            </c:strRef>
          </c:cat>
          <c:val>
            <c:numRef>
              <c:f>'Fluxo de Caixa'!$D$8:$D$26</c:f>
              <c:numCache>
                <c:formatCode>"R$ "#,##0.00;[RED]"(R$ "#,##0.00\);\-</c:formatCode>
                <c:ptCount val="19"/>
                <c:pt idx="0">
                  <c:v>17715.33</c:v>
                </c:pt>
                <c:pt idx="1">
                  <c:v>585918.75</c:v>
                </c:pt>
                <c:pt idx="2">
                  <c:v>651892.13</c:v>
                </c:pt>
                <c:pt idx="3">
                  <c:v>613033.51</c:v>
                </c:pt>
                <c:pt idx="4">
                  <c:v>792065.26</c:v>
                </c:pt>
                <c:pt idx="5">
                  <c:v>861481.32</c:v>
                </c:pt>
                <c:pt idx="6">
                  <c:v>1030846.42</c:v>
                </c:pt>
                <c:pt idx="7">
                  <c:v>1017721.82</c:v>
                </c:pt>
                <c:pt idx="8">
                  <c:v>1075372.29</c:v>
                </c:pt>
                <c:pt idx="9">
                  <c:v>1073798.72</c:v>
                </c:pt>
                <c:pt idx="10">
                  <c:v>981874.29</c:v>
                </c:pt>
                <c:pt idx="11">
                  <c:v>831356.18</c:v>
                </c:pt>
                <c:pt idx="12">
                  <c:v>493994.09</c:v>
                </c:pt>
                <c:pt idx="13">
                  <c:v>460559.5</c:v>
                </c:pt>
                <c:pt idx="14">
                  <c:v>433816.66</c:v>
                </c:pt>
                <c:pt idx="15">
                  <c:v>568636.38</c:v>
                </c:pt>
                <c:pt idx="16">
                  <c:v>495650.27</c:v>
                </c:pt>
                <c:pt idx="17">
                  <c:v>26795.32</c:v>
                </c:pt>
                <c:pt idx="18">
                  <c:v>0</c:v>
                </c:pt>
              </c:numCache>
            </c:numRef>
          </c:val>
        </c:ser>
        <c:gapWidth val="150"/>
        <c:overlap val="0"/>
        <c:axId val="70364852"/>
        <c:axId val="71148529"/>
      </c:barChart>
      <c:catAx>
        <c:axId val="703648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48529"/>
        <c:crosses val="autoZero"/>
        <c:auto val="1"/>
        <c:lblAlgn val="ctr"/>
        <c:lblOffset val="100"/>
        <c:noMultiLvlLbl val="0"/>
      </c:catAx>
      <c:valAx>
        <c:axId val="711485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648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Saldo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de Caixa'!F7</c:f>
              <c:strCache>
                <c:ptCount val="1"/>
                <c:pt idx="0">
                  <c:v>Saldo Acumulado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Caixa'!$B$8:$B$26</c:f>
              <c:strCache>
                <c:ptCount val="19"/>
                <c:pt idx="0">
                  <c:v>12/2024</c:v>
                </c:pt>
                <c:pt idx="1">
                  <c:v>01/2025</c:v>
                </c:pt>
                <c:pt idx="2">
                  <c:v>02/2025</c:v>
                </c:pt>
                <c:pt idx="3">
                  <c:v>03/2025</c:v>
                </c:pt>
                <c:pt idx="4">
                  <c:v>04/2025</c:v>
                </c:pt>
                <c:pt idx="5">
                  <c:v>05/2025</c:v>
                </c:pt>
                <c:pt idx="6">
                  <c:v>06/2025</c:v>
                </c:pt>
                <c:pt idx="7">
                  <c:v>07/2025</c:v>
                </c:pt>
                <c:pt idx="8">
                  <c:v>08/2025</c:v>
                </c:pt>
                <c:pt idx="9">
                  <c:v>09/2025</c:v>
                </c:pt>
                <c:pt idx="10">
                  <c:v>10/2025</c:v>
                </c:pt>
                <c:pt idx="11">
                  <c:v>11/2025</c:v>
                </c:pt>
                <c:pt idx="12">
                  <c:v>12/2025</c:v>
                </c:pt>
                <c:pt idx="13">
                  <c:v>01/2026</c:v>
                </c:pt>
                <c:pt idx="14">
                  <c:v>02/2026</c:v>
                </c:pt>
                <c:pt idx="15">
                  <c:v>03/2026</c:v>
                </c:pt>
                <c:pt idx="16">
                  <c:v>04/2026</c:v>
                </c:pt>
                <c:pt idx="17">
                  <c:v>05/2026</c:v>
                </c:pt>
                <c:pt idx="18">
                  <c:v>06/2026</c:v>
                </c:pt>
              </c:strCache>
            </c:strRef>
          </c:cat>
          <c:val>
            <c:numRef>
              <c:f>'Fluxo de Caixa'!$F$8:$F$26</c:f>
              <c:numCache>
                <c:formatCode>"R$ "#,##0.00;[RED]"(R$ "#,##0.00\);\-</c:formatCode>
                <c:ptCount val="19"/>
                <c:pt idx="0">
                  <c:v>-17715.33</c:v>
                </c:pt>
                <c:pt idx="1">
                  <c:v>-386853.82</c:v>
                </c:pt>
                <c:pt idx="2">
                  <c:v>-712612.87</c:v>
                </c:pt>
                <c:pt idx="3">
                  <c:v>-968626.74</c:v>
                </c:pt>
                <c:pt idx="4">
                  <c:v>-1612096.43</c:v>
                </c:pt>
                <c:pt idx="5">
                  <c:v>-2070298.2</c:v>
                </c:pt>
                <c:pt idx="6">
                  <c:v>-2569727.93</c:v>
                </c:pt>
                <c:pt idx="7">
                  <c:v>-3157767.76</c:v>
                </c:pt>
                <c:pt idx="8">
                  <c:v>-3744672.15</c:v>
                </c:pt>
                <c:pt idx="9">
                  <c:v>-4324288.62</c:v>
                </c:pt>
                <c:pt idx="10">
                  <c:v>-4756292.32</c:v>
                </c:pt>
                <c:pt idx="11">
                  <c:v>-4898304.52</c:v>
                </c:pt>
                <c:pt idx="12">
                  <c:v>-4632307.71</c:v>
                </c:pt>
                <c:pt idx="13">
                  <c:v>-4855662.81</c:v>
                </c:pt>
                <c:pt idx="14">
                  <c:v>-4994710.07</c:v>
                </c:pt>
                <c:pt idx="15">
                  <c:v>-5155833.42</c:v>
                </c:pt>
                <c:pt idx="16">
                  <c:v>-5207521.39</c:v>
                </c:pt>
                <c:pt idx="17">
                  <c:v>-4684316.71</c:v>
                </c:pt>
                <c:pt idx="18">
                  <c:v>-4044316.71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801143"/>
        <c:axId val="87590504"/>
      </c:lineChart>
      <c:catAx>
        <c:axId val="448011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90504"/>
        <c:crosses val="autoZero"/>
        <c:auto val="1"/>
        <c:lblAlgn val="ctr"/>
        <c:lblOffset val="100"/>
        <c:noMultiLvlLbl val="0"/>
      </c:catAx>
      <c:valAx>
        <c:axId val="875905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011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'Produção de Peças'!C5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</c:ser>
        <c:ser>
          <c:idx val="1"/>
          <c:order val="1"/>
          <c:tx>
            <c:strRef>
              <c:f>'Produção de Peças'!D5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</c:ser>
        <c:gapWidth val="150"/>
        <c:overlap val="0"/>
        <c:axId val="42696848"/>
        <c:axId val="66376446"/>
      </c:barChart>
      <c:catAx>
        <c:axId val="426968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76446"/>
        <c:crosses val="autoZero"/>
        <c:auto val="1"/>
        <c:lblAlgn val="ctr"/>
        <c:lblOffset val="100"/>
        <c:noMultiLvlLbl val="0"/>
      </c:catAx>
      <c:valAx>
        <c:axId val="663764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968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19</xdr:col>
      <xdr:colOff>577440</xdr:colOff>
      <xdr:row>22</xdr:row>
      <xdr:rowOff>45000</xdr:rowOff>
    </xdr:to>
    <xdr:graphicFrame>
      <xdr:nvGraphicFramePr>
        <xdr:cNvPr id="0" name="Chart 1"/>
        <xdr:cNvGraphicFramePr/>
      </xdr:nvGraphicFramePr>
      <xdr:xfrm>
        <a:off x="6884640" y="1200240"/>
        <a:ext cx="791568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19</xdr:col>
      <xdr:colOff>577440</xdr:colOff>
      <xdr:row>41</xdr:row>
      <xdr:rowOff>187920</xdr:rowOff>
    </xdr:to>
    <xdr:graphicFrame>
      <xdr:nvGraphicFramePr>
        <xdr:cNvPr id="1" name="Chart 2"/>
        <xdr:cNvGraphicFramePr/>
      </xdr:nvGraphicFramePr>
      <xdr:xfrm>
        <a:off x="6884640" y="4962600"/>
        <a:ext cx="791568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131040</xdr:rowOff>
    </xdr:from>
    <xdr:to>
      <xdr:col>18</xdr:col>
      <xdr:colOff>251280</xdr:colOff>
      <xdr:row>17</xdr:row>
      <xdr:rowOff>188640</xdr:rowOff>
    </xdr:to>
    <xdr:graphicFrame>
      <xdr:nvGraphicFramePr>
        <xdr:cNvPr id="2" name="Chart 1"/>
        <xdr:cNvGraphicFramePr/>
      </xdr:nvGraphicFramePr>
      <xdr:xfrm>
        <a:off x="8858160" y="759600"/>
        <a:ext cx="5754960" cy="286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7" min="2" style="1" width="16"/>
  </cols>
  <sheetData>
    <row r="2" customFormat="false" ht="39.75" hidden="false" customHeight="true" outlineLevel="0" collapsed="false">
      <c r="B2" s="2" t="s">
        <v>0</v>
      </c>
      <c r="C2" s="2"/>
      <c r="D2" s="2"/>
      <c r="E2" s="2"/>
      <c r="F2" s="2"/>
      <c r="G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</row>
    <row r="6" customFormat="false" ht="15" hidden="false" customHeight="true" outlineLevel="0" collapsed="false">
      <c r="B6" s="5"/>
      <c r="C6" s="5"/>
      <c r="D6" s="5"/>
      <c r="E6" s="5"/>
      <c r="F6" s="5"/>
      <c r="G6" s="5"/>
    </row>
    <row r="7" customFormat="false" ht="15" hidden="false" customHeight="true" outlineLevel="0" collapsed="false">
      <c r="B7" s="5" t="s">
        <v>3</v>
      </c>
      <c r="C7" s="5"/>
      <c r="D7" s="5"/>
      <c r="E7" s="5"/>
      <c r="F7" s="5"/>
      <c r="G7" s="5"/>
    </row>
    <row r="8" customFormat="false" ht="15" hidden="false" customHeight="true" outlineLevel="0" collapsed="false">
      <c r="B8" s="5" t="s">
        <v>4</v>
      </c>
      <c r="C8" s="5"/>
      <c r="D8" s="5"/>
      <c r="E8" s="5"/>
      <c r="F8" s="5"/>
      <c r="G8" s="5"/>
    </row>
    <row r="9" customFormat="false" ht="15" hidden="false" customHeight="true" outlineLevel="0" collapsed="false">
      <c r="B9" s="5"/>
      <c r="C9" s="5"/>
      <c r="D9" s="5"/>
      <c r="E9" s="5"/>
      <c r="F9" s="5"/>
      <c r="G9" s="5"/>
    </row>
    <row r="10" customFormat="false" ht="15" hidden="false" customHeight="true" outlineLevel="0" collapsed="false">
      <c r="B10" s="6" t="s">
        <v>5</v>
      </c>
      <c r="C10" s="6"/>
      <c r="D10" s="6"/>
      <c r="E10" s="6"/>
      <c r="F10" s="6"/>
      <c r="G10" s="6"/>
    </row>
    <row r="11" customFormat="false" ht="15" hidden="false" customHeight="true" outlineLevel="0" collapsed="false">
      <c r="B11" s="5" t="s">
        <v>6</v>
      </c>
      <c r="C11" s="5"/>
      <c r="D11" s="5"/>
      <c r="E11" s="5"/>
      <c r="F11" s="5"/>
      <c r="G11" s="5"/>
    </row>
    <row r="12" customFormat="false" ht="15" hidden="false" customHeight="true" outlineLevel="0" collapsed="false">
      <c r="B12" s="5" t="s">
        <v>7</v>
      </c>
      <c r="C12" s="5"/>
      <c r="D12" s="5"/>
      <c r="E12" s="5"/>
      <c r="F12" s="5"/>
      <c r="G12" s="5"/>
    </row>
    <row r="13" customFormat="false" ht="15" hidden="false" customHeight="true" outlineLevel="0" collapsed="false">
      <c r="B13" s="5" t="s">
        <v>8</v>
      </c>
      <c r="C13" s="5"/>
      <c r="D13" s="5"/>
      <c r="E13" s="5"/>
      <c r="F13" s="5"/>
      <c r="G13" s="5"/>
    </row>
    <row r="14" customFormat="false" ht="15" hidden="false" customHeight="true" outlineLevel="0" collapsed="false">
      <c r="B14" s="5" t="s">
        <v>9</v>
      </c>
      <c r="C14" s="5"/>
      <c r="D14" s="5"/>
      <c r="E14" s="5"/>
      <c r="F14" s="5"/>
      <c r="G14" s="5"/>
    </row>
    <row r="15" customFormat="false" ht="15" hidden="false" customHeight="true" outlineLevel="0" collapsed="false">
      <c r="B15" s="5" t="s">
        <v>10</v>
      </c>
      <c r="C15" s="5"/>
      <c r="D15" s="5"/>
      <c r="E15" s="5"/>
      <c r="F15" s="5"/>
      <c r="G15" s="5"/>
    </row>
    <row r="16" customFormat="false" ht="15" hidden="false" customHeight="true" outlineLevel="0" collapsed="false">
      <c r="B16" s="5" t="s">
        <v>11</v>
      </c>
      <c r="C16" s="5"/>
      <c r="D16" s="5"/>
      <c r="E16" s="5"/>
      <c r="F16" s="5"/>
      <c r="G16" s="5"/>
    </row>
    <row r="17" customFormat="false" ht="15" hidden="false" customHeight="true" outlineLevel="0" collapsed="false">
      <c r="B17" s="5" t="s">
        <v>12</v>
      </c>
      <c r="C17" s="5"/>
      <c r="D17" s="5"/>
      <c r="E17" s="5"/>
      <c r="F17" s="5"/>
      <c r="G17" s="5"/>
    </row>
    <row r="18" customFormat="false" ht="15" hidden="false" customHeight="true" outlineLevel="0" collapsed="false">
      <c r="B18" s="5"/>
      <c r="C18" s="5"/>
      <c r="D18" s="5"/>
      <c r="E18" s="5"/>
      <c r="F18" s="5"/>
      <c r="G18" s="5"/>
    </row>
    <row r="19" customFormat="false" ht="15" hidden="false" customHeight="true" outlineLevel="0" collapsed="false">
      <c r="B19" s="7" t="s">
        <v>13</v>
      </c>
      <c r="C19" s="7"/>
      <c r="D19" s="7"/>
      <c r="E19" s="7"/>
      <c r="F19" s="7"/>
      <c r="G19" s="7"/>
    </row>
    <row r="20" customFormat="false" ht="15" hidden="false" customHeight="true" outlineLevel="0" collapsed="false">
      <c r="B20" s="5" t="s">
        <v>14</v>
      </c>
      <c r="C20" s="5"/>
      <c r="D20" s="5"/>
      <c r="E20" s="5"/>
      <c r="F20" s="5"/>
      <c r="G20" s="5"/>
    </row>
    <row r="21" customFormat="false" ht="15" hidden="false" customHeight="true" outlineLevel="0" collapsed="false">
      <c r="B21" s="5" t="s">
        <v>15</v>
      </c>
      <c r="C21" s="5"/>
      <c r="D21" s="5"/>
      <c r="E21" s="5"/>
      <c r="F21" s="5"/>
      <c r="G21" s="5"/>
    </row>
    <row r="22" customFormat="false" ht="15" hidden="false" customHeight="true" outlineLevel="0" collapsed="false">
      <c r="B22" s="5" t="s">
        <v>16</v>
      </c>
      <c r="C22" s="5"/>
      <c r="D22" s="5"/>
      <c r="E22" s="5"/>
      <c r="F22" s="5"/>
      <c r="G22" s="5"/>
    </row>
  </sheetData>
  <mergeCells count="20">
    <mergeCell ref="B2:G2"/>
    <mergeCell ref="B3:G3"/>
    <mergeCell ref="B5:G5"/>
    <mergeCell ref="B6:G6"/>
    <mergeCell ref="B7:G7"/>
    <mergeCell ref="B8:G8"/>
    <mergeCell ref="B9:G9"/>
    <mergeCell ref="B10:G10"/>
    <mergeCell ref="B11:G11"/>
    <mergeCell ref="B12:G12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4" min="4" style="1" width="3"/>
    <col collapsed="false" customWidth="true" hidden="false" outlineLevel="0" max="5" min="5" style="1" width="38"/>
    <col collapsed="false" customWidth="true" hidden="false" outlineLevel="0" max="6" min="6" style="1" width="3"/>
    <col collapsed="false" customWidth="true" hidden="false" outlineLevel="0" max="7" min="7" style="1" width="38"/>
  </cols>
  <sheetData>
    <row r="2" customFormat="false" ht="19.5" hidden="false" customHeight="true" outlineLevel="0" collapsed="false">
      <c r="B2" s="8" t="s">
        <v>17</v>
      </c>
      <c r="C2" s="8"/>
    </row>
    <row r="4" customFormat="false" ht="15" hidden="false" customHeight="true" outlineLevel="0" collapsed="false">
      <c r="B4" s="9" t="s">
        <v>18</v>
      </c>
      <c r="C4" s="9" t="s">
        <v>19</v>
      </c>
      <c r="E4" s="10" t="s">
        <v>20</v>
      </c>
      <c r="G4" s="11" t="s">
        <v>21</v>
      </c>
    </row>
    <row r="5" customFormat="false" ht="15" hidden="false" customHeight="true" outlineLevel="0" collapsed="false">
      <c r="B5" s="12" t="s">
        <v>22</v>
      </c>
      <c r="C5" s="13" t="s">
        <v>23</v>
      </c>
      <c r="E5" s="12" t="s">
        <v>24</v>
      </c>
      <c r="G5" s="12" t="s">
        <v>22</v>
      </c>
    </row>
    <row r="6" customFormat="false" ht="15" hidden="false" customHeight="true" outlineLevel="0" collapsed="false">
      <c r="B6" s="12" t="s">
        <v>25</v>
      </c>
      <c r="C6" s="13" t="s">
        <v>23</v>
      </c>
      <c r="E6" s="12" t="s">
        <v>26</v>
      </c>
      <c r="G6" s="12" t="s">
        <v>25</v>
      </c>
    </row>
    <row r="7" customFormat="false" ht="15" hidden="false" customHeight="true" outlineLevel="0" collapsed="false">
      <c r="B7" s="12" t="s">
        <v>27</v>
      </c>
      <c r="C7" s="13" t="s">
        <v>23</v>
      </c>
      <c r="E7" s="12" t="s">
        <v>28</v>
      </c>
      <c r="G7" s="12" t="s">
        <v>27</v>
      </c>
    </row>
    <row r="8" customFormat="false" ht="15" hidden="false" customHeight="true" outlineLevel="0" collapsed="false">
      <c r="E8" s="12" t="s">
        <v>29</v>
      </c>
      <c r="G8" s="12" t="s">
        <v>24</v>
      </c>
    </row>
    <row r="9" customFormat="false" ht="15" hidden="false" customHeight="true" outlineLevel="0" collapsed="false">
      <c r="E9" s="12" t="s">
        <v>30</v>
      </c>
      <c r="G9" s="12" t="s">
        <v>26</v>
      </c>
    </row>
    <row r="10" customFormat="false" ht="15" hidden="false" customHeight="true" outlineLevel="0" collapsed="false">
      <c r="E10" s="12" t="s">
        <v>31</v>
      </c>
      <c r="G10" s="12" t="s">
        <v>28</v>
      </c>
    </row>
    <row r="11" customFormat="false" ht="15" hidden="false" customHeight="true" outlineLevel="0" collapsed="false">
      <c r="E11" s="12" t="s">
        <v>32</v>
      </c>
      <c r="G11" s="12" t="s">
        <v>29</v>
      </c>
    </row>
    <row r="12" customFormat="false" ht="15" hidden="false" customHeight="true" outlineLevel="0" collapsed="false">
      <c r="E12" s="12" t="s">
        <v>33</v>
      </c>
      <c r="G12" s="12" t="s">
        <v>30</v>
      </c>
    </row>
    <row r="13" customFormat="false" ht="15" hidden="false" customHeight="true" outlineLevel="0" collapsed="false">
      <c r="E13" s="12" t="s">
        <v>34</v>
      </c>
      <c r="G13" s="12" t="s">
        <v>31</v>
      </c>
    </row>
    <row r="14" customFormat="false" ht="15" hidden="false" customHeight="true" outlineLevel="0" collapsed="false">
      <c r="E14" s="12" t="s">
        <v>35</v>
      </c>
      <c r="G14" s="12" t="s">
        <v>32</v>
      </c>
    </row>
    <row r="15" customFormat="false" ht="15" hidden="false" customHeight="true" outlineLevel="0" collapsed="false">
      <c r="E15" s="12" t="s">
        <v>36</v>
      </c>
      <c r="G15" s="12" t="s">
        <v>33</v>
      </c>
    </row>
    <row r="16" customFormat="false" ht="15" hidden="false" customHeight="true" outlineLevel="0" collapsed="false">
      <c r="E16" s="12" t="s">
        <v>37</v>
      </c>
      <c r="G16" s="12" t="s">
        <v>34</v>
      </c>
    </row>
    <row r="17" customFormat="false" ht="15" hidden="false" customHeight="true" outlineLevel="0" collapsed="false">
      <c r="E17" s="12" t="s">
        <v>38</v>
      </c>
      <c r="G17" s="12" t="s">
        <v>35</v>
      </c>
    </row>
    <row r="18" customFormat="false" ht="15" hidden="false" customHeight="true" outlineLevel="0" collapsed="false">
      <c r="E18" s="12" t="s">
        <v>39</v>
      </c>
      <c r="G18" s="12" t="s">
        <v>36</v>
      </c>
    </row>
    <row r="19" customFormat="false" ht="15" hidden="false" customHeight="true" outlineLevel="0" collapsed="false">
      <c r="E19" s="12" t="s">
        <v>40</v>
      </c>
      <c r="G19" s="12" t="s">
        <v>37</v>
      </c>
    </row>
    <row r="20" customFormat="false" ht="15" hidden="false" customHeight="true" outlineLevel="0" collapsed="false">
      <c r="E20" s="12" t="s">
        <v>41</v>
      </c>
      <c r="G20" s="12" t="s">
        <v>38</v>
      </c>
    </row>
    <row r="21" customFormat="false" ht="15" hidden="false" customHeight="true" outlineLevel="0" collapsed="false">
      <c r="E21" s="12" t="s">
        <v>42</v>
      </c>
      <c r="G21" s="12" t="s">
        <v>39</v>
      </c>
    </row>
    <row r="22" customFormat="false" ht="15" hidden="false" customHeight="true" outlineLevel="0" collapsed="false">
      <c r="E22" s="12" t="s">
        <v>43</v>
      </c>
      <c r="G22" s="12" t="s">
        <v>40</v>
      </c>
    </row>
    <row r="23" customFormat="false" ht="15" hidden="false" customHeight="true" outlineLevel="0" collapsed="false">
      <c r="E23" s="12" t="s">
        <v>44</v>
      </c>
      <c r="G23" s="12" t="s">
        <v>41</v>
      </c>
    </row>
    <row r="24" customFormat="false" ht="15" hidden="false" customHeight="true" outlineLevel="0" collapsed="false">
      <c r="E24" s="12" t="s">
        <v>45</v>
      </c>
      <c r="G24" s="12" t="s">
        <v>42</v>
      </c>
    </row>
    <row r="25" customFormat="false" ht="15" hidden="false" customHeight="true" outlineLevel="0" collapsed="false">
      <c r="E25" s="12" t="s">
        <v>46</v>
      </c>
      <c r="G25" s="12" t="s">
        <v>43</v>
      </c>
    </row>
    <row r="26" customFormat="false" ht="15" hidden="false" customHeight="true" outlineLevel="0" collapsed="false">
      <c r="E26" s="12" t="s">
        <v>47</v>
      </c>
      <c r="G26" s="12" t="s">
        <v>44</v>
      </c>
    </row>
    <row r="27" customFormat="false" ht="15" hidden="false" customHeight="true" outlineLevel="0" collapsed="false">
      <c r="E27" s="12" t="s">
        <v>48</v>
      </c>
      <c r="G27" s="12" t="s">
        <v>45</v>
      </c>
    </row>
    <row r="28" customFormat="false" ht="15" hidden="false" customHeight="true" outlineLevel="0" collapsed="false">
      <c r="E28" s="12" t="s">
        <v>49</v>
      </c>
      <c r="G28" s="12" t="s">
        <v>46</v>
      </c>
    </row>
    <row r="29" customFormat="false" ht="15" hidden="false" customHeight="true" outlineLevel="0" collapsed="false">
      <c r="E29" s="12" t="s">
        <v>50</v>
      </c>
      <c r="G29" s="12" t="s">
        <v>47</v>
      </c>
    </row>
    <row r="30" customFormat="false" ht="15" hidden="false" customHeight="true" outlineLevel="0" collapsed="false">
      <c r="E30" s="12" t="s">
        <v>51</v>
      </c>
      <c r="G30" s="12" t="s">
        <v>48</v>
      </c>
    </row>
    <row r="31" customFormat="false" ht="15" hidden="false" customHeight="true" outlineLevel="0" collapsed="false">
      <c r="E31" s="12" t="s">
        <v>52</v>
      </c>
      <c r="G31" s="12" t="s">
        <v>49</v>
      </c>
    </row>
    <row r="32" customFormat="false" ht="15" hidden="false" customHeight="true" outlineLevel="0" collapsed="false">
      <c r="E32" s="12" t="s">
        <v>53</v>
      </c>
      <c r="G32" s="12" t="s">
        <v>50</v>
      </c>
    </row>
    <row r="33" customFormat="false" ht="15" hidden="false" customHeight="true" outlineLevel="0" collapsed="false">
      <c r="E33" s="12" t="s">
        <v>54</v>
      </c>
      <c r="G33" s="12" t="s">
        <v>51</v>
      </c>
    </row>
    <row r="34" customFormat="false" ht="15" hidden="false" customHeight="true" outlineLevel="0" collapsed="false">
      <c r="E34" s="12" t="s">
        <v>55</v>
      </c>
      <c r="G34" s="12" t="s">
        <v>52</v>
      </c>
    </row>
    <row r="35" customFormat="false" ht="15" hidden="false" customHeight="true" outlineLevel="0" collapsed="false">
      <c r="E35" s="12" t="s">
        <v>56</v>
      </c>
      <c r="G35" s="12" t="s">
        <v>53</v>
      </c>
    </row>
    <row r="36" customFormat="false" ht="15" hidden="false" customHeight="true" outlineLevel="0" collapsed="false">
      <c r="E36" s="12" t="s">
        <v>57</v>
      </c>
      <c r="G36" s="12" t="s">
        <v>54</v>
      </c>
    </row>
    <row r="37" customFormat="false" ht="15" hidden="false" customHeight="true" outlineLevel="0" collapsed="false">
      <c r="E37" s="12" t="s">
        <v>58</v>
      </c>
      <c r="G37" s="12" t="s">
        <v>55</v>
      </c>
    </row>
    <row r="38" customFormat="false" ht="15" hidden="false" customHeight="true" outlineLevel="0" collapsed="false">
      <c r="E38" s="12" t="s">
        <v>59</v>
      </c>
      <c r="G38" s="12" t="s">
        <v>56</v>
      </c>
    </row>
    <row r="39" customFormat="false" ht="15" hidden="false" customHeight="true" outlineLevel="0" collapsed="false">
      <c r="E39" s="12" t="s">
        <v>60</v>
      </c>
      <c r="G39" s="12" t="s">
        <v>57</v>
      </c>
    </row>
    <row r="40" customFormat="false" ht="15" hidden="false" customHeight="true" outlineLevel="0" collapsed="false">
      <c r="E40" s="12" t="s">
        <v>61</v>
      </c>
      <c r="G40" s="12" t="s">
        <v>58</v>
      </c>
    </row>
    <row r="41" customFormat="false" ht="15" hidden="false" customHeight="true" outlineLevel="0" collapsed="false">
      <c r="E41" s="12" t="s">
        <v>62</v>
      </c>
      <c r="G41" s="12" t="s">
        <v>59</v>
      </c>
    </row>
    <row r="42" customFormat="false" ht="15" hidden="false" customHeight="true" outlineLevel="0" collapsed="false">
      <c r="E42" s="12" t="s">
        <v>63</v>
      </c>
      <c r="G42" s="12" t="s">
        <v>60</v>
      </c>
    </row>
    <row r="43" customFormat="false" ht="15" hidden="false" customHeight="true" outlineLevel="0" collapsed="false">
      <c r="E43" s="12" t="s">
        <v>64</v>
      </c>
      <c r="G43" s="12" t="s">
        <v>61</v>
      </c>
    </row>
    <row r="44" customFormat="false" ht="15" hidden="false" customHeight="true" outlineLevel="0" collapsed="false">
      <c r="E44" s="12" t="s">
        <v>65</v>
      </c>
      <c r="G44" s="12" t="s">
        <v>62</v>
      </c>
    </row>
    <row r="45" customFormat="false" ht="15" hidden="false" customHeight="true" outlineLevel="0" collapsed="false">
      <c r="E45" s="12" t="s">
        <v>66</v>
      </c>
      <c r="G45" s="12" t="s">
        <v>63</v>
      </c>
    </row>
    <row r="46" customFormat="false" ht="15" hidden="false" customHeight="true" outlineLevel="0" collapsed="false">
      <c r="E46" s="12" t="s">
        <v>67</v>
      </c>
      <c r="G46" s="12" t="s">
        <v>64</v>
      </c>
    </row>
    <row r="47" customFormat="false" ht="15" hidden="false" customHeight="true" outlineLevel="0" collapsed="false">
      <c r="E47" s="12" t="s">
        <v>68</v>
      </c>
      <c r="G47" s="12" t="s">
        <v>65</v>
      </c>
    </row>
    <row r="48" customFormat="false" ht="15" hidden="false" customHeight="true" outlineLevel="0" collapsed="false">
      <c r="E48" s="12" t="s">
        <v>69</v>
      </c>
      <c r="G48" s="12" t="s">
        <v>66</v>
      </c>
    </row>
    <row r="49" customFormat="false" ht="15" hidden="false" customHeight="true" outlineLevel="0" collapsed="false">
      <c r="E49" s="12" t="s">
        <v>70</v>
      </c>
      <c r="G49" s="12" t="s">
        <v>67</v>
      </c>
    </row>
    <row r="50" customFormat="false" ht="15" hidden="false" customHeight="true" outlineLevel="0" collapsed="false">
      <c r="E50" s="12" t="s">
        <v>71</v>
      </c>
      <c r="G50" s="12" t="s">
        <v>68</v>
      </c>
    </row>
    <row r="51" customFormat="false" ht="15" hidden="false" customHeight="true" outlineLevel="0" collapsed="false">
      <c r="E51" s="12" t="s">
        <v>72</v>
      </c>
      <c r="G51" s="12" t="s">
        <v>69</v>
      </c>
    </row>
    <row r="52" customFormat="false" ht="15" hidden="false" customHeight="true" outlineLevel="0" collapsed="false">
      <c r="E52" s="12" t="s">
        <v>73</v>
      </c>
      <c r="G52" s="12" t="s">
        <v>70</v>
      </c>
    </row>
    <row r="53" customFormat="false" ht="15" hidden="false" customHeight="true" outlineLevel="0" collapsed="false">
      <c r="E53" s="12" t="s">
        <v>74</v>
      </c>
      <c r="G53" s="12" t="s">
        <v>71</v>
      </c>
    </row>
    <row r="54" customFormat="false" ht="15" hidden="false" customHeight="true" outlineLevel="0" collapsed="false">
      <c r="E54" s="12" t="s">
        <v>75</v>
      </c>
      <c r="G54" s="12" t="s">
        <v>72</v>
      </c>
    </row>
    <row r="55" customFormat="false" ht="15" hidden="false" customHeight="true" outlineLevel="0" collapsed="false">
      <c r="E55" s="12" t="s">
        <v>76</v>
      </c>
      <c r="G55" s="12" t="s">
        <v>73</v>
      </c>
    </row>
    <row r="56" customFormat="false" ht="15" hidden="false" customHeight="true" outlineLevel="0" collapsed="false">
      <c r="E56" s="12" t="s">
        <v>77</v>
      </c>
      <c r="G56" s="12" t="s">
        <v>74</v>
      </c>
    </row>
    <row r="57" customFormat="false" ht="15" hidden="false" customHeight="true" outlineLevel="0" collapsed="false">
      <c r="E57" s="12" t="s">
        <v>78</v>
      </c>
      <c r="G57" s="12" t="s">
        <v>75</v>
      </c>
    </row>
    <row r="58" customFormat="false" ht="15" hidden="false" customHeight="true" outlineLevel="0" collapsed="false">
      <c r="E58" s="12" t="s">
        <v>79</v>
      </c>
      <c r="G58" s="12" t="s">
        <v>76</v>
      </c>
    </row>
    <row r="59" customFormat="false" ht="15" hidden="false" customHeight="true" outlineLevel="0" collapsed="false">
      <c r="E59" s="12" t="s">
        <v>80</v>
      </c>
      <c r="G59" s="12" t="s">
        <v>77</v>
      </c>
    </row>
    <row r="60" customFormat="false" ht="15" hidden="false" customHeight="true" outlineLevel="0" collapsed="false">
      <c r="E60" s="12" t="s">
        <v>81</v>
      </c>
      <c r="G60" s="12" t="s">
        <v>78</v>
      </c>
    </row>
    <row r="61" customFormat="false" ht="15" hidden="false" customHeight="true" outlineLevel="0" collapsed="false">
      <c r="E61" s="12" t="s">
        <v>82</v>
      </c>
      <c r="G61" s="12" t="s">
        <v>79</v>
      </c>
    </row>
    <row r="62" customFormat="false" ht="15" hidden="false" customHeight="true" outlineLevel="0" collapsed="false">
      <c r="E62" s="12" t="s">
        <v>83</v>
      </c>
      <c r="G62" s="12" t="s">
        <v>80</v>
      </c>
    </row>
    <row r="63" customFormat="false" ht="15" hidden="false" customHeight="true" outlineLevel="0" collapsed="false">
      <c r="E63" s="12" t="s">
        <v>84</v>
      </c>
      <c r="G63" s="12" t="s">
        <v>81</v>
      </c>
    </row>
    <row r="64" customFormat="false" ht="15" hidden="false" customHeight="true" outlineLevel="0" collapsed="false">
      <c r="E64" s="12" t="s">
        <v>85</v>
      </c>
      <c r="G64" s="12" t="s">
        <v>82</v>
      </c>
    </row>
    <row r="65" customFormat="false" ht="15" hidden="false" customHeight="true" outlineLevel="0" collapsed="false">
      <c r="E65" s="12" t="s">
        <v>86</v>
      </c>
      <c r="G65" s="12" t="s">
        <v>83</v>
      </c>
    </row>
    <row r="66" customFormat="false" ht="15" hidden="false" customHeight="true" outlineLevel="0" collapsed="false">
      <c r="E66" s="12" t="s">
        <v>87</v>
      </c>
      <c r="G66" s="12" t="s">
        <v>84</v>
      </c>
    </row>
    <row r="67" customFormat="false" ht="15" hidden="false" customHeight="true" outlineLevel="0" collapsed="false">
      <c r="E67" s="12" t="s">
        <v>88</v>
      </c>
      <c r="G67" s="12" t="s">
        <v>85</v>
      </c>
    </row>
    <row r="68" customFormat="false" ht="15" hidden="false" customHeight="true" outlineLevel="0" collapsed="false">
      <c r="E68" s="12" t="s">
        <v>89</v>
      </c>
      <c r="G68" s="12" t="s">
        <v>86</v>
      </c>
    </row>
    <row r="69" customFormat="false" ht="15" hidden="false" customHeight="true" outlineLevel="0" collapsed="false">
      <c r="E69" s="12" t="s">
        <v>90</v>
      </c>
      <c r="G69" s="12" t="s">
        <v>87</v>
      </c>
    </row>
    <row r="70" customFormat="false" ht="15" hidden="false" customHeight="true" outlineLevel="0" collapsed="false">
      <c r="E70" s="12" t="s">
        <v>91</v>
      </c>
      <c r="G70" s="12" t="s">
        <v>88</v>
      </c>
    </row>
    <row r="71" customFormat="false" ht="15" hidden="false" customHeight="true" outlineLevel="0" collapsed="false">
      <c r="E71" s="12" t="s">
        <v>92</v>
      </c>
      <c r="G71" s="12" t="s">
        <v>89</v>
      </c>
    </row>
    <row r="72" customFormat="false" ht="15" hidden="false" customHeight="true" outlineLevel="0" collapsed="false">
      <c r="E72" s="12" t="s">
        <v>93</v>
      </c>
      <c r="G72" s="12" t="s">
        <v>90</v>
      </c>
    </row>
    <row r="73" customFormat="false" ht="15" hidden="false" customHeight="true" outlineLevel="0" collapsed="false">
      <c r="E73" s="12" t="s">
        <v>94</v>
      </c>
      <c r="G73" s="12" t="s">
        <v>91</v>
      </c>
    </row>
    <row r="74" customFormat="false" ht="15" hidden="false" customHeight="true" outlineLevel="0" collapsed="false">
      <c r="E74" s="12" t="s">
        <v>95</v>
      </c>
      <c r="G74" s="12" t="s">
        <v>92</v>
      </c>
    </row>
    <row r="75" customFormat="false" ht="15" hidden="false" customHeight="true" outlineLevel="0" collapsed="false">
      <c r="E75" s="12" t="s">
        <v>96</v>
      </c>
      <c r="G75" s="12" t="s">
        <v>93</v>
      </c>
    </row>
    <row r="76" customFormat="false" ht="15" hidden="false" customHeight="true" outlineLevel="0" collapsed="false">
      <c r="E76" s="12" t="s">
        <v>97</v>
      </c>
      <c r="G76" s="12" t="s">
        <v>94</v>
      </c>
    </row>
    <row r="77" customFormat="false" ht="15" hidden="false" customHeight="true" outlineLevel="0" collapsed="false">
      <c r="G77" s="12" t="s">
        <v>95</v>
      </c>
    </row>
    <row r="78" customFormat="false" ht="15" hidden="false" customHeight="true" outlineLevel="0" collapsed="false">
      <c r="G78" s="12" t="s">
        <v>96</v>
      </c>
    </row>
    <row r="79" customFormat="false" ht="15" hidden="false" customHeight="true" outlineLevel="0" collapsed="false">
      <c r="G79" s="12" t="s">
        <v>97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7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8" min="7" style="1" width="12"/>
  </cols>
  <sheetData>
    <row r="2" customFormat="false" ht="19.5" hidden="false" customHeight="true" outlineLevel="0" collapsed="false">
      <c r="B2" s="8" t="s">
        <v>98</v>
      </c>
      <c r="C2" s="8"/>
      <c r="D2" s="8"/>
      <c r="E2" s="8"/>
      <c r="F2" s="8"/>
      <c r="G2" s="8"/>
      <c r="H2" s="8"/>
    </row>
    <row r="3" customFormat="false" ht="15" hidden="false" customHeight="true" outlineLevel="0" collapsed="false">
      <c r="B3" s="14" t="s">
        <v>99</v>
      </c>
      <c r="C3" s="14"/>
      <c r="D3" s="14"/>
      <c r="E3" s="14"/>
      <c r="F3" s="14"/>
      <c r="G3" s="14"/>
      <c r="H3" s="14"/>
    </row>
    <row r="5" customFormat="false" ht="15" hidden="false" customHeight="true" outlineLevel="0" collapsed="false">
      <c r="B5" s="9" t="s">
        <v>100</v>
      </c>
      <c r="C5" s="9" t="s">
        <v>101</v>
      </c>
      <c r="D5" s="9" t="s">
        <v>19</v>
      </c>
      <c r="E5" s="9" t="s">
        <v>102</v>
      </c>
      <c r="F5" s="9" t="s">
        <v>103</v>
      </c>
      <c r="G5" s="9" t="s">
        <v>104</v>
      </c>
      <c r="H5" s="9" t="s">
        <v>105</v>
      </c>
    </row>
    <row r="6" customFormat="false" ht="15" hidden="false" customHeight="true" outlineLevel="0" collapsed="false">
      <c r="B6" s="15" t="n">
        <v>45627</v>
      </c>
      <c r="C6" s="16" t="s">
        <v>106</v>
      </c>
      <c r="D6" s="17" t="s">
        <v>107</v>
      </c>
      <c r="E6" s="16" t="s">
        <v>31</v>
      </c>
      <c r="F6" s="18" t="n">
        <v>12474</v>
      </c>
      <c r="G6" s="19" t="str">
        <f aca="false">IF(N(B6)=0,"",TEXT(B6,"MM/YYYY"))</f>
        <v>12/2024</v>
      </c>
      <c r="H6" s="17" t="s">
        <v>108</v>
      </c>
    </row>
    <row r="7" customFormat="false" ht="15" hidden="false" customHeight="true" outlineLevel="0" collapsed="false">
      <c r="B7" s="15" t="n">
        <v>45627</v>
      </c>
      <c r="C7" s="16" t="s">
        <v>109</v>
      </c>
      <c r="D7" s="17" t="s">
        <v>107</v>
      </c>
      <c r="E7" s="16" t="s">
        <v>34</v>
      </c>
      <c r="F7" s="18" t="n">
        <v>430</v>
      </c>
      <c r="G7" s="19" t="str">
        <f aca="false">IF(N(B7)=0,"",TEXT(B7,"MM/YYYY"))</f>
        <v>12/2024</v>
      </c>
      <c r="H7" s="17" t="s">
        <v>108</v>
      </c>
    </row>
    <row r="8" customFormat="false" ht="15" hidden="false" customHeight="true" outlineLevel="0" collapsed="false">
      <c r="B8" s="15" t="n">
        <v>45627</v>
      </c>
      <c r="C8" s="16" t="s">
        <v>110</v>
      </c>
      <c r="D8" s="17" t="s">
        <v>107</v>
      </c>
      <c r="E8" s="16" t="s">
        <v>30</v>
      </c>
      <c r="F8" s="18" t="n">
        <v>1035</v>
      </c>
      <c r="G8" s="19" t="str">
        <f aca="false">IF(N(B8)=0,"",TEXT(B8,"MM/YYYY"))</f>
        <v>12/2024</v>
      </c>
      <c r="H8" s="17" t="s">
        <v>108</v>
      </c>
    </row>
    <row r="9" customFormat="false" ht="15" hidden="false" customHeight="true" outlineLevel="0" collapsed="false">
      <c r="B9" s="15" t="n">
        <v>45627</v>
      </c>
      <c r="C9" s="16" t="s">
        <v>111</v>
      </c>
      <c r="D9" s="17" t="s">
        <v>107</v>
      </c>
      <c r="E9" s="16" t="s">
        <v>26</v>
      </c>
      <c r="F9" s="18" t="n">
        <v>3154.33</v>
      </c>
      <c r="G9" s="19" t="str">
        <f aca="false">IF(N(B9)=0,"",TEXT(B9,"MM/YYYY"))</f>
        <v>12/2024</v>
      </c>
      <c r="H9" s="17" t="s">
        <v>108</v>
      </c>
    </row>
    <row r="10" customFormat="false" ht="15" hidden="false" customHeight="true" outlineLevel="0" collapsed="false">
      <c r="B10" s="15" t="n">
        <v>45627</v>
      </c>
      <c r="C10" s="16" t="s">
        <v>112</v>
      </c>
      <c r="D10" s="17" t="s">
        <v>107</v>
      </c>
      <c r="E10" s="16" t="s">
        <v>29</v>
      </c>
      <c r="F10" s="18" t="n">
        <v>622</v>
      </c>
      <c r="G10" s="19" t="str">
        <f aca="false">IF(N(B10)=0,"",TEXT(B10,"MM/YYYY"))</f>
        <v>12/2024</v>
      </c>
      <c r="H10" s="17" t="s">
        <v>108</v>
      </c>
    </row>
    <row r="11" customFormat="false" ht="15" hidden="false" customHeight="true" outlineLevel="0" collapsed="false">
      <c r="B11" s="15" t="n">
        <v>45658</v>
      </c>
      <c r="C11" s="16" t="s">
        <v>113</v>
      </c>
      <c r="D11" s="17" t="s">
        <v>114</v>
      </c>
      <c r="E11" s="16" t="s">
        <v>22</v>
      </c>
      <c r="F11" s="18" t="n">
        <v>216780.26</v>
      </c>
      <c r="G11" s="19" t="str">
        <f aca="false">IF(N(B11)=0,"",TEXT(B11,"MM/YYYY"))</f>
        <v>01/2025</v>
      </c>
      <c r="H11" s="17" t="s">
        <v>108</v>
      </c>
    </row>
    <row r="12" customFormat="false" ht="15" hidden="false" customHeight="true" outlineLevel="0" collapsed="false">
      <c r="B12" s="15" t="n">
        <v>45658</v>
      </c>
      <c r="C12" s="16" t="s">
        <v>115</v>
      </c>
      <c r="D12" s="17" t="s">
        <v>107</v>
      </c>
      <c r="E12" s="16" t="s">
        <v>71</v>
      </c>
      <c r="F12" s="18" t="n">
        <v>760.38</v>
      </c>
      <c r="G12" s="19" t="str">
        <f aca="false">IF(N(B12)=0,"",TEXT(B12,"MM/YYYY"))</f>
        <v>01/2025</v>
      </c>
      <c r="H12" s="17" t="s">
        <v>108</v>
      </c>
    </row>
    <row r="13" customFormat="false" ht="15" hidden="false" customHeight="true" outlineLevel="0" collapsed="false">
      <c r="B13" s="15" t="n">
        <v>45658</v>
      </c>
      <c r="C13" s="16" t="s">
        <v>116</v>
      </c>
      <c r="D13" s="17" t="s">
        <v>107</v>
      </c>
      <c r="E13" s="16" t="s">
        <v>84</v>
      </c>
      <c r="F13" s="18" t="n">
        <v>920</v>
      </c>
      <c r="G13" s="19" t="str">
        <f aca="false">IF(N(B13)=0,"",TEXT(B13,"MM/YYYY"))</f>
        <v>01/2025</v>
      </c>
      <c r="H13" s="17" t="s">
        <v>108</v>
      </c>
    </row>
    <row r="14" customFormat="false" ht="15" hidden="false" customHeight="true" outlineLevel="0" collapsed="false">
      <c r="B14" s="15" t="n">
        <v>45658</v>
      </c>
      <c r="C14" s="16" t="s">
        <v>117</v>
      </c>
      <c r="D14" s="17" t="s">
        <v>107</v>
      </c>
      <c r="E14" s="16" t="s">
        <v>52</v>
      </c>
      <c r="F14" s="18" t="n">
        <v>5263</v>
      </c>
      <c r="G14" s="19" t="str">
        <f aca="false">IF(N(B14)=0,"",TEXT(B14,"MM/YYYY"))</f>
        <v>01/2025</v>
      </c>
      <c r="H14" s="17" t="s">
        <v>108</v>
      </c>
    </row>
    <row r="15" customFormat="false" ht="15" hidden="false" customHeight="true" outlineLevel="0" collapsed="false">
      <c r="B15" s="15" t="n">
        <v>45658</v>
      </c>
      <c r="C15" s="16" t="s">
        <v>118</v>
      </c>
      <c r="D15" s="17" t="s">
        <v>107</v>
      </c>
      <c r="E15" s="16" t="s">
        <v>34</v>
      </c>
      <c r="F15" s="18" t="n">
        <v>624.55</v>
      </c>
      <c r="G15" s="19" t="str">
        <f aca="false">IF(N(B15)=0,"",TEXT(B15,"MM/YYYY"))</f>
        <v>01/2025</v>
      </c>
      <c r="H15" s="17" t="s">
        <v>108</v>
      </c>
    </row>
    <row r="16" customFormat="false" ht="15" hidden="false" customHeight="true" outlineLevel="0" collapsed="false">
      <c r="B16" s="15" t="n">
        <v>45658</v>
      </c>
      <c r="C16" s="16" t="s">
        <v>119</v>
      </c>
      <c r="D16" s="17" t="s">
        <v>107</v>
      </c>
      <c r="E16" s="16" t="s">
        <v>66</v>
      </c>
      <c r="F16" s="18" t="n">
        <v>1742</v>
      </c>
      <c r="G16" s="19" t="str">
        <f aca="false">IF(N(B16)=0,"",TEXT(B16,"MM/YYYY"))</f>
        <v>01/2025</v>
      </c>
      <c r="H16" s="17" t="s">
        <v>108</v>
      </c>
    </row>
    <row r="17" customFormat="false" ht="15" hidden="false" customHeight="true" outlineLevel="0" collapsed="false">
      <c r="B17" s="15" t="n">
        <v>45658</v>
      </c>
      <c r="C17" s="16" t="s">
        <v>120</v>
      </c>
      <c r="D17" s="17" t="s">
        <v>107</v>
      </c>
      <c r="E17" s="16" t="s">
        <v>58</v>
      </c>
      <c r="F17" s="18" t="n">
        <v>154027.23</v>
      </c>
      <c r="G17" s="19" t="str">
        <f aca="false">IF(N(B17)=0,"",TEXT(B17,"MM/YYYY"))</f>
        <v>01/2025</v>
      </c>
      <c r="H17" s="17" t="s">
        <v>108</v>
      </c>
    </row>
    <row r="18" customFormat="false" ht="15" hidden="false" customHeight="true" outlineLevel="0" collapsed="false">
      <c r="B18" s="15" t="n">
        <v>45658</v>
      </c>
      <c r="C18" s="16" t="s">
        <v>121</v>
      </c>
      <c r="D18" s="17" t="s">
        <v>107</v>
      </c>
      <c r="E18" s="16" t="s">
        <v>68</v>
      </c>
      <c r="F18" s="18" t="n">
        <v>124.84</v>
      </c>
      <c r="G18" s="19" t="str">
        <f aca="false">IF(N(B18)=0,"",TEXT(B18,"MM/YYYY"))</f>
        <v>01/2025</v>
      </c>
      <c r="H18" s="17" t="s">
        <v>108</v>
      </c>
    </row>
    <row r="19" customFormat="false" ht="15" hidden="false" customHeight="true" outlineLevel="0" collapsed="false">
      <c r="B19" s="15" t="n">
        <v>45658</v>
      </c>
      <c r="C19" s="16" t="s">
        <v>122</v>
      </c>
      <c r="D19" s="17" t="s">
        <v>107</v>
      </c>
      <c r="E19" s="16" t="s">
        <v>35</v>
      </c>
      <c r="F19" s="18" t="n">
        <v>9980</v>
      </c>
      <c r="G19" s="19" t="str">
        <f aca="false">IF(N(B19)=0,"",TEXT(B19,"MM/YYYY"))</f>
        <v>01/2025</v>
      </c>
      <c r="H19" s="17" t="s">
        <v>108</v>
      </c>
    </row>
    <row r="20" customFormat="false" ht="15" hidden="false" customHeight="true" outlineLevel="0" collapsed="false">
      <c r="B20" s="15" t="n">
        <v>45658</v>
      </c>
      <c r="C20" s="16" t="s">
        <v>123</v>
      </c>
      <c r="D20" s="17" t="s">
        <v>107</v>
      </c>
      <c r="E20" s="16" t="s">
        <v>30</v>
      </c>
      <c r="F20" s="18" t="n">
        <v>52686</v>
      </c>
      <c r="G20" s="19" t="str">
        <f aca="false">IF(N(B20)=0,"",TEXT(B20,"MM/YYYY"))</f>
        <v>01/2025</v>
      </c>
      <c r="H20" s="17" t="s">
        <v>108</v>
      </c>
    </row>
    <row r="21" customFormat="false" ht="15" hidden="false" customHeight="true" outlineLevel="0" collapsed="false">
      <c r="B21" s="15" t="n">
        <v>45658</v>
      </c>
      <c r="C21" s="16" t="s">
        <v>124</v>
      </c>
      <c r="D21" s="17" t="s">
        <v>107</v>
      </c>
      <c r="E21" s="16" t="s">
        <v>61</v>
      </c>
      <c r="F21" s="18" t="n">
        <v>3266.32</v>
      </c>
      <c r="G21" s="19" t="str">
        <f aca="false">IF(N(B21)=0,"",TEXT(B21,"MM/YYYY"))</f>
        <v>01/2025</v>
      </c>
      <c r="H21" s="17" t="s">
        <v>108</v>
      </c>
    </row>
    <row r="22" customFormat="false" ht="15" hidden="false" customHeight="true" outlineLevel="0" collapsed="false">
      <c r="B22" s="15" t="n">
        <v>45658</v>
      </c>
      <c r="C22" s="16" t="s">
        <v>125</v>
      </c>
      <c r="D22" s="17" t="s">
        <v>107</v>
      </c>
      <c r="E22" s="16" t="s">
        <v>87</v>
      </c>
      <c r="F22" s="18" t="n">
        <v>7473.57</v>
      </c>
      <c r="G22" s="19" t="str">
        <f aca="false">IF(N(B22)=0,"",TEXT(B22,"MM/YYYY"))</f>
        <v>01/2025</v>
      </c>
      <c r="H22" s="17" t="s">
        <v>108</v>
      </c>
    </row>
    <row r="23" customFormat="false" ht="15" hidden="false" customHeight="true" outlineLevel="0" collapsed="false">
      <c r="B23" s="15" t="n">
        <v>45658</v>
      </c>
      <c r="C23" s="16" t="s">
        <v>126</v>
      </c>
      <c r="D23" s="17" t="s">
        <v>107</v>
      </c>
      <c r="E23" s="16" t="s">
        <v>28</v>
      </c>
      <c r="F23" s="18" t="n">
        <v>17800</v>
      </c>
      <c r="G23" s="19" t="str">
        <f aca="false">IF(N(B23)=0,"",TEXT(B23,"MM/YYYY"))</f>
        <v>01/2025</v>
      </c>
      <c r="H23" s="17" t="s">
        <v>108</v>
      </c>
    </row>
    <row r="24" customFormat="false" ht="15" hidden="false" customHeight="true" outlineLevel="0" collapsed="false">
      <c r="B24" s="15" t="n">
        <v>45658</v>
      </c>
      <c r="C24" s="16" t="s">
        <v>127</v>
      </c>
      <c r="D24" s="17" t="s">
        <v>107</v>
      </c>
      <c r="E24" s="16" t="s">
        <v>67</v>
      </c>
      <c r="F24" s="18" t="n">
        <v>383</v>
      </c>
      <c r="G24" s="19" t="str">
        <f aca="false">IF(N(B24)=0,"",TEXT(B24,"MM/YYYY"))</f>
        <v>01/2025</v>
      </c>
      <c r="H24" s="17" t="s">
        <v>108</v>
      </c>
    </row>
    <row r="25" customFormat="false" ht="15" hidden="false" customHeight="true" outlineLevel="0" collapsed="false">
      <c r="B25" s="15" t="n">
        <v>45658</v>
      </c>
      <c r="C25" s="16" t="s">
        <v>128</v>
      </c>
      <c r="D25" s="17" t="s">
        <v>107</v>
      </c>
      <c r="E25" s="16" t="s">
        <v>32</v>
      </c>
      <c r="F25" s="18" t="n">
        <v>5023.76</v>
      </c>
      <c r="G25" s="19" t="str">
        <f aca="false">IF(N(B25)=0,"",TEXT(B25,"MM/YYYY"))</f>
        <v>01/2025</v>
      </c>
      <c r="H25" s="17" t="s">
        <v>108</v>
      </c>
    </row>
    <row r="26" customFormat="false" ht="15" hidden="false" customHeight="true" outlineLevel="0" collapsed="false">
      <c r="B26" s="15" t="n">
        <v>45658</v>
      </c>
      <c r="C26" s="16" t="s">
        <v>129</v>
      </c>
      <c r="D26" s="17" t="s">
        <v>107</v>
      </c>
      <c r="E26" s="16" t="s">
        <v>50</v>
      </c>
      <c r="F26" s="18" t="n">
        <v>3930</v>
      </c>
      <c r="G26" s="19" t="str">
        <f aca="false">IF(N(B26)=0,"",TEXT(B26,"MM/YYYY"))</f>
        <v>01/2025</v>
      </c>
      <c r="H26" s="17" t="s">
        <v>108</v>
      </c>
    </row>
    <row r="27" customFormat="false" ht="15" hidden="false" customHeight="true" outlineLevel="0" collapsed="false">
      <c r="B27" s="15" t="n">
        <v>45658</v>
      </c>
      <c r="C27" s="16" t="s">
        <v>130</v>
      </c>
      <c r="D27" s="17" t="s">
        <v>107</v>
      </c>
      <c r="E27" s="16" t="s">
        <v>86</v>
      </c>
      <c r="F27" s="18" t="n">
        <v>50000</v>
      </c>
      <c r="G27" s="19" t="str">
        <f aca="false">IF(N(B27)=0,"",TEXT(B27,"MM/YYYY"))</f>
        <v>01/2025</v>
      </c>
      <c r="H27" s="17" t="s">
        <v>108</v>
      </c>
    </row>
    <row r="28" customFormat="false" ht="15" hidden="false" customHeight="true" outlineLevel="0" collapsed="false">
      <c r="B28" s="15" t="n">
        <v>45658</v>
      </c>
      <c r="C28" s="16" t="s">
        <v>131</v>
      </c>
      <c r="D28" s="17" t="s">
        <v>107</v>
      </c>
      <c r="E28" s="16" t="s">
        <v>51</v>
      </c>
      <c r="F28" s="18" t="n">
        <v>36002.1</v>
      </c>
      <c r="G28" s="19" t="str">
        <f aca="false">IF(N(B28)=0,"",TEXT(B28,"MM/YYYY"))</f>
        <v>01/2025</v>
      </c>
      <c r="H28" s="17" t="s">
        <v>108</v>
      </c>
    </row>
    <row r="29" customFormat="false" ht="15" hidden="false" customHeight="true" outlineLevel="0" collapsed="false">
      <c r="B29" s="15" t="n">
        <v>45658</v>
      </c>
      <c r="C29" s="16" t="s">
        <v>132</v>
      </c>
      <c r="D29" s="17" t="s">
        <v>107</v>
      </c>
      <c r="E29" s="16" t="s">
        <v>62</v>
      </c>
      <c r="F29" s="18" t="n">
        <v>140</v>
      </c>
      <c r="G29" s="19" t="str">
        <f aca="false">IF(N(B29)=0,"",TEXT(B29,"MM/YYYY"))</f>
        <v>01/2025</v>
      </c>
      <c r="H29" s="17" t="s">
        <v>108</v>
      </c>
    </row>
    <row r="30" customFormat="false" ht="15" hidden="false" customHeight="true" outlineLevel="0" collapsed="false">
      <c r="B30" s="15" t="n">
        <v>45658</v>
      </c>
      <c r="C30" s="16" t="s">
        <v>133</v>
      </c>
      <c r="D30" s="17" t="s">
        <v>107</v>
      </c>
      <c r="E30" s="16" t="s">
        <v>64</v>
      </c>
      <c r="F30" s="18" t="n">
        <v>428.66</v>
      </c>
      <c r="G30" s="19" t="str">
        <f aca="false">IF(N(B30)=0,"",TEXT(B30,"MM/YYYY"))</f>
        <v>01/2025</v>
      </c>
      <c r="H30" s="17" t="s">
        <v>108</v>
      </c>
    </row>
    <row r="31" customFormat="false" ht="15" hidden="false" customHeight="true" outlineLevel="0" collapsed="false">
      <c r="B31" s="15"/>
      <c r="C31" s="16"/>
      <c r="D31" s="17"/>
      <c r="E31" s="16"/>
      <c r="F31" s="18"/>
      <c r="G31" s="19"/>
      <c r="H31" s="17"/>
    </row>
    <row r="32" customFormat="false" ht="15" hidden="false" customHeight="true" outlineLevel="0" collapsed="false">
      <c r="B32" s="15" t="n">
        <v>45658</v>
      </c>
      <c r="C32" s="16" t="s">
        <v>134</v>
      </c>
      <c r="D32" s="17" t="s">
        <v>107</v>
      </c>
      <c r="E32" s="16" t="s">
        <v>96</v>
      </c>
      <c r="F32" s="18" t="n">
        <v>36342.71</v>
      </c>
      <c r="G32" s="19" t="str">
        <f aca="false">IF(N(B32)=0,"",TEXT(B32,"MM/YYYY"))</f>
        <v>01/2025</v>
      </c>
      <c r="H32" s="17" t="s">
        <v>108</v>
      </c>
    </row>
    <row r="33" customFormat="false" ht="15" hidden="false" customHeight="true" outlineLevel="0" collapsed="false">
      <c r="B33" s="15" t="n">
        <v>45658</v>
      </c>
      <c r="C33" s="16" t="s">
        <v>135</v>
      </c>
      <c r="D33" s="17" t="s">
        <v>107</v>
      </c>
      <c r="E33" s="16" t="s">
        <v>26</v>
      </c>
      <c r="F33" s="18" t="n">
        <v>51484.9</v>
      </c>
      <c r="G33" s="19" t="str">
        <f aca="false">IF(N(B33)=0,"",TEXT(B33,"MM/YYYY"))</f>
        <v>01/2025</v>
      </c>
      <c r="H33" s="17" t="s">
        <v>108</v>
      </c>
    </row>
    <row r="34" customFormat="false" ht="15" hidden="false" customHeight="true" outlineLevel="0" collapsed="false">
      <c r="B34" s="15" t="n">
        <v>45658</v>
      </c>
      <c r="C34" s="16" t="s">
        <v>136</v>
      </c>
      <c r="D34" s="17" t="s">
        <v>107</v>
      </c>
      <c r="E34" s="16" t="s">
        <v>65</v>
      </c>
      <c r="F34" s="18" t="n">
        <v>120</v>
      </c>
      <c r="G34" s="19" t="str">
        <f aca="false">IF(N(B34)=0,"",TEXT(B34,"MM/YYYY"))</f>
        <v>01/2025</v>
      </c>
      <c r="H34" s="17" t="s">
        <v>108</v>
      </c>
    </row>
    <row r="35" customFormat="false" ht="15" hidden="false" customHeight="true" outlineLevel="0" collapsed="false">
      <c r="B35" s="15" t="n">
        <v>45658</v>
      </c>
      <c r="C35" s="16" t="s">
        <v>137</v>
      </c>
      <c r="D35" s="17" t="s">
        <v>107</v>
      </c>
      <c r="E35" s="16" t="s">
        <v>29</v>
      </c>
      <c r="F35" s="18" t="n">
        <v>4349</v>
      </c>
      <c r="G35" s="19" t="str">
        <f aca="false">IF(N(B35)=0,"",TEXT(B35,"MM/YYYY"))</f>
        <v>01/2025</v>
      </c>
      <c r="H35" s="17" t="s">
        <v>108</v>
      </c>
    </row>
    <row r="36" customFormat="false" ht="15" hidden="false" customHeight="true" outlineLevel="0" collapsed="false">
      <c r="B36" s="15" t="n">
        <v>45658</v>
      </c>
      <c r="C36" s="16" t="s">
        <v>138</v>
      </c>
      <c r="D36" s="17" t="s">
        <v>107</v>
      </c>
      <c r="E36" s="16" t="s">
        <v>49</v>
      </c>
      <c r="F36" s="18" t="n">
        <v>2380</v>
      </c>
      <c r="G36" s="19" t="str">
        <f aca="false">IF(N(B36)=0,"",TEXT(B36,"MM/YYYY"))</f>
        <v>01/2025</v>
      </c>
      <c r="H36" s="17" t="s">
        <v>108</v>
      </c>
    </row>
    <row r="37" customFormat="false" ht="15" hidden="false" customHeight="true" outlineLevel="0" collapsed="false">
      <c r="B37" s="15" t="n">
        <v>45658</v>
      </c>
      <c r="C37" s="16" t="s">
        <v>139</v>
      </c>
      <c r="D37" s="17" t="s">
        <v>107</v>
      </c>
      <c r="E37" s="16" t="s">
        <v>59</v>
      </c>
      <c r="F37" s="18" t="n">
        <v>2450</v>
      </c>
      <c r="G37" s="19" t="str">
        <f aca="false">IF(N(B37)=0,"",TEXT(B37,"MM/YYYY"))</f>
        <v>01/2025</v>
      </c>
      <c r="H37" s="17" t="s">
        <v>108</v>
      </c>
    </row>
    <row r="38" customFormat="false" ht="15" hidden="false" customHeight="true" outlineLevel="0" collapsed="false">
      <c r="B38" s="15" t="n">
        <v>45658</v>
      </c>
      <c r="C38" s="16" t="s">
        <v>140</v>
      </c>
      <c r="D38" s="17" t="s">
        <v>107</v>
      </c>
      <c r="E38" s="16" t="s">
        <v>54</v>
      </c>
      <c r="F38" s="18" t="n">
        <v>890</v>
      </c>
      <c r="G38" s="19" t="str">
        <f aca="false">IF(N(B38)=0,"",TEXT(B38,"MM/YYYY"))</f>
        <v>01/2025</v>
      </c>
      <c r="H38" s="17" t="s">
        <v>108</v>
      </c>
    </row>
    <row r="39" customFormat="false" ht="15" hidden="false" customHeight="true" outlineLevel="0" collapsed="false">
      <c r="B39" s="15" t="n">
        <v>45658</v>
      </c>
      <c r="C39" s="16" t="s">
        <v>141</v>
      </c>
      <c r="D39" s="17" t="s">
        <v>107</v>
      </c>
      <c r="E39" s="16" t="s">
        <v>69</v>
      </c>
      <c r="F39" s="18" t="n">
        <v>224.36</v>
      </c>
      <c r="G39" s="19" t="str">
        <f aca="false">IF(N(B39)=0,"",TEXT(B39,"MM/YYYY"))</f>
        <v>01/2025</v>
      </c>
      <c r="H39" s="17" t="s">
        <v>108</v>
      </c>
    </row>
    <row r="40" customFormat="false" ht="15" hidden="false" customHeight="true" outlineLevel="0" collapsed="false">
      <c r="B40" s="15" t="n">
        <v>45689</v>
      </c>
      <c r="C40" s="16" t="s">
        <v>142</v>
      </c>
      <c r="D40" s="17" t="s">
        <v>114</v>
      </c>
      <c r="E40" s="16" t="s">
        <v>22</v>
      </c>
      <c r="F40" s="18" t="n">
        <v>326133.08</v>
      </c>
      <c r="G40" s="19" t="str">
        <f aca="false">IF(N(B40)=0,"",TEXT(B40,"MM/YYYY"))</f>
        <v>02/2025</v>
      </c>
      <c r="H40" s="17" t="s">
        <v>108</v>
      </c>
    </row>
    <row r="41" customFormat="false" ht="15" hidden="false" customHeight="true" outlineLevel="0" collapsed="false">
      <c r="B41" s="15" t="n">
        <v>45689</v>
      </c>
      <c r="C41" s="16" t="s">
        <v>143</v>
      </c>
      <c r="D41" s="17" t="s">
        <v>107</v>
      </c>
      <c r="E41" s="16" t="s">
        <v>31</v>
      </c>
      <c r="F41" s="18" t="n">
        <v>14169.2</v>
      </c>
      <c r="G41" s="19" t="str">
        <f aca="false">IF(N(B41)=0,"",TEXT(B41,"MM/YYYY"))</f>
        <v>02/2025</v>
      </c>
      <c r="H41" s="17" t="s">
        <v>108</v>
      </c>
    </row>
    <row r="42" customFormat="false" ht="15" hidden="false" customHeight="true" outlineLevel="0" collapsed="false">
      <c r="B42" s="15" t="n">
        <v>45689</v>
      </c>
      <c r="C42" s="16" t="s">
        <v>144</v>
      </c>
      <c r="D42" s="17" t="s">
        <v>107</v>
      </c>
      <c r="E42" s="16" t="s">
        <v>84</v>
      </c>
      <c r="F42" s="18" t="n">
        <v>1100</v>
      </c>
      <c r="G42" s="19" t="str">
        <f aca="false">IF(N(B42)=0,"",TEXT(B42,"MM/YYYY"))</f>
        <v>02/2025</v>
      </c>
      <c r="H42" s="17" t="s">
        <v>108</v>
      </c>
    </row>
    <row r="43" customFormat="false" ht="15" hidden="false" customHeight="true" outlineLevel="0" collapsed="false">
      <c r="B43" s="15" t="n">
        <v>45689</v>
      </c>
      <c r="C43" s="16" t="s">
        <v>145</v>
      </c>
      <c r="D43" s="17" t="s">
        <v>107</v>
      </c>
      <c r="E43" s="16" t="s">
        <v>45</v>
      </c>
      <c r="F43" s="18" t="n">
        <v>70.61</v>
      </c>
      <c r="G43" s="19" t="str">
        <f aca="false">IF(N(B43)=0,"",TEXT(B43,"MM/YYYY"))</f>
        <v>02/2025</v>
      </c>
      <c r="H43" s="17" t="s">
        <v>108</v>
      </c>
    </row>
    <row r="44" customFormat="false" ht="15" hidden="false" customHeight="true" outlineLevel="0" collapsed="false">
      <c r="B44" s="15" t="n">
        <v>45689</v>
      </c>
      <c r="C44" s="16" t="s">
        <v>146</v>
      </c>
      <c r="D44" s="17" t="s">
        <v>107</v>
      </c>
      <c r="E44" s="16" t="s">
        <v>52</v>
      </c>
      <c r="F44" s="18" t="n">
        <v>5275.93</v>
      </c>
      <c r="G44" s="19" t="str">
        <f aca="false">IF(N(B44)=0,"",TEXT(B44,"MM/YYYY"))</f>
        <v>02/2025</v>
      </c>
      <c r="H44" s="17" t="s">
        <v>108</v>
      </c>
    </row>
    <row r="45" customFormat="false" ht="15" hidden="false" customHeight="true" outlineLevel="0" collapsed="false">
      <c r="B45" s="15" t="n">
        <v>45689</v>
      </c>
      <c r="C45" s="16" t="s">
        <v>147</v>
      </c>
      <c r="D45" s="17" t="s">
        <v>107</v>
      </c>
      <c r="E45" s="16" t="s">
        <v>34</v>
      </c>
      <c r="F45" s="18" t="n">
        <v>928</v>
      </c>
      <c r="G45" s="19" t="str">
        <f aca="false">IF(N(B45)=0,"",TEXT(B45,"MM/YYYY"))</f>
        <v>02/2025</v>
      </c>
      <c r="H45" s="17" t="s">
        <v>108</v>
      </c>
    </row>
    <row r="46" customFormat="false" ht="15" hidden="false" customHeight="true" outlineLevel="0" collapsed="false">
      <c r="B46" s="15" t="n">
        <v>45689</v>
      </c>
      <c r="C46" s="16" t="s">
        <v>148</v>
      </c>
      <c r="D46" s="17" t="s">
        <v>107</v>
      </c>
      <c r="E46" s="16" t="s">
        <v>43</v>
      </c>
      <c r="F46" s="18" t="n">
        <v>670.3</v>
      </c>
      <c r="G46" s="19" t="str">
        <f aca="false">IF(N(B46)=0,"",TEXT(B46,"MM/YYYY"))</f>
        <v>02/2025</v>
      </c>
      <c r="H46" s="17" t="s">
        <v>108</v>
      </c>
    </row>
    <row r="47" customFormat="false" ht="15" hidden="false" customHeight="true" outlineLevel="0" collapsed="false">
      <c r="B47" s="15" t="n">
        <v>45689</v>
      </c>
      <c r="C47" s="16" t="s">
        <v>149</v>
      </c>
      <c r="D47" s="17" t="s">
        <v>107</v>
      </c>
      <c r="E47" s="16" t="s">
        <v>66</v>
      </c>
      <c r="F47" s="18" t="n">
        <v>1742</v>
      </c>
      <c r="G47" s="19" t="str">
        <f aca="false">IF(N(B47)=0,"",TEXT(B47,"MM/YYYY"))</f>
        <v>02/2025</v>
      </c>
      <c r="H47" s="17" t="s">
        <v>108</v>
      </c>
    </row>
    <row r="48" customFormat="false" ht="15" hidden="false" customHeight="true" outlineLevel="0" collapsed="false">
      <c r="B48" s="15" t="n">
        <v>45689</v>
      </c>
      <c r="C48" s="16" t="s">
        <v>150</v>
      </c>
      <c r="D48" s="17" t="s">
        <v>107</v>
      </c>
      <c r="E48" s="16" t="s">
        <v>93</v>
      </c>
      <c r="F48" s="18" t="n">
        <v>1131.91</v>
      </c>
      <c r="G48" s="19" t="str">
        <f aca="false">IF(N(B48)=0,"",TEXT(B48,"MM/YYYY"))</f>
        <v>02/2025</v>
      </c>
      <c r="H48" s="17" t="s">
        <v>108</v>
      </c>
    </row>
    <row r="49" customFormat="false" ht="15" hidden="false" customHeight="true" outlineLevel="0" collapsed="false">
      <c r="B49" s="15" t="n">
        <v>45689</v>
      </c>
      <c r="C49" s="16" t="s">
        <v>151</v>
      </c>
      <c r="D49" s="17" t="s">
        <v>107</v>
      </c>
      <c r="E49" s="16" t="s">
        <v>33</v>
      </c>
      <c r="F49" s="18" t="n">
        <v>6094.68</v>
      </c>
      <c r="G49" s="19" t="str">
        <f aca="false">IF(N(B49)=0,"",TEXT(B49,"MM/YYYY"))</f>
        <v>02/2025</v>
      </c>
      <c r="H49" s="17" t="s">
        <v>108</v>
      </c>
    </row>
    <row r="50" customFormat="false" ht="15" hidden="false" customHeight="true" outlineLevel="0" collapsed="false">
      <c r="B50" s="15" t="n">
        <v>45689</v>
      </c>
      <c r="C50" s="16" t="s">
        <v>152</v>
      </c>
      <c r="D50" s="17" t="s">
        <v>107</v>
      </c>
      <c r="E50" s="16" t="s">
        <v>42</v>
      </c>
      <c r="F50" s="18" t="n">
        <v>10917.99</v>
      </c>
      <c r="G50" s="19" t="str">
        <f aca="false">IF(N(B50)=0,"",TEXT(B50,"MM/YYYY"))</f>
        <v>02/2025</v>
      </c>
      <c r="H50" s="17" t="s">
        <v>108</v>
      </c>
    </row>
    <row r="51" customFormat="false" ht="15" hidden="false" customHeight="true" outlineLevel="0" collapsed="false">
      <c r="B51" s="15" t="n">
        <v>45689</v>
      </c>
      <c r="C51" s="16" t="s">
        <v>153</v>
      </c>
      <c r="D51" s="17" t="s">
        <v>107</v>
      </c>
      <c r="E51" s="16" t="s">
        <v>37</v>
      </c>
      <c r="F51" s="18" t="n">
        <v>818</v>
      </c>
      <c r="G51" s="19" t="str">
        <f aca="false">IF(N(B51)=0,"",TEXT(B51,"MM/YYYY"))</f>
        <v>02/2025</v>
      </c>
      <c r="H51" s="17" t="s">
        <v>108</v>
      </c>
    </row>
    <row r="52" customFormat="false" ht="15" hidden="false" customHeight="true" outlineLevel="0" collapsed="false">
      <c r="B52" s="15" t="n">
        <v>45689</v>
      </c>
      <c r="C52" s="16" t="s">
        <v>154</v>
      </c>
      <c r="D52" s="17" t="s">
        <v>107</v>
      </c>
      <c r="E52" s="16" t="s">
        <v>58</v>
      </c>
      <c r="F52" s="18" t="n">
        <v>154026.97</v>
      </c>
      <c r="G52" s="19" t="str">
        <f aca="false">IF(N(B52)=0,"",TEXT(B52,"MM/YYYY"))</f>
        <v>02/2025</v>
      </c>
      <c r="H52" s="17" t="s">
        <v>108</v>
      </c>
    </row>
    <row r="53" customFormat="false" ht="15" hidden="false" customHeight="true" outlineLevel="0" collapsed="false">
      <c r="B53" s="15" t="n">
        <v>45689</v>
      </c>
      <c r="C53" s="16" t="s">
        <v>155</v>
      </c>
      <c r="D53" s="17" t="s">
        <v>107</v>
      </c>
      <c r="E53" s="16" t="s">
        <v>35</v>
      </c>
      <c r="F53" s="18" t="n">
        <v>6620</v>
      </c>
      <c r="G53" s="19" t="str">
        <f aca="false">IF(N(B53)=0,"",TEXT(B53,"MM/YYYY"))</f>
        <v>02/2025</v>
      </c>
      <c r="H53" s="17" t="s">
        <v>108</v>
      </c>
    </row>
    <row r="54" customFormat="false" ht="15" hidden="false" customHeight="true" outlineLevel="0" collapsed="false">
      <c r="B54" s="15" t="n">
        <v>45689</v>
      </c>
      <c r="C54" s="16" t="s">
        <v>156</v>
      </c>
      <c r="D54" s="17" t="s">
        <v>107</v>
      </c>
      <c r="E54" s="16" t="s">
        <v>48</v>
      </c>
      <c r="F54" s="18" t="n">
        <v>50</v>
      </c>
      <c r="G54" s="19" t="str">
        <f aca="false">IF(N(B54)=0,"",TEXT(B54,"MM/YYYY"))</f>
        <v>02/2025</v>
      </c>
      <c r="H54" s="17" t="s">
        <v>108</v>
      </c>
    </row>
    <row r="55" customFormat="false" ht="15" hidden="false" customHeight="true" outlineLevel="0" collapsed="false">
      <c r="B55" s="15" t="n">
        <v>45689</v>
      </c>
      <c r="C55" s="16" t="s">
        <v>157</v>
      </c>
      <c r="D55" s="17" t="s">
        <v>107</v>
      </c>
      <c r="E55" s="16" t="s">
        <v>30</v>
      </c>
      <c r="F55" s="18" t="n">
        <v>43502</v>
      </c>
      <c r="G55" s="19" t="str">
        <f aca="false">IF(N(B55)=0,"",TEXT(B55,"MM/YYYY"))</f>
        <v>02/2025</v>
      </c>
      <c r="H55" s="17" t="s">
        <v>108</v>
      </c>
    </row>
    <row r="56" customFormat="false" ht="15" hidden="false" customHeight="true" outlineLevel="0" collapsed="false">
      <c r="B56" s="15" t="n">
        <v>45689</v>
      </c>
      <c r="C56" s="16" t="s">
        <v>158</v>
      </c>
      <c r="D56" s="17" t="s">
        <v>107</v>
      </c>
      <c r="E56" s="16" t="s">
        <v>61</v>
      </c>
      <c r="F56" s="18" t="n">
        <v>4119.21</v>
      </c>
      <c r="G56" s="19" t="str">
        <f aca="false">IF(N(B56)=0,"",TEXT(B56,"MM/YYYY"))</f>
        <v>02/2025</v>
      </c>
      <c r="H56" s="17" t="s">
        <v>108</v>
      </c>
    </row>
    <row r="57" customFormat="false" ht="15" hidden="false" customHeight="true" outlineLevel="0" collapsed="false">
      <c r="B57" s="15" t="n">
        <v>45689</v>
      </c>
      <c r="C57" s="16" t="s">
        <v>159</v>
      </c>
      <c r="D57" s="17" t="s">
        <v>107</v>
      </c>
      <c r="E57" s="16" t="s">
        <v>87</v>
      </c>
      <c r="F57" s="18" t="n">
        <v>4205.34</v>
      </c>
      <c r="G57" s="19" t="str">
        <f aca="false">IF(N(B57)=0,"",TEXT(B57,"MM/YYYY"))</f>
        <v>02/2025</v>
      </c>
      <c r="H57" s="17" t="s">
        <v>108</v>
      </c>
    </row>
    <row r="58" customFormat="false" ht="15" hidden="false" customHeight="true" outlineLevel="0" collapsed="false">
      <c r="B58" s="15" t="n">
        <v>45689</v>
      </c>
      <c r="C58" s="16" t="s">
        <v>160</v>
      </c>
      <c r="D58" s="17" t="s">
        <v>107</v>
      </c>
      <c r="E58" s="16" t="s">
        <v>28</v>
      </c>
      <c r="F58" s="18" t="n">
        <v>16668</v>
      </c>
      <c r="G58" s="19" t="str">
        <f aca="false">IF(N(B58)=0,"",TEXT(B58,"MM/YYYY"))</f>
        <v>02/2025</v>
      </c>
      <c r="H58" s="17" t="s">
        <v>108</v>
      </c>
    </row>
    <row r="59" customFormat="false" ht="15" hidden="false" customHeight="true" outlineLevel="0" collapsed="false">
      <c r="B59" s="15" t="n">
        <v>45689</v>
      </c>
      <c r="C59" s="16" t="s">
        <v>161</v>
      </c>
      <c r="D59" s="17" t="s">
        <v>107</v>
      </c>
      <c r="E59" s="16" t="s">
        <v>44</v>
      </c>
      <c r="F59" s="18" t="n">
        <v>39</v>
      </c>
      <c r="G59" s="19" t="str">
        <f aca="false">IF(N(B59)=0,"",TEXT(B59,"MM/YYYY"))</f>
        <v>02/2025</v>
      </c>
      <c r="H59" s="17" t="s">
        <v>108</v>
      </c>
    </row>
    <row r="60" customFormat="false" ht="15" hidden="false" customHeight="true" outlineLevel="0" collapsed="false">
      <c r="B60" s="15" t="n">
        <v>45689</v>
      </c>
      <c r="C60" s="16" t="s">
        <v>162</v>
      </c>
      <c r="D60" s="17" t="s">
        <v>107</v>
      </c>
      <c r="E60" s="16" t="s">
        <v>67</v>
      </c>
      <c r="F60" s="18" t="n">
        <v>316.58</v>
      </c>
      <c r="G60" s="19" t="str">
        <f aca="false">IF(N(B60)=0,"",TEXT(B60,"MM/YYYY"))</f>
        <v>02/2025</v>
      </c>
      <c r="H60" s="17" t="s">
        <v>108</v>
      </c>
    </row>
    <row r="61" customFormat="false" ht="15" hidden="false" customHeight="true" outlineLevel="0" collapsed="false">
      <c r="B61" s="15" t="n">
        <v>45689</v>
      </c>
      <c r="C61" s="16" t="s">
        <v>163</v>
      </c>
      <c r="D61" s="17" t="s">
        <v>107</v>
      </c>
      <c r="E61" s="16" t="s">
        <v>83</v>
      </c>
      <c r="F61" s="18" t="n">
        <v>156.18</v>
      </c>
      <c r="G61" s="19" t="str">
        <f aca="false">IF(N(B61)=0,"",TEXT(B61,"MM/YYYY"))</f>
        <v>02/2025</v>
      </c>
      <c r="H61" s="17" t="s">
        <v>108</v>
      </c>
    </row>
    <row r="62" customFormat="false" ht="15" hidden="false" customHeight="true" outlineLevel="0" collapsed="false">
      <c r="B62" s="15" t="n">
        <v>45689</v>
      </c>
      <c r="C62" s="16" t="s">
        <v>164</v>
      </c>
      <c r="D62" s="17" t="s">
        <v>107</v>
      </c>
      <c r="E62" s="16" t="s">
        <v>32</v>
      </c>
      <c r="F62" s="18" t="n">
        <v>3409.56</v>
      </c>
      <c r="G62" s="19" t="str">
        <f aca="false">IF(N(B62)=0,"",TEXT(B62,"MM/YYYY"))</f>
        <v>02/2025</v>
      </c>
      <c r="H62" s="17" t="s">
        <v>108</v>
      </c>
    </row>
    <row r="63" customFormat="false" ht="15" hidden="false" customHeight="true" outlineLevel="0" collapsed="false">
      <c r="B63" s="15" t="n">
        <v>45689</v>
      </c>
      <c r="C63" s="16" t="s">
        <v>165</v>
      </c>
      <c r="D63" s="17" t="s">
        <v>107</v>
      </c>
      <c r="E63" s="16" t="s">
        <v>50</v>
      </c>
      <c r="F63" s="18" t="n">
        <v>2195.42</v>
      </c>
      <c r="G63" s="19" t="str">
        <f aca="false">IF(N(B63)=0,"",TEXT(B63,"MM/YYYY"))</f>
        <v>02/2025</v>
      </c>
      <c r="H63" s="17" t="s">
        <v>108</v>
      </c>
    </row>
    <row r="64" customFormat="false" ht="15" hidden="false" customHeight="true" outlineLevel="0" collapsed="false">
      <c r="B64" s="15" t="n">
        <v>45689</v>
      </c>
      <c r="C64" s="16" t="s">
        <v>166</v>
      </c>
      <c r="D64" s="17" t="s">
        <v>107</v>
      </c>
      <c r="E64" s="16" t="s">
        <v>86</v>
      </c>
      <c r="F64" s="18" t="n">
        <v>50000</v>
      </c>
      <c r="G64" s="19" t="str">
        <f aca="false">IF(N(B64)=0,"",TEXT(B64,"MM/YYYY"))</f>
        <v>02/2025</v>
      </c>
      <c r="H64" s="17" t="s">
        <v>108</v>
      </c>
    </row>
    <row r="65" customFormat="false" ht="15" hidden="false" customHeight="true" outlineLevel="0" collapsed="false">
      <c r="B65" s="15" t="n">
        <v>45689</v>
      </c>
      <c r="C65" s="16" t="s">
        <v>167</v>
      </c>
      <c r="D65" s="17" t="s">
        <v>107</v>
      </c>
      <c r="E65" s="16" t="s">
        <v>51</v>
      </c>
      <c r="F65" s="18" t="n">
        <v>27162.64</v>
      </c>
      <c r="G65" s="19" t="str">
        <f aca="false">IF(N(B65)=0,"",TEXT(B65,"MM/YYYY"))</f>
        <v>02/2025</v>
      </c>
      <c r="H65" s="17" t="s">
        <v>108</v>
      </c>
    </row>
    <row r="66" customFormat="false" ht="15" hidden="false" customHeight="true" outlineLevel="0" collapsed="false">
      <c r="B66" s="15" t="n">
        <v>45689</v>
      </c>
      <c r="C66" s="16" t="s">
        <v>168</v>
      </c>
      <c r="D66" s="17" t="s">
        <v>107</v>
      </c>
      <c r="E66" s="16" t="s">
        <v>62</v>
      </c>
      <c r="F66" s="18" t="n">
        <v>1240</v>
      </c>
      <c r="G66" s="19" t="str">
        <f aca="false">IF(N(B66)=0,"",TEXT(B66,"MM/YYYY"))</f>
        <v>02/2025</v>
      </c>
      <c r="H66" s="17" t="s">
        <v>108</v>
      </c>
    </row>
    <row r="67" customFormat="false" ht="15" hidden="false" customHeight="true" outlineLevel="0" collapsed="false">
      <c r="B67" s="15" t="n">
        <v>45689</v>
      </c>
      <c r="C67" s="16" t="s">
        <v>169</v>
      </c>
      <c r="D67" s="17" t="s">
        <v>107</v>
      </c>
      <c r="E67" s="16" t="s">
        <v>64</v>
      </c>
      <c r="F67" s="18" t="n">
        <v>463</v>
      </c>
      <c r="G67" s="19" t="str">
        <f aca="false">IF(N(B67)=0,"",TEXT(B67,"MM/YYYY"))</f>
        <v>02/2025</v>
      </c>
      <c r="H67" s="17" t="s">
        <v>108</v>
      </c>
    </row>
    <row r="68" customFormat="false" ht="15" hidden="false" customHeight="true" outlineLevel="0" collapsed="false">
      <c r="B68" s="15" t="n">
        <v>45689</v>
      </c>
      <c r="C68" s="16" t="s">
        <v>170</v>
      </c>
      <c r="D68" s="17" t="s">
        <v>107</v>
      </c>
      <c r="E68" s="16" t="s">
        <v>96</v>
      </c>
      <c r="F68" s="18" t="n">
        <v>13161.53</v>
      </c>
      <c r="G68" s="19" t="str">
        <f aca="false">IF(N(B68)=0,"",TEXT(B68,"MM/YYYY"))</f>
        <v>02/2025</v>
      </c>
      <c r="H68" s="17" t="s">
        <v>108</v>
      </c>
    </row>
    <row r="69" customFormat="false" ht="15" hidden="false" customHeight="true" outlineLevel="0" collapsed="false">
      <c r="B69" s="15" t="n">
        <v>45689</v>
      </c>
      <c r="C69" s="16" t="s">
        <v>171</v>
      </c>
      <c r="D69" s="17" t="s">
        <v>107</v>
      </c>
      <c r="E69" s="16" t="s">
        <v>26</v>
      </c>
      <c r="F69" s="18" t="n">
        <v>44909.82</v>
      </c>
      <c r="G69" s="19" t="str">
        <f aca="false">IF(N(B69)=0,"",TEXT(B69,"MM/YYYY"))</f>
        <v>02/2025</v>
      </c>
      <c r="H69" s="17" t="s">
        <v>108</v>
      </c>
    </row>
    <row r="70" customFormat="false" ht="15" hidden="false" customHeight="true" outlineLevel="0" collapsed="false">
      <c r="B70" s="15" t="n">
        <v>45689</v>
      </c>
      <c r="C70" s="16" t="s">
        <v>172</v>
      </c>
      <c r="D70" s="17" t="s">
        <v>107</v>
      </c>
      <c r="E70" s="16" t="s">
        <v>65</v>
      </c>
      <c r="F70" s="18" t="n">
        <v>120</v>
      </c>
      <c r="G70" s="19" t="str">
        <f aca="false">IF(N(B70)=0,"",TEXT(B70,"MM/YYYY"))</f>
        <v>02/2025</v>
      </c>
      <c r="H70" s="17" t="s">
        <v>108</v>
      </c>
    </row>
    <row r="71" customFormat="false" ht="15" hidden="false" customHeight="true" outlineLevel="0" collapsed="false">
      <c r="B71" s="15" t="n">
        <v>45689</v>
      </c>
      <c r="C71" s="16" t="s">
        <v>173</v>
      </c>
      <c r="D71" s="17" t="s">
        <v>107</v>
      </c>
      <c r="E71" s="16" t="s">
        <v>29</v>
      </c>
      <c r="F71" s="18" t="n">
        <v>6648</v>
      </c>
      <c r="G71" s="19" t="str">
        <f aca="false">IF(N(B71)=0,"",TEXT(B71,"MM/YYYY"))</f>
        <v>02/2025</v>
      </c>
      <c r="H71" s="17" t="s">
        <v>108</v>
      </c>
    </row>
    <row r="72" customFormat="false" ht="15" hidden="false" customHeight="true" outlineLevel="0" collapsed="false">
      <c r="B72" s="15" t="n">
        <v>45689</v>
      </c>
      <c r="C72" s="16" t="s">
        <v>174</v>
      </c>
      <c r="D72" s="17" t="s">
        <v>107</v>
      </c>
      <c r="E72" s="16" t="s">
        <v>59</v>
      </c>
      <c r="F72" s="18" t="n">
        <v>3650</v>
      </c>
      <c r="G72" s="19" t="str">
        <f aca="false">IF(N(B72)=0,"",TEXT(B72,"MM/YYYY"))</f>
        <v>02/2025</v>
      </c>
      <c r="H72" s="17" t="s">
        <v>108</v>
      </c>
    </row>
    <row r="73" customFormat="false" ht="15" hidden="false" customHeight="true" outlineLevel="0" collapsed="false">
      <c r="B73" s="15" t="n">
        <v>45689</v>
      </c>
      <c r="C73" s="16" t="s">
        <v>175</v>
      </c>
      <c r="D73" s="17" t="s">
        <v>107</v>
      </c>
      <c r="E73" s="16" t="s">
        <v>54</v>
      </c>
      <c r="F73" s="18" t="n">
        <v>890</v>
      </c>
      <c r="G73" s="19" t="str">
        <f aca="false">IF(N(B73)=0,"",TEXT(B73,"MM/YYYY"))</f>
        <v>02/2025</v>
      </c>
      <c r="H73" s="17" t="s">
        <v>108</v>
      </c>
    </row>
    <row r="74" customFormat="false" ht="15" hidden="false" customHeight="true" outlineLevel="0" collapsed="false">
      <c r="B74" s="15" t="n">
        <v>45689</v>
      </c>
      <c r="C74" s="16" t="s">
        <v>176</v>
      </c>
      <c r="D74" s="17" t="s">
        <v>107</v>
      </c>
      <c r="E74" s="16" t="s">
        <v>69</v>
      </c>
      <c r="F74" s="18" t="n">
        <v>293.24</v>
      </c>
      <c r="G74" s="19" t="str">
        <f aca="false">IF(N(B74)=0,"",TEXT(B74,"MM/YYYY"))</f>
        <v>02/2025</v>
      </c>
      <c r="H74" s="17" t="s">
        <v>108</v>
      </c>
    </row>
    <row r="75" customFormat="false" ht="15" hidden="false" customHeight="true" outlineLevel="0" collapsed="false">
      <c r="B75" s="15" t="n">
        <v>45717</v>
      </c>
      <c r="C75" s="16" t="s">
        <v>177</v>
      </c>
      <c r="D75" s="17" t="s">
        <v>114</v>
      </c>
      <c r="E75" s="16" t="s">
        <v>22</v>
      </c>
      <c r="F75" s="18" t="n">
        <v>357019.64</v>
      </c>
      <c r="G75" s="19" t="str">
        <f aca="false">IF(N(B75)=0,"",TEXT(B75,"MM/YYYY"))</f>
        <v>03/2025</v>
      </c>
      <c r="H75" s="17" t="s">
        <v>108</v>
      </c>
    </row>
    <row r="76" customFormat="false" ht="15" hidden="false" customHeight="true" outlineLevel="0" collapsed="false">
      <c r="B76" s="15" t="n">
        <v>45717</v>
      </c>
      <c r="C76" s="16" t="s">
        <v>178</v>
      </c>
      <c r="D76" s="17" t="s">
        <v>107</v>
      </c>
      <c r="E76" s="16" t="s">
        <v>31</v>
      </c>
      <c r="F76" s="18" t="n">
        <v>12707.2</v>
      </c>
      <c r="G76" s="19" t="str">
        <f aca="false">IF(N(B76)=0,"",TEXT(B76,"MM/YYYY"))</f>
        <v>03/2025</v>
      </c>
      <c r="H76" s="17" t="s">
        <v>108</v>
      </c>
    </row>
    <row r="77" customFormat="false" ht="15" hidden="false" customHeight="true" outlineLevel="0" collapsed="false">
      <c r="B77" s="15" t="n">
        <v>45717</v>
      </c>
      <c r="C77" s="16" t="s">
        <v>179</v>
      </c>
      <c r="D77" s="17" t="s">
        <v>107</v>
      </c>
      <c r="E77" s="16" t="s">
        <v>71</v>
      </c>
      <c r="F77" s="18" t="n">
        <v>2849.74</v>
      </c>
      <c r="G77" s="19" t="str">
        <f aca="false">IF(N(B77)=0,"",TEXT(B77,"MM/YYYY"))</f>
        <v>03/2025</v>
      </c>
      <c r="H77" s="17" t="s">
        <v>108</v>
      </c>
    </row>
    <row r="78" customFormat="false" ht="15" hidden="false" customHeight="true" outlineLevel="0" collapsed="false">
      <c r="B78" s="15" t="n">
        <v>45717</v>
      </c>
      <c r="C78" s="16" t="s">
        <v>180</v>
      </c>
      <c r="D78" s="17" t="s">
        <v>107</v>
      </c>
      <c r="E78" s="16" t="s">
        <v>84</v>
      </c>
      <c r="F78" s="18" t="n">
        <v>1100</v>
      </c>
      <c r="G78" s="19" t="str">
        <f aca="false">IF(N(B78)=0,"",TEXT(B78,"MM/YYYY"))</f>
        <v>03/2025</v>
      </c>
      <c r="H78" s="17" t="s">
        <v>108</v>
      </c>
    </row>
    <row r="79" customFormat="false" ht="15" hidden="false" customHeight="true" outlineLevel="0" collapsed="false">
      <c r="B79" s="15" t="n">
        <v>45717</v>
      </c>
      <c r="C79" s="16" t="s">
        <v>181</v>
      </c>
      <c r="D79" s="17" t="s">
        <v>107</v>
      </c>
      <c r="E79" s="16" t="s">
        <v>45</v>
      </c>
      <c r="F79" s="18" t="n">
        <v>132.6</v>
      </c>
      <c r="G79" s="19" t="str">
        <f aca="false">IF(N(B79)=0,"",TEXT(B79,"MM/YYYY"))</f>
        <v>03/2025</v>
      </c>
      <c r="H79" s="17" t="s">
        <v>108</v>
      </c>
    </row>
    <row r="80" customFormat="false" ht="15" hidden="false" customHeight="true" outlineLevel="0" collapsed="false">
      <c r="B80" s="15" t="n">
        <v>45717</v>
      </c>
      <c r="C80" s="16" t="s">
        <v>182</v>
      </c>
      <c r="D80" s="17" t="s">
        <v>107</v>
      </c>
      <c r="E80" s="16" t="s">
        <v>52</v>
      </c>
      <c r="F80" s="18" t="n">
        <v>5501.74</v>
      </c>
      <c r="G80" s="19" t="str">
        <f aca="false">IF(N(B80)=0,"",TEXT(B80,"MM/YYYY"))</f>
        <v>03/2025</v>
      </c>
      <c r="H80" s="17" t="s">
        <v>108</v>
      </c>
    </row>
    <row r="81" customFormat="false" ht="15" hidden="false" customHeight="true" outlineLevel="0" collapsed="false">
      <c r="B81" s="15" t="n">
        <v>45717</v>
      </c>
      <c r="C81" s="16" t="s">
        <v>183</v>
      </c>
      <c r="D81" s="17" t="s">
        <v>107</v>
      </c>
      <c r="E81" s="16" t="s">
        <v>34</v>
      </c>
      <c r="F81" s="18" t="n">
        <v>3100.25</v>
      </c>
      <c r="G81" s="19" t="str">
        <f aca="false">IF(N(B81)=0,"",TEXT(B81,"MM/YYYY"))</f>
        <v>03/2025</v>
      </c>
      <c r="H81" s="17" t="s">
        <v>108</v>
      </c>
    </row>
    <row r="82" customFormat="false" ht="15" hidden="false" customHeight="true" outlineLevel="0" collapsed="false">
      <c r="B82" s="15" t="n">
        <v>45717</v>
      </c>
      <c r="C82" s="16" t="s">
        <v>184</v>
      </c>
      <c r="D82" s="17" t="s">
        <v>107</v>
      </c>
      <c r="E82" s="16" t="s">
        <v>38</v>
      </c>
      <c r="F82" s="18" t="n">
        <v>1980</v>
      </c>
      <c r="G82" s="19" t="str">
        <f aca="false">IF(N(B82)=0,"",TEXT(B82,"MM/YYYY"))</f>
        <v>03/2025</v>
      </c>
      <c r="H82" s="17" t="s">
        <v>108</v>
      </c>
    </row>
    <row r="83" customFormat="false" ht="15" hidden="false" customHeight="true" outlineLevel="0" collapsed="false">
      <c r="B83" s="15" t="n">
        <v>45717</v>
      </c>
      <c r="C83" s="16" t="s">
        <v>185</v>
      </c>
      <c r="D83" s="17" t="s">
        <v>107</v>
      </c>
      <c r="E83" s="16" t="s">
        <v>43</v>
      </c>
      <c r="F83" s="18" t="n">
        <v>887.51</v>
      </c>
      <c r="G83" s="19" t="str">
        <f aca="false">IF(N(B83)=0,"",TEXT(B83,"MM/YYYY"))</f>
        <v>03/2025</v>
      </c>
      <c r="H83" s="17" t="s">
        <v>108</v>
      </c>
    </row>
    <row r="84" customFormat="false" ht="15" hidden="false" customHeight="true" outlineLevel="0" collapsed="false">
      <c r="B84" s="15"/>
      <c r="C84" s="16"/>
      <c r="D84" s="17"/>
      <c r="E84" s="16"/>
      <c r="F84" s="18"/>
      <c r="G84" s="19"/>
      <c r="H84" s="17"/>
    </row>
    <row r="85" customFormat="false" ht="15" hidden="false" customHeight="true" outlineLevel="0" collapsed="false">
      <c r="B85" s="15" t="n">
        <v>45717</v>
      </c>
      <c r="C85" s="16" t="s">
        <v>186</v>
      </c>
      <c r="D85" s="17" t="s">
        <v>107</v>
      </c>
      <c r="E85" s="16" t="s">
        <v>66</v>
      </c>
      <c r="F85" s="18" t="n">
        <v>1742</v>
      </c>
      <c r="G85" s="19" t="str">
        <f aca="false">IF(N(B85)=0,"",TEXT(B85,"MM/YYYY"))</f>
        <v>03/2025</v>
      </c>
      <c r="H85" s="17" t="s">
        <v>108</v>
      </c>
    </row>
    <row r="86" customFormat="false" ht="15" hidden="false" customHeight="true" outlineLevel="0" collapsed="false">
      <c r="B86" s="15" t="n">
        <v>45717</v>
      </c>
      <c r="C86" s="16" t="s">
        <v>187</v>
      </c>
      <c r="D86" s="17" t="s">
        <v>107</v>
      </c>
      <c r="E86" s="16" t="s">
        <v>60</v>
      </c>
      <c r="F86" s="18" t="n">
        <v>487.21</v>
      </c>
      <c r="G86" s="19" t="str">
        <f aca="false">IF(N(B86)=0,"",TEXT(B86,"MM/YYYY"))</f>
        <v>03/2025</v>
      </c>
      <c r="H86" s="17" t="s">
        <v>108</v>
      </c>
    </row>
    <row r="87" customFormat="false" ht="15" hidden="false" customHeight="true" outlineLevel="0" collapsed="false">
      <c r="B87" s="15" t="n">
        <v>45717</v>
      </c>
      <c r="C87" s="16" t="s">
        <v>188</v>
      </c>
      <c r="D87" s="17" t="s">
        <v>107</v>
      </c>
      <c r="E87" s="16" t="s">
        <v>33</v>
      </c>
      <c r="F87" s="18" t="n">
        <v>3356.39</v>
      </c>
      <c r="G87" s="19" t="str">
        <f aca="false">IF(N(B87)=0,"",TEXT(B87,"MM/YYYY"))</f>
        <v>03/2025</v>
      </c>
      <c r="H87" s="17" t="s">
        <v>108</v>
      </c>
    </row>
    <row r="88" customFormat="false" ht="15" hidden="false" customHeight="true" outlineLevel="0" collapsed="false">
      <c r="B88" s="15" t="n">
        <v>45717</v>
      </c>
      <c r="C88" s="16" t="s">
        <v>189</v>
      </c>
      <c r="D88" s="17" t="s">
        <v>107</v>
      </c>
      <c r="E88" s="16" t="s">
        <v>53</v>
      </c>
      <c r="F88" s="18" t="n">
        <v>800</v>
      </c>
      <c r="G88" s="19" t="str">
        <f aca="false">IF(N(B88)=0,"",TEXT(B88,"MM/YYYY"))</f>
        <v>03/2025</v>
      </c>
      <c r="H88" s="17" t="s">
        <v>108</v>
      </c>
    </row>
    <row r="89" customFormat="false" ht="15" hidden="false" customHeight="true" outlineLevel="0" collapsed="false">
      <c r="B89" s="15" t="n">
        <v>45717</v>
      </c>
      <c r="C89" s="16" t="s">
        <v>190</v>
      </c>
      <c r="D89" s="17" t="s">
        <v>107</v>
      </c>
      <c r="E89" s="16" t="s">
        <v>37</v>
      </c>
      <c r="F89" s="18" t="n">
        <v>1281.03</v>
      </c>
      <c r="G89" s="19" t="str">
        <f aca="false">IF(N(B89)=0,"",TEXT(B89,"MM/YYYY"))</f>
        <v>03/2025</v>
      </c>
      <c r="H89" s="17" t="s">
        <v>108</v>
      </c>
    </row>
    <row r="90" customFormat="false" ht="15" hidden="false" customHeight="true" outlineLevel="0" collapsed="false">
      <c r="B90" s="15" t="n">
        <v>45717</v>
      </c>
      <c r="C90" s="16" t="s">
        <v>191</v>
      </c>
      <c r="D90" s="17" t="s">
        <v>107</v>
      </c>
      <c r="E90" s="16" t="s">
        <v>58</v>
      </c>
      <c r="F90" s="18" t="n">
        <v>144173.23</v>
      </c>
      <c r="G90" s="19" t="str">
        <f aca="false">IF(N(B90)=0,"",TEXT(B90,"MM/YYYY"))</f>
        <v>03/2025</v>
      </c>
      <c r="H90" s="17" t="s">
        <v>108</v>
      </c>
    </row>
    <row r="91" customFormat="false" ht="15" hidden="false" customHeight="true" outlineLevel="0" collapsed="false">
      <c r="B91" s="15" t="n">
        <v>45717</v>
      </c>
      <c r="C91" s="16" t="s">
        <v>192</v>
      </c>
      <c r="D91" s="17" t="s">
        <v>107</v>
      </c>
      <c r="E91" s="16" t="s">
        <v>68</v>
      </c>
      <c r="F91" s="18" t="n">
        <v>109.53</v>
      </c>
      <c r="G91" s="19" t="str">
        <f aca="false">IF(N(B91)=0,"",TEXT(B91,"MM/YYYY"))</f>
        <v>03/2025</v>
      </c>
      <c r="H91" s="17" t="s">
        <v>108</v>
      </c>
    </row>
    <row r="92" customFormat="false" ht="15" hidden="false" customHeight="true" outlineLevel="0" collapsed="false">
      <c r="B92" s="15" t="n">
        <v>45717</v>
      </c>
      <c r="C92" s="16" t="s">
        <v>193</v>
      </c>
      <c r="D92" s="17" t="s">
        <v>107</v>
      </c>
      <c r="E92" s="16" t="s">
        <v>35</v>
      </c>
      <c r="F92" s="18" t="n">
        <v>3423.75</v>
      </c>
      <c r="G92" s="19" t="str">
        <f aca="false">IF(N(B92)=0,"",TEXT(B92,"MM/YYYY"))</f>
        <v>03/2025</v>
      </c>
      <c r="H92" s="17" t="s">
        <v>108</v>
      </c>
    </row>
    <row r="93" customFormat="false" ht="15" hidden="false" customHeight="true" outlineLevel="0" collapsed="false">
      <c r="B93" s="15" t="n">
        <v>45717</v>
      </c>
      <c r="C93" s="16" t="s">
        <v>194</v>
      </c>
      <c r="D93" s="17" t="s">
        <v>107</v>
      </c>
      <c r="E93" s="16" t="s">
        <v>48</v>
      </c>
      <c r="F93" s="18" t="n">
        <v>40</v>
      </c>
      <c r="G93" s="19" t="str">
        <f aca="false">IF(N(B93)=0,"",TEXT(B93,"MM/YYYY"))</f>
        <v>03/2025</v>
      </c>
      <c r="H93" s="17" t="s">
        <v>108</v>
      </c>
    </row>
    <row r="94" customFormat="false" ht="15" hidden="false" customHeight="true" outlineLevel="0" collapsed="false">
      <c r="B94" s="15" t="n">
        <v>45717</v>
      </c>
      <c r="C94" s="16" t="s">
        <v>195</v>
      </c>
      <c r="D94" s="17" t="s">
        <v>107</v>
      </c>
      <c r="E94" s="16" t="s">
        <v>30</v>
      </c>
      <c r="F94" s="18" t="n">
        <v>39024.5</v>
      </c>
      <c r="G94" s="19" t="str">
        <f aca="false">IF(N(B94)=0,"",TEXT(B94,"MM/YYYY"))</f>
        <v>03/2025</v>
      </c>
      <c r="H94" s="17" t="s">
        <v>108</v>
      </c>
    </row>
    <row r="95" customFormat="false" ht="15" hidden="false" customHeight="true" outlineLevel="0" collapsed="false">
      <c r="B95" s="15" t="n">
        <v>45717</v>
      </c>
      <c r="C95" s="16" t="s">
        <v>196</v>
      </c>
      <c r="D95" s="17" t="s">
        <v>107</v>
      </c>
      <c r="E95" s="16" t="s">
        <v>61</v>
      </c>
      <c r="F95" s="18" t="n">
        <v>3285.31</v>
      </c>
      <c r="G95" s="19" t="str">
        <f aca="false">IF(N(B95)=0,"",TEXT(B95,"MM/YYYY"))</f>
        <v>03/2025</v>
      </c>
      <c r="H95" s="17" t="s">
        <v>108</v>
      </c>
    </row>
    <row r="96" customFormat="false" ht="15" hidden="false" customHeight="true" outlineLevel="0" collapsed="false">
      <c r="B96" s="15" t="n">
        <v>45717</v>
      </c>
      <c r="C96" s="16" t="s">
        <v>197</v>
      </c>
      <c r="D96" s="17" t="s">
        <v>107</v>
      </c>
      <c r="E96" s="16" t="s">
        <v>87</v>
      </c>
      <c r="F96" s="18" t="n">
        <v>6201.8</v>
      </c>
      <c r="G96" s="19" t="str">
        <f aca="false">IF(N(B96)=0,"",TEXT(B96,"MM/YYYY"))</f>
        <v>03/2025</v>
      </c>
      <c r="H96" s="17" t="s">
        <v>108</v>
      </c>
    </row>
    <row r="97" customFormat="false" ht="15" hidden="false" customHeight="true" outlineLevel="0" collapsed="false">
      <c r="B97" s="15" t="n">
        <v>45717</v>
      </c>
      <c r="C97" s="16" t="s">
        <v>198</v>
      </c>
      <c r="D97" s="17" t="s">
        <v>107</v>
      </c>
      <c r="E97" s="16" t="s">
        <v>28</v>
      </c>
      <c r="F97" s="18" t="n">
        <v>21112.92</v>
      </c>
      <c r="G97" s="19" t="str">
        <f aca="false">IF(N(B97)=0,"",TEXT(B97,"MM/YYYY"))</f>
        <v>03/2025</v>
      </c>
      <c r="H97" s="17" t="s">
        <v>108</v>
      </c>
    </row>
    <row r="98" customFormat="false" ht="15" hidden="false" customHeight="true" outlineLevel="0" collapsed="false">
      <c r="B98" s="15" t="n">
        <v>45717</v>
      </c>
      <c r="C98" s="16" t="s">
        <v>199</v>
      </c>
      <c r="D98" s="17" t="s">
        <v>107</v>
      </c>
      <c r="E98" s="16" t="s">
        <v>92</v>
      </c>
      <c r="F98" s="18" t="n">
        <v>50</v>
      </c>
      <c r="G98" s="19" t="str">
        <f aca="false">IF(N(B98)=0,"",TEXT(B98,"MM/YYYY"))</f>
        <v>03/2025</v>
      </c>
      <c r="H98" s="17" t="s">
        <v>108</v>
      </c>
    </row>
    <row r="99" customFormat="false" ht="15" hidden="false" customHeight="true" outlineLevel="0" collapsed="false">
      <c r="B99" s="15" t="n">
        <v>45717</v>
      </c>
      <c r="C99" s="16" t="s">
        <v>200</v>
      </c>
      <c r="D99" s="17" t="s">
        <v>107</v>
      </c>
      <c r="E99" s="16" t="s">
        <v>46</v>
      </c>
      <c r="F99" s="18" t="n">
        <v>86</v>
      </c>
      <c r="G99" s="19" t="str">
        <f aca="false">IF(N(B99)=0,"",TEXT(B99,"MM/YYYY"))</f>
        <v>03/2025</v>
      </c>
      <c r="H99" s="17" t="s">
        <v>108</v>
      </c>
    </row>
    <row r="100" customFormat="false" ht="15" hidden="false" customHeight="true" outlineLevel="0" collapsed="false">
      <c r="B100" s="15" t="n">
        <v>45717</v>
      </c>
      <c r="C100" s="16" t="s">
        <v>201</v>
      </c>
      <c r="D100" s="17" t="s">
        <v>107</v>
      </c>
      <c r="E100" s="16" t="s">
        <v>67</v>
      </c>
      <c r="F100" s="18" t="n">
        <v>250</v>
      </c>
      <c r="G100" s="19" t="str">
        <f aca="false">IF(N(B100)=0,"",TEXT(B100,"MM/YYYY"))</f>
        <v>03/2025</v>
      </c>
      <c r="H100" s="17" t="s">
        <v>108</v>
      </c>
    </row>
    <row r="101" customFormat="false" ht="15" hidden="false" customHeight="true" outlineLevel="0" collapsed="false">
      <c r="B101" s="15" t="n">
        <v>45717</v>
      </c>
      <c r="C101" s="16" t="s">
        <v>202</v>
      </c>
      <c r="D101" s="17" t="s">
        <v>107</v>
      </c>
      <c r="E101" s="16" t="s">
        <v>83</v>
      </c>
      <c r="F101" s="18" t="n">
        <v>156.18</v>
      </c>
      <c r="G101" s="19" t="str">
        <f aca="false">IF(N(B101)=0,"",TEXT(B101,"MM/YYYY"))</f>
        <v>03/2025</v>
      </c>
      <c r="H101" s="17" t="s">
        <v>108</v>
      </c>
    </row>
    <row r="102" customFormat="false" ht="15" hidden="false" customHeight="true" outlineLevel="0" collapsed="false">
      <c r="B102" s="15" t="n">
        <v>45717</v>
      </c>
      <c r="C102" s="16" t="s">
        <v>203</v>
      </c>
      <c r="D102" s="17" t="s">
        <v>107</v>
      </c>
      <c r="E102" s="16" t="s">
        <v>80</v>
      </c>
      <c r="F102" s="18" t="n">
        <v>3.7</v>
      </c>
      <c r="G102" s="19" t="str">
        <f aca="false">IF(N(B102)=0,"",TEXT(B102,"MM/YYYY"))</f>
        <v>03/2025</v>
      </c>
      <c r="H102" s="17" t="s">
        <v>108</v>
      </c>
    </row>
    <row r="103" customFormat="false" ht="15" hidden="false" customHeight="true" outlineLevel="0" collapsed="false">
      <c r="B103" s="15" t="n">
        <v>45717</v>
      </c>
      <c r="C103" s="16" t="s">
        <v>204</v>
      </c>
      <c r="D103" s="17" t="s">
        <v>107</v>
      </c>
      <c r="E103" s="16" t="s">
        <v>32</v>
      </c>
      <c r="F103" s="18" t="n">
        <v>12.5</v>
      </c>
      <c r="G103" s="19" t="str">
        <f aca="false">IF(N(B103)=0,"",TEXT(B103,"MM/YYYY"))</f>
        <v>03/2025</v>
      </c>
      <c r="H103" s="17" t="s">
        <v>108</v>
      </c>
    </row>
    <row r="104" customFormat="false" ht="15" hidden="false" customHeight="true" outlineLevel="0" collapsed="false">
      <c r="B104" s="15" t="n">
        <v>45717</v>
      </c>
      <c r="C104" s="16" t="s">
        <v>205</v>
      </c>
      <c r="D104" s="17" t="s">
        <v>107</v>
      </c>
      <c r="E104" s="16" t="s">
        <v>72</v>
      </c>
      <c r="F104" s="18" t="n">
        <v>300</v>
      </c>
      <c r="G104" s="19" t="str">
        <f aca="false">IF(N(B104)=0,"",TEXT(B104,"MM/YYYY"))</f>
        <v>03/2025</v>
      </c>
      <c r="H104" s="17" t="s">
        <v>108</v>
      </c>
    </row>
    <row r="105" customFormat="false" ht="15" hidden="false" customHeight="true" outlineLevel="0" collapsed="false">
      <c r="B105" s="15" t="n">
        <v>45717</v>
      </c>
      <c r="C105" s="16" t="s">
        <v>206</v>
      </c>
      <c r="D105" s="17" t="s">
        <v>107</v>
      </c>
      <c r="E105" s="16" t="s">
        <v>50</v>
      </c>
      <c r="F105" s="18" t="n">
        <v>572.47</v>
      </c>
      <c r="G105" s="19" t="str">
        <f aca="false">IF(N(B105)=0,"",TEXT(B105,"MM/YYYY"))</f>
        <v>03/2025</v>
      </c>
      <c r="H105" s="17" t="s">
        <v>108</v>
      </c>
    </row>
    <row r="106" customFormat="false" ht="15" hidden="false" customHeight="true" outlineLevel="0" collapsed="false">
      <c r="B106" s="15" t="n">
        <v>45717</v>
      </c>
      <c r="C106" s="16" t="s">
        <v>207</v>
      </c>
      <c r="D106" s="17" t="s">
        <v>107</v>
      </c>
      <c r="E106" s="16" t="s">
        <v>86</v>
      </c>
      <c r="F106" s="18" t="n">
        <v>50000</v>
      </c>
      <c r="G106" s="19" t="str">
        <f aca="false">IF(N(B106)=0,"",TEXT(B106,"MM/YYYY"))</f>
        <v>03/2025</v>
      </c>
      <c r="H106" s="17" t="s">
        <v>108</v>
      </c>
    </row>
    <row r="107" customFormat="false" ht="15" hidden="false" customHeight="true" outlineLevel="0" collapsed="false">
      <c r="B107" s="15" t="n">
        <v>45717</v>
      </c>
      <c r="C107" s="16" t="s">
        <v>208</v>
      </c>
      <c r="D107" s="17" t="s">
        <v>107</v>
      </c>
      <c r="E107" s="16" t="s">
        <v>51</v>
      </c>
      <c r="F107" s="18" t="n">
        <v>33116.48</v>
      </c>
      <c r="G107" s="19" t="str">
        <f aca="false">IF(N(B107)=0,"",TEXT(B107,"MM/YYYY"))</f>
        <v>03/2025</v>
      </c>
      <c r="H107" s="17" t="s">
        <v>108</v>
      </c>
    </row>
    <row r="108" customFormat="false" ht="15" hidden="false" customHeight="true" outlineLevel="0" collapsed="false">
      <c r="B108" s="15" t="n">
        <v>45717</v>
      </c>
      <c r="C108" s="16" t="s">
        <v>209</v>
      </c>
      <c r="D108" s="17" t="s">
        <v>107</v>
      </c>
      <c r="E108" s="16" t="s">
        <v>62</v>
      </c>
      <c r="F108" s="18" t="n">
        <v>140</v>
      </c>
      <c r="G108" s="19" t="str">
        <f aca="false">IF(N(B108)=0,"",TEXT(B108,"MM/YYYY"))</f>
        <v>03/2025</v>
      </c>
      <c r="H108" s="17" t="s">
        <v>108</v>
      </c>
    </row>
    <row r="109" customFormat="false" ht="15" hidden="false" customHeight="true" outlineLevel="0" collapsed="false">
      <c r="B109" s="15" t="n">
        <v>45717</v>
      </c>
      <c r="C109" s="16" t="s">
        <v>210</v>
      </c>
      <c r="D109" s="17" t="s">
        <v>107</v>
      </c>
      <c r="E109" s="16" t="s">
        <v>64</v>
      </c>
      <c r="F109" s="18" t="n">
        <v>269.82</v>
      </c>
      <c r="G109" s="19" t="str">
        <f aca="false">IF(N(B109)=0,"",TEXT(B109,"MM/YYYY"))</f>
        <v>03/2025</v>
      </c>
      <c r="H109" s="17" t="s">
        <v>108</v>
      </c>
    </row>
    <row r="110" customFormat="false" ht="15" hidden="false" customHeight="true" outlineLevel="0" collapsed="false">
      <c r="B110" s="15"/>
      <c r="C110" s="16"/>
      <c r="D110" s="17"/>
      <c r="E110" s="16"/>
      <c r="F110" s="18"/>
      <c r="G110" s="19"/>
      <c r="H110" s="17"/>
    </row>
    <row r="111" customFormat="false" ht="15" hidden="false" customHeight="true" outlineLevel="0" collapsed="false">
      <c r="B111" s="15" t="n">
        <v>45717</v>
      </c>
      <c r="C111" s="16" t="s">
        <v>211</v>
      </c>
      <c r="D111" s="17" t="s">
        <v>107</v>
      </c>
      <c r="E111" s="16" t="s">
        <v>96</v>
      </c>
      <c r="F111" s="18" t="n">
        <v>9988</v>
      </c>
      <c r="G111" s="19" t="str">
        <f aca="false">IF(N(B111)=0,"",TEXT(B111,"MM/YYYY"))</f>
        <v>03/2025</v>
      </c>
      <c r="H111" s="17" t="s">
        <v>108</v>
      </c>
    </row>
    <row r="112" customFormat="false" ht="15" hidden="false" customHeight="true" outlineLevel="0" collapsed="false">
      <c r="B112" s="15" t="n">
        <v>45717</v>
      </c>
      <c r="C112" s="16" t="s">
        <v>212</v>
      </c>
      <c r="D112" s="17" t="s">
        <v>107</v>
      </c>
      <c r="E112" s="16" t="s">
        <v>77</v>
      </c>
      <c r="F112" s="18" t="n">
        <v>3.3</v>
      </c>
      <c r="G112" s="19" t="str">
        <f aca="false">IF(N(B112)=0,"",TEXT(B112,"MM/YYYY"))</f>
        <v>03/2025</v>
      </c>
      <c r="H112" s="17" t="s">
        <v>108</v>
      </c>
    </row>
    <row r="113" customFormat="false" ht="15" hidden="false" customHeight="true" outlineLevel="0" collapsed="false">
      <c r="B113" s="15" t="n">
        <v>45717</v>
      </c>
      <c r="C113" s="16" t="s">
        <v>213</v>
      </c>
      <c r="D113" s="17" t="s">
        <v>107</v>
      </c>
      <c r="E113" s="16" t="s">
        <v>26</v>
      </c>
      <c r="F113" s="18" t="n">
        <v>36975.72</v>
      </c>
      <c r="G113" s="19" t="str">
        <f aca="false">IF(N(B113)=0,"",TEXT(B113,"MM/YYYY"))</f>
        <v>03/2025</v>
      </c>
      <c r="H113" s="17" t="s">
        <v>108</v>
      </c>
    </row>
    <row r="114" customFormat="false" ht="15" hidden="false" customHeight="true" outlineLevel="0" collapsed="false">
      <c r="B114" s="15" t="n">
        <v>45717</v>
      </c>
      <c r="C114" s="16" t="s">
        <v>214</v>
      </c>
      <c r="D114" s="17" t="s">
        <v>107</v>
      </c>
      <c r="E114" s="16" t="s">
        <v>65</v>
      </c>
      <c r="F114" s="18" t="n">
        <v>120</v>
      </c>
      <c r="G114" s="19" t="str">
        <f aca="false">IF(N(B114)=0,"",TEXT(B114,"MM/YYYY"))</f>
        <v>03/2025</v>
      </c>
      <c r="H114" s="17" t="s">
        <v>108</v>
      </c>
    </row>
    <row r="115" customFormat="false" ht="15" hidden="false" customHeight="true" outlineLevel="0" collapsed="false">
      <c r="B115" s="15" t="n">
        <v>45717</v>
      </c>
      <c r="C115" s="16" t="s">
        <v>215</v>
      </c>
      <c r="D115" s="17" t="s">
        <v>107</v>
      </c>
      <c r="E115" s="16" t="s">
        <v>78</v>
      </c>
      <c r="F115" s="18" t="n">
        <v>520</v>
      </c>
      <c r="G115" s="19" t="str">
        <f aca="false">IF(N(B115)=0,"",TEXT(B115,"MM/YYYY"))</f>
        <v>03/2025</v>
      </c>
      <c r="H115" s="17" t="s">
        <v>108</v>
      </c>
    </row>
    <row r="116" customFormat="false" ht="15" hidden="false" customHeight="true" outlineLevel="0" collapsed="false">
      <c r="B116" s="15" t="n">
        <v>45717</v>
      </c>
      <c r="C116" s="16" t="s">
        <v>216</v>
      </c>
      <c r="D116" s="17" t="s">
        <v>107</v>
      </c>
      <c r="E116" s="16" t="s">
        <v>29</v>
      </c>
      <c r="F116" s="18" t="n">
        <v>4619</v>
      </c>
      <c r="G116" s="19" t="str">
        <f aca="false">IF(N(B116)=0,"",TEXT(B116,"MM/YYYY"))</f>
        <v>03/2025</v>
      </c>
      <c r="H116" s="17" t="s">
        <v>108</v>
      </c>
    </row>
    <row r="117" customFormat="false" ht="15" hidden="false" customHeight="true" outlineLevel="0" collapsed="false">
      <c r="B117" s="15" t="n">
        <v>45717</v>
      </c>
      <c r="C117" s="16" t="s">
        <v>217</v>
      </c>
      <c r="D117" s="17" t="s">
        <v>107</v>
      </c>
      <c r="E117" s="16" t="s">
        <v>49</v>
      </c>
      <c r="F117" s="18" t="n">
        <v>2780</v>
      </c>
      <c r="G117" s="19" t="str">
        <f aca="false">IF(N(B117)=0,"",TEXT(B117,"MM/YYYY"))</f>
        <v>03/2025</v>
      </c>
      <c r="H117" s="17" t="s">
        <v>108</v>
      </c>
    </row>
    <row r="118" customFormat="false" ht="15" hidden="false" customHeight="true" outlineLevel="0" collapsed="false">
      <c r="B118" s="15" t="n">
        <v>45717</v>
      </c>
      <c r="C118" s="16" t="s">
        <v>218</v>
      </c>
      <c r="D118" s="17" t="s">
        <v>107</v>
      </c>
      <c r="E118" s="16" t="s">
        <v>59</v>
      </c>
      <c r="F118" s="18" t="n">
        <v>3650.02</v>
      </c>
      <c r="G118" s="19" t="str">
        <f aca="false">IF(N(B118)=0,"",TEXT(B118,"MM/YYYY"))</f>
        <v>03/2025</v>
      </c>
      <c r="H118" s="17" t="s">
        <v>108</v>
      </c>
    </row>
    <row r="119" customFormat="false" ht="15" hidden="false" customHeight="true" outlineLevel="0" collapsed="false">
      <c r="B119" s="15" t="n">
        <v>45717</v>
      </c>
      <c r="C119" s="16" t="s">
        <v>219</v>
      </c>
      <c r="D119" s="17" t="s">
        <v>107</v>
      </c>
      <c r="E119" s="16" t="s">
        <v>54</v>
      </c>
      <c r="F119" s="18" t="n">
        <v>890</v>
      </c>
      <c r="G119" s="19" t="str">
        <f aca="false">IF(N(B119)=0,"",TEXT(B119,"MM/YYYY"))</f>
        <v>03/2025</v>
      </c>
      <c r="H119" s="17" t="s">
        <v>108</v>
      </c>
    </row>
    <row r="120" customFormat="false" ht="15" hidden="false" customHeight="true" outlineLevel="0" collapsed="false">
      <c r="B120" s="15" t="n">
        <v>45717</v>
      </c>
      <c r="C120" s="16" t="s">
        <v>220</v>
      </c>
      <c r="D120" s="17" t="s">
        <v>107</v>
      </c>
      <c r="E120" s="16" t="s">
        <v>69</v>
      </c>
      <c r="F120" s="18" t="n">
        <v>196.62</v>
      </c>
      <c r="G120" s="19" t="str">
        <f aca="false">IF(N(B120)=0,"",TEXT(B120,"MM/YYYY"))</f>
        <v>03/2025</v>
      </c>
      <c r="H120" s="17" t="s">
        <v>108</v>
      </c>
    </row>
    <row r="121" customFormat="false" ht="15" hidden="false" customHeight="true" outlineLevel="0" collapsed="false">
      <c r="B121" s="15" t="n">
        <v>45748</v>
      </c>
      <c r="C121" s="16" t="s">
        <v>221</v>
      </c>
      <c r="D121" s="17" t="s">
        <v>114</v>
      </c>
      <c r="E121" s="16" t="s">
        <v>22</v>
      </c>
      <c r="F121" s="18" t="n">
        <v>148595.57</v>
      </c>
      <c r="G121" s="19" t="str">
        <f aca="false">IF(N(B121)=0,"",TEXT(B121,"MM/YYYY"))</f>
        <v>04/2025</v>
      </c>
      <c r="H121" s="17" t="s">
        <v>108</v>
      </c>
    </row>
    <row r="122" customFormat="false" ht="15" hidden="false" customHeight="true" outlineLevel="0" collapsed="false">
      <c r="B122" s="15" t="n">
        <v>45748</v>
      </c>
      <c r="C122" s="16" t="s">
        <v>222</v>
      </c>
      <c r="D122" s="17" t="s">
        <v>107</v>
      </c>
      <c r="E122" s="16" t="s">
        <v>31</v>
      </c>
      <c r="F122" s="18" t="n">
        <v>6113.8</v>
      </c>
      <c r="G122" s="19" t="str">
        <f aca="false">IF(N(B122)=0,"",TEXT(B122,"MM/YYYY"))</f>
        <v>04/2025</v>
      </c>
      <c r="H122" s="17" t="s">
        <v>108</v>
      </c>
    </row>
    <row r="123" customFormat="false" ht="15" hidden="false" customHeight="true" outlineLevel="0" collapsed="false">
      <c r="B123" s="15" t="n">
        <v>45748</v>
      </c>
      <c r="C123" s="16" t="s">
        <v>223</v>
      </c>
      <c r="D123" s="17" t="s">
        <v>107</v>
      </c>
      <c r="E123" s="16" t="s">
        <v>71</v>
      </c>
      <c r="F123" s="18" t="n">
        <v>5353.37</v>
      </c>
      <c r="G123" s="19" t="str">
        <f aca="false">IF(N(B123)=0,"",TEXT(B123,"MM/YYYY"))</f>
        <v>04/2025</v>
      </c>
      <c r="H123" s="17" t="s">
        <v>108</v>
      </c>
    </row>
    <row r="124" customFormat="false" ht="15" hidden="false" customHeight="true" outlineLevel="0" collapsed="false">
      <c r="B124" s="15" t="n">
        <v>45748</v>
      </c>
      <c r="C124" s="16" t="s">
        <v>224</v>
      </c>
      <c r="D124" s="17" t="s">
        <v>107</v>
      </c>
      <c r="E124" s="16" t="s">
        <v>84</v>
      </c>
      <c r="F124" s="18" t="n">
        <v>1100</v>
      </c>
      <c r="G124" s="19" t="str">
        <f aca="false">IF(N(B124)=0,"",TEXT(B124,"MM/YYYY"))</f>
        <v>04/2025</v>
      </c>
      <c r="H124" s="17" t="s">
        <v>108</v>
      </c>
    </row>
    <row r="125" customFormat="false" ht="15" hidden="false" customHeight="true" outlineLevel="0" collapsed="false">
      <c r="B125" s="15" t="n">
        <v>45748</v>
      </c>
      <c r="C125" s="16" t="s">
        <v>225</v>
      </c>
      <c r="D125" s="17" t="s">
        <v>107</v>
      </c>
      <c r="E125" s="16" t="s">
        <v>45</v>
      </c>
      <c r="F125" s="18" t="n">
        <v>130.94</v>
      </c>
      <c r="G125" s="19" t="str">
        <f aca="false">IF(N(B125)=0,"",TEXT(B125,"MM/YYYY"))</f>
        <v>04/2025</v>
      </c>
      <c r="H125" s="17" t="s">
        <v>108</v>
      </c>
    </row>
    <row r="126" customFormat="false" ht="15" hidden="false" customHeight="true" outlineLevel="0" collapsed="false">
      <c r="B126" s="15" t="n">
        <v>45748</v>
      </c>
      <c r="C126" s="16" t="s">
        <v>226</v>
      </c>
      <c r="D126" s="17" t="s">
        <v>107</v>
      </c>
      <c r="E126" s="16" t="s">
        <v>52</v>
      </c>
      <c r="F126" s="18" t="n">
        <v>5514.62</v>
      </c>
      <c r="G126" s="19" t="str">
        <f aca="false">IF(N(B126)=0,"",TEXT(B126,"MM/YYYY"))</f>
        <v>04/2025</v>
      </c>
      <c r="H126" s="17" t="s">
        <v>108</v>
      </c>
    </row>
    <row r="127" customFormat="false" ht="15" hidden="false" customHeight="true" outlineLevel="0" collapsed="false">
      <c r="B127" s="15" t="n">
        <v>45748</v>
      </c>
      <c r="C127" s="16" t="s">
        <v>227</v>
      </c>
      <c r="D127" s="17" t="s">
        <v>107</v>
      </c>
      <c r="E127" s="16" t="s">
        <v>34</v>
      </c>
      <c r="F127" s="18" t="n">
        <v>4113.66</v>
      </c>
      <c r="G127" s="19" t="str">
        <f aca="false">IF(N(B127)=0,"",TEXT(B127,"MM/YYYY"))</f>
        <v>04/2025</v>
      </c>
      <c r="H127" s="17" t="s">
        <v>108</v>
      </c>
    </row>
    <row r="128" customFormat="false" ht="15" hidden="false" customHeight="true" outlineLevel="0" collapsed="false">
      <c r="B128" s="15" t="n">
        <v>45748</v>
      </c>
      <c r="C128" s="16" t="s">
        <v>228</v>
      </c>
      <c r="D128" s="17" t="s">
        <v>107</v>
      </c>
      <c r="E128" s="16" t="s">
        <v>38</v>
      </c>
      <c r="F128" s="18" t="n">
        <v>2990</v>
      </c>
      <c r="G128" s="19" t="str">
        <f aca="false">IF(N(B128)=0,"",TEXT(B128,"MM/YYYY"))</f>
        <v>04/2025</v>
      </c>
      <c r="H128" s="17" t="s">
        <v>108</v>
      </c>
    </row>
    <row r="129" customFormat="false" ht="15" hidden="false" customHeight="true" outlineLevel="0" collapsed="false">
      <c r="B129" s="15" t="n">
        <v>45748</v>
      </c>
      <c r="C129" s="16" t="s">
        <v>229</v>
      </c>
      <c r="D129" s="17" t="s">
        <v>107</v>
      </c>
      <c r="E129" s="16" t="s">
        <v>43</v>
      </c>
      <c r="F129" s="18" t="n">
        <v>1040.05</v>
      </c>
      <c r="G129" s="19" t="str">
        <f aca="false">IF(N(B129)=0,"",TEXT(B129,"MM/YYYY"))</f>
        <v>04/2025</v>
      </c>
      <c r="H129" s="17" t="s">
        <v>108</v>
      </c>
    </row>
    <row r="130" customFormat="false" ht="15" hidden="false" customHeight="true" outlineLevel="0" collapsed="false">
      <c r="B130" s="15"/>
      <c r="C130" s="16"/>
      <c r="D130" s="17"/>
      <c r="E130" s="16"/>
      <c r="F130" s="18"/>
      <c r="G130" s="19"/>
      <c r="H130" s="17"/>
    </row>
    <row r="131" customFormat="false" ht="15" hidden="false" customHeight="true" outlineLevel="0" collapsed="false">
      <c r="B131" s="15" t="n">
        <v>45748</v>
      </c>
      <c r="C131" s="16" t="s">
        <v>230</v>
      </c>
      <c r="D131" s="17" t="s">
        <v>107</v>
      </c>
      <c r="E131" s="16" t="s">
        <v>66</v>
      </c>
      <c r="F131" s="18" t="n">
        <v>1742</v>
      </c>
      <c r="G131" s="19" t="str">
        <f aca="false">IF(N(B131)=0,"",TEXT(B131,"MM/YYYY"))</f>
        <v>04/2025</v>
      </c>
      <c r="H131" s="17" t="s">
        <v>108</v>
      </c>
    </row>
    <row r="132" customFormat="false" ht="15" hidden="false" customHeight="true" outlineLevel="0" collapsed="false">
      <c r="B132" s="15" t="n">
        <v>45748</v>
      </c>
      <c r="C132" s="16" t="s">
        <v>231</v>
      </c>
      <c r="D132" s="17" t="s">
        <v>107</v>
      </c>
      <c r="E132" s="16" t="s">
        <v>60</v>
      </c>
      <c r="F132" s="18" t="n">
        <v>298.48</v>
      </c>
      <c r="G132" s="19" t="str">
        <f aca="false">IF(N(B132)=0,"",TEXT(B132,"MM/YYYY"))</f>
        <v>04/2025</v>
      </c>
      <c r="H132" s="17" t="s">
        <v>108</v>
      </c>
    </row>
    <row r="133" customFormat="false" ht="15" hidden="false" customHeight="true" outlineLevel="0" collapsed="false">
      <c r="B133" s="15" t="n">
        <v>45748</v>
      </c>
      <c r="C133" s="16" t="s">
        <v>232</v>
      </c>
      <c r="D133" s="17" t="s">
        <v>107</v>
      </c>
      <c r="E133" s="16" t="s">
        <v>33</v>
      </c>
      <c r="F133" s="18" t="n">
        <v>5355</v>
      </c>
      <c r="G133" s="19" t="str">
        <f aca="false">IF(N(B133)=0,"",TEXT(B133,"MM/YYYY"))</f>
        <v>04/2025</v>
      </c>
      <c r="H133" s="17" t="s">
        <v>108</v>
      </c>
    </row>
    <row r="134" customFormat="false" ht="15" hidden="false" customHeight="true" outlineLevel="0" collapsed="false">
      <c r="B134" s="15" t="n">
        <v>45748</v>
      </c>
      <c r="C134" s="16" t="s">
        <v>233</v>
      </c>
      <c r="D134" s="17" t="s">
        <v>107</v>
      </c>
      <c r="E134" s="16" t="s">
        <v>42</v>
      </c>
      <c r="F134" s="18" t="n">
        <v>2170.05</v>
      </c>
      <c r="G134" s="19" t="str">
        <f aca="false">IF(N(B134)=0,"",TEXT(B134,"MM/YYYY"))</f>
        <v>04/2025</v>
      </c>
      <c r="H134" s="17" t="s">
        <v>108</v>
      </c>
    </row>
    <row r="135" customFormat="false" ht="15" hidden="false" customHeight="true" outlineLevel="0" collapsed="false">
      <c r="B135" s="15" t="n">
        <v>45748</v>
      </c>
      <c r="C135" s="16" t="s">
        <v>234</v>
      </c>
      <c r="D135" s="17" t="s">
        <v>107</v>
      </c>
      <c r="E135" s="16" t="s">
        <v>58</v>
      </c>
      <c r="F135" s="18" t="n">
        <v>143687.25</v>
      </c>
      <c r="G135" s="19" t="str">
        <f aca="false">IF(N(B135)=0,"",TEXT(B135,"MM/YYYY"))</f>
        <v>04/2025</v>
      </c>
      <c r="H135" s="17" t="s">
        <v>108</v>
      </c>
    </row>
    <row r="136" customFormat="false" ht="15" hidden="false" customHeight="true" outlineLevel="0" collapsed="false">
      <c r="B136" s="15" t="n">
        <v>45748</v>
      </c>
      <c r="C136" s="16" t="s">
        <v>235</v>
      </c>
      <c r="D136" s="17" t="s">
        <v>107</v>
      </c>
      <c r="E136" s="16" t="s">
        <v>68</v>
      </c>
      <c r="F136" s="18" t="n">
        <v>290.1</v>
      </c>
      <c r="G136" s="19" t="str">
        <f aca="false">IF(N(B136)=0,"",TEXT(B136,"MM/YYYY"))</f>
        <v>04/2025</v>
      </c>
      <c r="H136" s="17" t="s">
        <v>108</v>
      </c>
    </row>
    <row r="137" customFormat="false" ht="15" hidden="false" customHeight="true" outlineLevel="0" collapsed="false">
      <c r="B137" s="15" t="n">
        <v>45748</v>
      </c>
      <c r="C137" s="16" t="s">
        <v>236</v>
      </c>
      <c r="D137" s="17" t="s">
        <v>107</v>
      </c>
      <c r="E137" s="16" t="s">
        <v>35</v>
      </c>
      <c r="F137" s="18" t="n">
        <v>3121.57</v>
      </c>
      <c r="G137" s="19" t="str">
        <f aca="false">IF(N(B137)=0,"",TEXT(B137,"MM/YYYY"))</f>
        <v>04/2025</v>
      </c>
      <c r="H137" s="17" t="s">
        <v>108</v>
      </c>
    </row>
    <row r="138" customFormat="false" ht="15" hidden="false" customHeight="true" outlineLevel="0" collapsed="false">
      <c r="B138" s="15" t="n">
        <v>45748</v>
      </c>
      <c r="C138" s="16" t="s">
        <v>237</v>
      </c>
      <c r="D138" s="17" t="s">
        <v>107</v>
      </c>
      <c r="E138" s="16" t="s">
        <v>48</v>
      </c>
      <c r="F138" s="18" t="n">
        <v>35</v>
      </c>
      <c r="G138" s="19" t="str">
        <f aca="false">IF(N(B138)=0,"",TEXT(B138,"MM/YYYY"))</f>
        <v>04/2025</v>
      </c>
      <c r="H138" s="17" t="s">
        <v>108</v>
      </c>
    </row>
    <row r="139" customFormat="false" ht="15" hidden="false" customHeight="true" outlineLevel="0" collapsed="false">
      <c r="B139" s="15" t="n">
        <v>45748</v>
      </c>
      <c r="C139" s="16" t="s">
        <v>238</v>
      </c>
      <c r="D139" s="17" t="s">
        <v>107</v>
      </c>
      <c r="E139" s="16" t="s">
        <v>30</v>
      </c>
      <c r="F139" s="18" t="n">
        <v>54454.5</v>
      </c>
      <c r="G139" s="19" t="str">
        <f aca="false">IF(N(B139)=0,"",TEXT(B139,"MM/YYYY"))</f>
        <v>04/2025</v>
      </c>
      <c r="H139" s="17" t="s">
        <v>108</v>
      </c>
    </row>
    <row r="140" customFormat="false" ht="15" hidden="false" customHeight="true" outlineLevel="0" collapsed="false">
      <c r="B140" s="15" t="n">
        <v>45748</v>
      </c>
      <c r="C140" s="16" t="s">
        <v>239</v>
      </c>
      <c r="D140" s="17" t="s">
        <v>107</v>
      </c>
      <c r="E140" s="16" t="s">
        <v>61</v>
      </c>
      <c r="F140" s="18" t="n">
        <v>4631.51</v>
      </c>
      <c r="G140" s="19" t="str">
        <f aca="false">IF(N(B140)=0,"",TEXT(B140,"MM/YYYY"))</f>
        <v>04/2025</v>
      </c>
      <c r="H140" s="17" t="s">
        <v>108</v>
      </c>
    </row>
    <row r="141" customFormat="false" ht="15" hidden="false" customHeight="true" outlineLevel="0" collapsed="false">
      <c r="B141" s="15" t="n">
        <v>45748</v>
      </c>
      <c r="C141" s="16" t="s">
        <v>240</v>
      </c>
      <c r="D141" s="17" t="s">
        <v>107</v>
      </c>
      <c r="E141" s="16" t="s">
        <v>28</v>
      </c>
      <c r="F141" s="18" t="n">
        <v>25235</v>
      </c>
      <c r="G141" s="19" t="str">
        <f aca="false">IF(N(B141)=0,"",TEXT(B141,"MM/YYYY"))</f>
        <v>04/2025</v>
      </c>
      <c r="H141" s="17" t="s">
        <v>108</v>
      </c>
    </row>
    <row r="142" customFormat="false" ht="15" hidden="false" customHeight="true" outlineLevel="0" collapsed="false">
      <c r="B142" s="15" t="n">
        <v>45748</v>
      </c>
      <c r="C142" s="16" t="s">
        <v>241</v>
      </c>
      <c r="D142" s="17" t="s">
        <v>107</v>
      </c>
      <c r="E142" s="16" t="s">
        <v>92</v>
      </c>
      <c r="F142" s="18" t="n">
        <v>150</v>
      </c>
      <c r="G142" s="19" t="str">
        <f aca="false">IF(N(B142)=0,"",TEXT(B142,"MM/YYYY"))</f>
        <v>04/2025</v>
      </c>
      <c r="H142" s="17" t="s">
        <v>108</v>
      </c>
    </row>
    <row r="143" customFormat="false" ht="15" hidden="false" customHeight="true" outlineLevel="0" collapsed="false">
      <c r="B143" s="15" t="n">
        <v>45748</v>
      </c>
      <c r="C143" s="16" t="s">
        <v>242</v>
      </c>
      <c r="D143" s="17" t="s">
        <v>107</v>
      </c>
      <c r="E143" s="16" t="s">
        <v>44</v>
      </c>
      <c r="F143" s="18" t="n">
        <v>110</v>
      </c>
      <c r="G143" s="19" t="str">
        <f aca="false">IF(N(B143)=0,"",TEXT(B143,"MM/YYYY"))</f>
        <v>04/2025</v>
      </c>
      <c r="H143" s="17" t="s">
        <v>108</v>
      </c>
    </row>
    <row r="144" customFormat="false" ht="15" hidden="false" customHeight="true" outlineLevel="0" collapsed="false">
      <c r="B144" s="15" t="n">
        <v>45748</v>
      </c>
      <c r="C144" s="16" t="s">
        <v>243</v>
      </c>
      <c r="D144" s="17" t="s">
        <v>107</v>
      </c>
      <c r="E144" s="16" t="s">
        <v>46</v>
      </c>
      <c r="F144" s="18" t="n">
        <v>305</v>
      </c>
      <c r="G144" s="19" t="str">
        <f aca="false">IF(N(B144)=0,"",TEXT(B144,"MM/YYYY"))</f>
        <v>04/2025</v>
      </c>
      <c r="H144" s="17" t="s">
        <v>108</v>
      </c>
    </row>
    <row r="145" customFormat="false" ht="15" hidden="false" customHeight="true" outlineLevel="0" collapsed="false">
      <c r="B145" s="15" t="n">
        <v>45748</v>
      </c>
      <c r="C145" s="16" t="s">
        <v>244</v>
      </c>
      <c r="D145" s="17" t="s">
        <v>107</v>
      </c>
      <c r="E145" s="16" t="s">
        <v>74</v>
      </c>
      <c r="F145" s="18" t="n">
        <v>786.86</v>
      </c>
      <c r="G145" s="19" t="str">
        <f aca="false">IF(N(B145)=0,"",TEXT(B145,"MM/YYYY"))</f>
        <v>04/2025</v>
      </c>
      <c r="H145" s="17" t="s">
        <v>108</v>
      </c>
    </row>
    <row r="146" customFormat="false" ht="15" hidden="false" customHeight="true" outlineLevel="0" collapsed="false">
      <c r="B146" s="15" t="n">
        <v>45748</v>
      </c>
      <c r="C146" s="16" t="s">
        <v>245</v>
      </c>
      <c r="D146" s="17" t="s">
        <v>107</v>
      </c>
      <c r="E146" s="16" t="s">
        <v>67</v>
      </c>
      <c r="F146" s="18" t="n">
        <v>48.93</v>
      </c>
      <c r="G146" s="19" t="str">
        <f aca="false">IF(N(B146)=0,"",TEXT(B146,"MM/YYYY"))</f>
        <v>04/2025</v>
      </c>
      <c r="H146" s="17" t="s">
        <v>108</v>
      </c>
    </row>
    <row r="147" customFormat="false" ht="15" hidden="false" customHeight="true" outlineLevel="0" collapsed="false">
      <c r="B147" s="15" t="n">
        <v>45748</v>
      </c>
      <c r="C147" s="16" t="s">
        <v>246</v>
      </c>
      <c r="D147" s="17" t="s">
        <v>107</v>
      </c>
      <c r="E147" s="16" t="s">
        <v>50</v>
      </c>
      <c r="F147" s="18" t="n">
        <v>3907.98</v>
      </c>
      <c r="G147" s="19" t="str">
        <f aca="false">IF(N(B147)=0,"",TEXT(B147,"MM/YYYY"))</f>
        <v>04/2025</v>
      </c>
      <c r="H147" s="17" t="s">
        <v>108</v>
      </c>
    </row>
    <row r="148" customFormat="false" ht="15" hidden="false" customHeight="true" outlineLevel="0" collapsed="false">
      <c r="B148" s="15" t="n">
        <v>45748</v>
      </c>
      <c r="C148" s="16" t="s">
        <v>247</v>
      </c>
      <c r="D148" s="17" t="s">
        <v>107</v>
      </c>
      <c r="E148" s="16" t="s">
        <v>86</v>
      </c>
      <c r="F148" s="18" t="n">
        <v>50000</v>
      </c>
      <c r="G148" s="19" t="str">
        <f aca="false">IF(N(B148)=0,"",TEXT(B148,"MM/YYYY"))</f>
        <v>04/2025</v>
      </c>
      <c r="H148" s="17" t="s">
        <v>108</v>
      </c>
    </row>
    <row r="149" customFormat="false" ht="15" hidden="false" customHeight="true" outlineLevel="0" collapsed="false">
      <c r="B149" s="15" t="n">
        <v>45748</v>
      </c>
      <c r="C149" s="16" t="s">
        <v>248</v>
      </c>
      <c r="D149" s="17" t="s">
        <v>107</v>
      </c>
      <c r="E149" s="16" t="s">
        <v>51</v>
      </c>
      <c r="F149" s="18" t="n">
        <v>27082.92</v>
      </c>
      <c r="G149" s="19" t="str">
        <f aca="false">IF(N(B149)=0,"",TEXT(B149,"MM/YYYY"))</f>
        <v>04/2025</v>
      </c>
      <c r="H149" s="17" t="s">
        <v>108</v>
      </c>
    </row>
    <row r="150" customFormat="false" ht="15" hidden="false" customHeight="true" outlineLevel="0" collapsed="false">
      <c r="B150" s="15" t="n">
        <v>45748</v>
      </c>
      <c r="C150" s="16" t="s">
        <v>249</v>
      </c>
      <c r="D150" s="17" t="s">
        <v>107</v>
      </c>
      <c r="E150" s="16" t="s">
        <v>62</v>
      </c>
      <c r="F150" s="18" t="n">
        <v>140</v>
      </c>
      <c r="G150" s="19" t="str">
        <f aca="false">IF(N(B150)=0,"",TEXT(B150,"MM/YYYY"))</f>
        <v>04/2025</v>
      </c>
      <c r="H150" s="17" t="s">
        <v>108</v>
      </c>
    </row>
    <row r="151" customFormat="false" ht="15" hidden="false" customHeight="true" outlineLevel="0" collapsed="false">
      <c r="B151" s="15" t="n">
        <v>45748</v>
      </c>
      <c r="C151" s="16" t="s">
        <v>250</v>
      </c>
      <c r="D151" s="17" t="s">
        <v>107</v>
      </c>
      <c r="E151" s="16" t="s">
        <v>64</v>
      </c>
      <c r="F151" s="18" t="n">
        <v>269.82</v>
      </c>
      <c r="G151" s="19" t="str">
        <f aca="false">IF(N(B151)=0,"",TEXT(B151,"MM/YYYY"))</f>
        <v>04/2025</v>
      </c>
      <c r="H151" s="17" t="s">
        <v>108</v>
      </c>
    </row>
    <row r="152" customFormat="false" ht="15" hidden="false" customHeight="true" outlineLevel="0" collapsed="false">
      <c r="B152" s="15"/>
      <c r="C152" s="16"/>
      <c r="D152" s="17"/>
      <c r="E152" s="16"/>
      <c r="F152" s="18"/>
      <c r="G152" s="19"/>
      <c r="H152" s="17"/>
    </row>
    <row r="153" customFormat="false" ht="15" hidden="false" customHeight="true" outlineLevel="0" collapsed="false">
      <c r="B153" s="15" t="n">
        <v>45748</v>
      </c>
      <c r="C153" s="16" t="s">
        <v>251</v>
      </c>
      <c r="D153" s="17" t="s">
        <v>107</v>
      </c>
      <c r="E153" s="16" t="s">
        <v>96</v>
      </c>
      <c r="F153" s="18" t="n">
        <v>78133.46</v>
      </c>
      <c r="G153" s="19" t="str">
        <f aca="false">IF(N(B153)=0,"",TEXT(B153,"MM/YYYY"))</f>
        <v>04/2025</v>
      </c>
      <c r="H153" s="17" t="s">
        <v>108</v>
      </c>
    </row>
    <row r="154" customFormat="false" ht="15" hidden="false" customHeight="true" outlineLevel="0" collapsed="false">
      <c r="B154" s="15" t="n">
        <v>45748</v>
      </c>
      <c r="C154" s="16" t="s">
        <v>252</v>
      </c>
      <c r="D154" s="17" t="s">
        <v>107</v>
      </c>
      <c r="E154" s="16" t="s">
        <v>77</v>
      </c>
      <c r="F154" s="18" t="n">
        <v>646.87</v>
      </c>
      <c r="G154" s="19" t="str">
        <f aca="false">IF(N(B154)=0,"",TEXT(B154,"MM/YYYY"))</f>
        <v>04/2025</v>
      </c>
      <c r="H154" s="17" t="s">
        <v>108</v>
      </c>
    </row>
    <row r="155" customFormat="false" ht="15" hidden="false" customHeight="true" outlineLevel="0" collapsed="false">
      <c r="B155" s="15" t="n">
        <v>45748</v>
      </c>
      <c r="C155" s="16" t="s">
        <v>253</v>
      </c>
      <c r="D155" s="17" t="s">
        <v>107</v>
      </c>
      <c r="E155" s="16" t="s">
        <v>26</v>
      </c>
      <c r="F155" s="18" t="n">
        <v>57821.44</v>
      </c>
      <c r="G155" s="19" t="str">
        <f aca="false">IF(N(B155)=0,"",TEXT(B155,"MM/YYYY"))</f>
        <v>04/2025</v>
      </c>
      <c r="H155" s="17" t="s">
        <v>108</v>
      </c>
    </row>
    <row r="156" customFormat="false" ht="15" hidden="false" customHeight="true" outlineLevel="0" collapsed="false">
      <c r="B156" s="15" t="n">
        <v>45748</v>
      </c>
      <c r="C156" s="16" t="s">
        <v>254</v>
      </c>
      <c r="D156" s="17" t="s">
        <v>107</v>
      </c>
      <c r="E156" s="16" t="s">
        <v>65</v>
      </c>
      <c r="F156" s="18" t="n">
        <v>143.22</v>
      </c>
      <c r="G156" s="19" t="str">
        <f aca="false">IF(N(B156)=0,"",TEXT(B156,"MM/YYYY"))</f>
        <v>04/2025</v>
      </c>
      <c r="H156" s="17" t="s">
        <v>108</v>
      </c>
    </row>
    <row r="157" customFormat="false" ht="15" hidden="false" customHeight="true" outlineLevel="0" collapsed="false">
      <c r="B157" s="15" t="n">
        <v>45748</v>
      </c>
      <c r="C157" s="16" t="s">
        <v>255</v>
      </c>
      <c r="D157" s="17" t="s">
        <v>107</v>
      </c>
      <c r="E157" s="16" t="s">
        <v>78</v>
      </c>
      <c r="F157" s="18" t="n">
        <v>630</v>
      </c>
      <c r="G157" s="19" t="str">
        <f aca="false">IF(N(B157)=0,"",TEXT(B157,"MM/YYYY"))</f>
        <v>04/2025</v>
      </c>
      <c r="H157" s="17" t="s">
        <v>108</v>
      </c>
    </row>
    <row r="158" customFormat="false" ht="15" hidden="false" customHeight="true" outlineLevel="0" collapsed="false">
      <c r="B158" s="15" t="n">
        <v>45748</v>
      </c>
      <c r="C158" s="16" t="s">
        <v>256</v>
      </c>
      <c r="D158" s="17" t="s">
        <v>107</v>
      </c>
      <c r="E158" s="16" t="s">
        <v>29</v>
      </c>
      <c r="F158" s="18" t="n">
        <v>2571</v>
      </c>
      <c r="G158" s="19" t="str">
        <f aca="false">IF(N(B158)=0,"",TEXT(B158,"MM/YYYY"))</f>
        <v>04/2025</v>
      </c>
      <c r="H158" s="17" t="s">
        <v>108</v>
      </c>
    </row>
    <row r="159" customFormat="false" ht="15" hidden="false" customHeight="true" outlineLevel="0" collapsed="false">
      <c r="B159" s="15" t="n">
        <v>45748</v>
      </c>
      <c r="C159" s="16" t="s">
        <v>257</v>
      </c>
      <c r="D159" s="17" t="s">
        <v>107</v>
      </c>
      <c r="E159" s="16" t="s">
        <v>91</v>
      </c>
      <c r="F159" s="18" t="n">
        <v>2448</v>
      </c>
      <c r="G159" s="19" t="str">
        <f aca="false">IF(N(B159)=0,"",TEXT(B159,"MM/YYYY"))</f>
        <v>04/2025</v>
      </c>
      <c r="H159" s="17" t="s">
        <v>108</v>
      </c>
    </row>
    <row r="160" customFormat="false" ht="15" hidden="false" customHeight="true" outlineLevel="0" collapsed="false">
      <c r="B160" s="15" t="n">
        <v>45748</v>
      </c>
      <c r="C160" s="16" t="s">
        <v>258</v>
      </c>
      <c r="D160" s="17" t="s">
        <v>107</v>
      </c>
      <c r="E160" s="16" t="s">
        <v>49</v>
      </c>
      <c r="F160" s="18" t="n">
        <v>2460</v>
      </c>
      <c r="G160" s="19" t="str">
        <f aca="false">IF(N(B160)=0,"",TEXT(B160,"MM/YYYY"))</f>
        <v>04/2025</v>
      </c>
      <c r="H160" s="17" t="s">
        <v>108</v>
      </c>
    </row>
    <row r="161" customFormat="false" ht="15" hidden="false" customHeight="true" outlineLevel="0" collapsed="false">
      <c r="B161" s="15" t="n">
        <v>45748</v>
      </c>
      <c r="C161" s="16" t="s">
        <v>259</v>
      </c>
      <c r="D161" s="17" t="s">
        <v>107</v>
      </c>
      <c r="E161" s="16" t="s">
        <v>59</v>
      </c>
      <c r="F161" s="18" t="n">
        <v>3150</v>
      </c>
      <c r="G161" s="19" t="str">
        <f aca="false">IF(N(B161)=0,"",TEXT(B161,"MM/YYYY"))</f>
        <v>04/2025</v>
      </c>
      <c r="H161" s="17" t="s">
        <v>108</v>
      </c>
    </row>
    <row r="162" customFormat="false" ht="15" hidden="false" customHeight="true" outlineLevel="0" collapsed="false">
      <c r="B162" s="15" t="n">
        <v>45748</v>
      </c>
      <c r="C162" s="16" t="s">
        <v>260</v>
      </c>
      <c r="D162" s="17" t="s">
        <v>107</v>
      </c>
      <c r="E162" s="16" t="s">
        <v>79</v>
      </c>
      <c r="F162" s="18" t="n">
        <v>1360</v>
      </c>
      <c r="G162" s="19" t="str">
        <f aca="false">IF(N(B162)=0,"",TEXT(B162,"MM/YYYY"))</f>
        <v>04/2025</v>
      </c>
      <c r="H162" s="17" t="s">
        <v>108</v>
      </c>
    </row>
    <row r="163" customFormat="false" ht="15" hidden="false" customHeight="true" outlineLevel="0" collapsed="false">
      <c r="B163" s="15" t="n">
        <v>45748</v>
      </c>
      <c r="C163" s="16" t="s">
        <v>261</v>
      </c>
      <c r="D163" s="17" t="s">
        <v>107</v>
      </c>
      <c r="E163" s="16" t="s">
        <v>54</v>
      </c>
      <c r="F163" s="18" t="n">
        <v>890</v>
      </c>
      <c r="G163" s="19" t="str">
        <f aca="false">IF(N(B163)=0,"",TEXT(B163,"MM/YYYY"))</f>
        <v>04/2025</v>
      </c>
      <c r="H163" s="17" t="s">
        <v>108</v>
      </c>
    </row>
    <row r="164" customFormat="false" ht="15" hidden="false" customHeight="true" outlineLevel="0" collapsed="false">
      <c r="B164" s="15" t="n">
        <v>45748</v>
      </c>
      <c r="C164" s="16" t="s">
        <v>262</v>
      </c>
      <c r="D164" s="17" t="s">
        <v>107</v>
      </c>
      <c r="E164" s="16" t="s">
        <v>69</v>
      </c>
      <c r="F164" s="18" t="n">
        <v>332.28</v>
      </c>
      <c r="G164" s="19" t="str">
        <f aca="false">IF(N(B164)=0,"",TEXT(B164,"MM/YYYY"))</f>
        <v>04/2025</v>
      </c>
      <c r="H164" s="17" t="s">
        <v>108</v>
      </c>
    </row>
    <row r="165" customFormat="false" ht="15" hidden="false" customHeight="true" outlineLevel="0" collapsed="false">
      <c r="B165" s="15" t="n">
        <v>45778</v>
      </c>
      <c r="C165" s="16" t="s">
        <v>263</v>
      </c>
      <c r="D165" s="17" t="s">
        <v>114</v>
      </c>
      <c r="E165" s="16" t="s">
        <v>22</v>
      </c>
      <c r="F165" s="18" t="n">
        <v>403279.55</v>
      </c>
      <c r="G165" s="19" t="str">
        <f aca="false">IF(N(B165)=0,"",TEXT(B165,"MM/YYYY"))</f>
        <v>05/2025</v>
      </c>
      <c r="H165" s="17" t="s">
        <v>108</v>
      </c>
    </row>
    <row r="166" customFormat="false" ht="15" hidden="false" customHeight="true" outlineLevel="0" collapsed="false">
      <c r="B166" s="15" t="n">
        <v>45778</v>
      </c>
      <c r="C166" s="16" t="s">
        <v>264</v>
      </c>
      <c r="D166" s="17" t="s">
        <v>107</v>
      </c>
      <c r="E166" s="16" t="s">
        <v>31</v>
      </c>
      <c r="F166" s="18" t="n">
        <v>13440.9</v>
      </c>
      <c r="G166" s="19" t="str">
        <f aca="false">IF(N(B166)=0,"",TEXT(B166,"MM/YYYY"))</f>
        <v>05/2025</v>
      </c>
      <c r="H166" s="17" t="s">
        <v>108</v>
      </c>
    </row>
    <row r="167" customFormat="false" ht="15" hidden="false" customHeight="true" outlineLevel="0" collapsed="false">
      <c r="B167" s="15" t="n">
        <v>45778</v>
      </c>
      <c r="C167" s="16" t="s">
        <v>265</v>
      </c>
      <c r="D167" s="17" t="s">
        <v>107</v>
      </c>
      <c r="E167" s="16" t="s">
        <v>71</v>
      </c>
      <c r="F167" s="18" t="n">
        <v>1360</v>
      </c>
      <c r="G167" s="19" t="str">
        <f aca="false">IF(N(B167)=0,"",TEXT(B167,"MM/YYYY"))</f>
        <v>05/2025</v>
      </c>
      <c r="H167" s="17" t="s">
        <v>108</v>
      </c>
    </row>
    <row r="168" customFormat="false" ht="15" hidden="false" customHeight="true" outlineLevel="0" collapsed="false">
      <c r="B168" s="15" t="n">
        <v>45778</v>
      </c>
      <c r="C168" s="16" t="s">
        <v>266</v>
      </c>
      <c r="D168" s="17" t="s">
        <v>107</v>
      </c>
      <c r="E168" s="16" t="s">
        <v>84</v>
      </c>
      <c r="F168" s="18" t="n">
        <v>1100</v>
      </c>
      <c r="G168" s="19" t="str">
        <f aca="false">IF(N(B168)=0,"",TEXT(B168,"MM/YYYY"))</f>
        <v>05/2025</v>
      </c>
      <c r="H168" s="17" t="s">
        <v>108</v>
      </c>
    </row>
    <row r="169" customFormat="false" ht="15" hidden="false" customHeight="true" outlineLevel="0" collapsed="false">
      <c r="B169" s="15" t="n">
        <v>45778</v>
      </c>
      <c r="C169" s="16" t="s">
        <v>267</v>
      </c>
      <c r="D169" s="17" t="s">
        <v>107</v>
      </c>
      <c r="E169" s="16" t="s">
        <v>45</v>
      </c>
      <c r="F169" s="18" t="n">
        <v>163.13</v>
      </c>
      <c r="G169" s="19" t="str">
        <f aca="false">IF(N(B169)=0,"",TEXT(B169,"MM/YYYY"))</f>
        <v>05/2025</v>
      </c>
      <c r="H169" s="17" t="s">
        <v>108</v>
      </c>
    </row>
    <row r="170" customFormat="false" ht="15" hidden="false" customHeight="true" outlineLevel="0" collapsed="false">
      <c r="B170" s="15" t="n">
        <v>45778</v>
      </c>
      <c r="C170" s="16" t="s">
        <v>268</v>
      </c>
      <c r="D170" s="17" t="s">
        <v>107</v>
      </c>
      <c r="E170" s="16" t="s">
        <v>52</v>
      </c>
      <c r="F170" s="18" t="n">
        <v>5667.46</v>
      </c>
      <c r="G170" s="19" t="str">
        <f aca="false">IF(N(B170)=0,"",TEXT(B170,"MM/YYYY"))</f>
        <v>05/2025</v>
      </c>
      <c r="H170" s="17" t="s">
        <v>108</v>
      </c>
    </row>
    <row r="171" customFormat="false" ht="15" hidden="false" customHeight="true" outlineLevel="0" collapsed="false">
      <c r="B171" s="15" t="n">
        <v>45778</v>
      </c>
      <c r="C171" s="16" t="s">
        <v>269</v>
      </c>
      <c r="D171" s="17" t="s">
        <v>107</v>
      </c>
      <c r="E171" s="16" t="s">
        <v>34</v>
      </c>
      <c r="F171" s="18" t="n">
        <v>2896.39</v>
      </c>
      <c r="G171" s="19" t="str">
        <f aca="false">IF(N(B171)=0,"",TEXT(B171,"MM/YYYY"))</f>
        <v>05/2025</v>
      </c>
      <c r="H171" s="17" t="s">
        <v>108</v>
      </c>
    </row>
    <row r="172" customFormat="false" ht="15" hidden="false" customHeight="true" outlineLevel="0" collapsed="false">
      <c r="B172" s="15" t="n">
        <v>45778</v>
      </c>
      <c r="C172" s="16" t="s">
        <v>270</v>
      </c>
      <c r="D172" s="17" t="s">
        <v>107</v>
      </c>
      <c r="E172" s="16" t="s">
        <v>38</v>
      </c>
      <c r="F172" s="18" t="n">
        <v>5469.4</v>
      </c>
      <c r="G172" s="19" t="str">
        <f aca="false">IF(N(B172)=0,"",TEXT(B172,"MM/YYYY"))</f>
        <v>05/2025</v>
      </c>
      <c r="H172" s="17" t="s">
        <v>108</v>
      </c>
    </row>
    <row r="173" customFormat="false" ht="15" hidden="false" customHeight="true" outlineLevel="0" collapsed="false">
      <c r="B173" s="15" t="n">
        <v>45778</v>
      </c>
      <c r="C173" s="16" t="s">
        <v>271</v>
      </c>
      <c r="D173" s="17" t="s">
        <v>107</v>
      </c>
      <c r="E173" s="16" t="s">
        <v>43</v>
      </c>
      <c r="F173" s="18" t="n">
        <v>1396.51</v>
      </c>
      <c r="G173" s="19" t="str">
        <f aca="false">IF(N(B173)=0,"",TEXT(B173,"MM/YYYY"))</f>
        <v>05/2025</v>
      </c>
      <c r="H173" s="17" t="s">
        <v>108</v>
      </c>
    </row>
    <row r="174" customFormat="false" ht="15" hidden="false" customHeight="true" outlineLevel="0" collapsed="false">
      <c r="B174" s="15"/>
      <c r="C174" s="16"/>
      <c r="D174" s="17"/>
      <c r="E174" s="16"/>
      <c r="F174" s="18"/>
      <c r="G174" s="19"/>
      <c r="H174" s="17"/>
    </row>
    <row r="175" customFormat="false" ht="15" hidden="false" customHeight="true" outlineLevel="0" collapsed="false">
      <c r="B175" s="15"/>
      <c r="C175" s="16"/>
      <c r="D175" s="17"/>
      <c r="E175" s="16"/>
      <c r="F175" s="18"/>
      <c r="G175" s="19"/>
      <c r="H175" s="17"/>
    </row>
    <row r="176" customFormat="false" ht="15" hidden="false" customHeight="true" outlineLevel="0" collapsed="false">
      <c r="B176" s="15" t="n">
        <v>45778</v>
      </c>
      <c r="C176" s="16" t="s">
        <v>272</v>
      </c>
      <c r="D176" s="17" t="s">
        <v>107</v>
      </c>
      <c r="E176" s="16" t="s">
        <v>66</v>
      </c>
      <c r="F176" s="18" t="n">
        <v>1742</v>
      </c>
      <c r="G176" s="19" t="str">
        <f aca="false">IF(N(B176)=0,"",TEXT(B176,"MM/YYYY"))</f>
        <v>05/2025</v>
      </c>
      <c r="H176" s="17" t="s">
        <v>108</v>
      </c>
    </row>
    <row r="177" customFormat="false" ht="15" hidden="false" customHeight="true" outlineLevel="0" collapsed="false">
      <c r="B177" s="15" t="n">
        <v>45778</v>
      </c>
      <c r="C177" s="16" t="s">
        <v>273</v>
      </c>
      <c r="D177" s="17" t="s">
        <v>107</v>
      </c>
      <c r="E177" s="16" t="s">
        <v>60</v>
      </c>
      <c r="F177" s="18" t="n">
        <v>518.67</v>
      </c>
      <c r="G177" s="19" t="str">
        <f aca="false">IF(N(B177)=0,"",TEXT(B177,"MM/YYYY"))</f>
        <v>05/2025</v>
      </c>
      <c r="H177" s="17" t="s">
        <v>108</v>
      </c>
    </row>
    <row r="178" customFormat="false" ht="15" hidden="false" customHeight="true" outlineLevel="0" collapsed="false">
      <c r="B178" s="15" t="n">
        <v>45778</v>
      </c>
      <c r="C178" s="16" t="s">
        <v>274</v>
      </c>
      <c r="D178" s="17" t="s">
        <v>107</v>
      </c>
      <c r="E178" s="16" t="s">
        <v>33</v>
      </c>
      <c r="F178" s="18" t="n">
        <v>8855</v>
      </c>
      <c r="G178" s="19" t="str">
        <f aca="false">IF(N(B178)=0,"",TEXT(B178,"MM/YYYY"))</f>
        <v>05/2025</v>
      </c>
      <c r="H178" s="17" t="s">
        <v>108</v>
      </c>
    </row>
    <row r="179" customFormat="false" ht="15" hidden="false" customHeight="true" outlineLevel="0" collapsed="false">
      <c r="B179" s="15" t="n">
        <v>45778</v>
      </c>
      <c r="C179" s="16" t="s">
        <v>275</v>
      </c>
      <c r="D179" s="17" t="s">
        <v>107</v>
      </c>
      <c r="E179" s="16" t="s">
        <v>53</v>
      </c>
      <c r="F179" s="18" t="n">
        <v>49.9</v>
      </c>
      <c r="G179" s="19" t="str">
        <f aca="false">IF(N(B179)=0,"",TEXT(B179,"MM/YYYY"))</f>
        <v>05/2025</v>
      </c>
      <c r="H179" s="17" t="s">
        <v>108</v>
      </c>
    </row>
    <row r="180" customFormat="false" ht="15" hidden="false" customHeight="true" outlineLevel="0" collapsed="false">
      <c r="B180" s="15" t="n">
        <v>45778</v>
      </c>
      <c r="C180" s="16" t="s">
        <v>276</v>
      </c>
      <c r="D180" s="17" t="s">
        <v>107</v>
      </c>
      <c r="E180" s="16" t="s">
        <v>37</v>
      </c>
      <c r="F180" s="18" t="n">
        <v>803.59</v>
      </c>
      <c r="G180" s="19" t="str">
        <f aca="false">IF(N(B180)=0,"",TEXT(B180,"MM/YYYY"))</f>
        <v>05/2025</v>
      </c>
      <c r="H180" s="17" t="s">
        <v>108</v>
      </c>
    </row>
    <row r="181" customFormat="false" ht="15" hidden="false" customHeight="true" outlineLevel="0" collapsed="false">
      <c r="B181" s="15" t="n">
        <v>45778</v>
      </c>
      <c r="C181" s="16" t="s">
        <v>277</v>
      </c>
      <c r="D181" s="17" t="s">
        <v>107</v>
      </c>
      <c r="E181" s="16" t="s">
        <v>58</v>
      </c>
      <c r="F181" s="18" t="n">
        <v>143867.2</v>
      </c>
      <c r="G181" s="19" t="str">
        <f aca="false">IF(N(B181)=0,"",TEXT(B181,"MM/YYYY"))</f>
        <v>05/2025</v>
      </c>
      <c r="H181" s="17" t="s">
        <v>108</v>
      </c>
    </row>
    <row r="182" customFormat="false" ht="15" hidden="false" customHeight="true" outlineLevel="0" collapsed="false">
      <c r="B182" s="15" t="n">
        <v>45778</v>
      </c>
      <c r="C182" s="16" t="s">
        <v>278</v>
      </c>
      <c r="D182" s="17" t="s">
        <v>107</v>
      </c>
      <c r="E182" s="16" t="s">
        <v>68</v>
      </c>
      <c r="F182" s="18" t="n">
        <v>111.8</v>
      </c>
      <c r="G182" s="19" t="str">
        <f aca="false">IF(N(B182)=0,"",TEXT(B182,"MM/YYYY"))</f>
        <v>05/2025</v>
      </c>
      <c r="H182" s="17" t="s">
        <v>108</v>
      </c>
    </row>
    <row r="183" customFormat="false" ht="15" hidden="false" customHeight="true" outlineLevel="0" collapsed="false">
      <c r="B183" s="15" t="n">
        <v>45778</v>
      </c>
      <c r="C183" s="16" t="s">
        <v>279</v>
      </c>
      <c r="D183" s="17" t="s">
        <v>107</v>
      </c>
      <c r="E183" s="16" t="s">
        <v>35</v>
      </c>
      <c r="F183" s="18" t="n">
        <v>7743.78</v>
      </c>
      <c r="G183" s="19" t="str">
        <f aca="false">IF(N(B183)=0,"",TEXT(B183,"MM/YYYY"))</f>
        <v>05/2025</v>
      </c>
      <c r="H183" s="17" t="s">
        <v>108</v>
      </c>
    </row>
    <row r="184" customFormat="false" ht="15" hidden="false" customHeight="true" outlineLevel="0" collapsed="false">
      <c r="B184" s="15" t="n">
        <v>45778</v>
      </c>
      <c r="C184" s="16" t="s">
        <v>280</v>
      </c>
      <c r="D184" s="17" t="s">
        <v>107</v>
      </c>
      <c r="E184" s="16" t="s">
        <v>30</v>
      </c>
      <c r="F184" s="18" t="n">
        <v>77111.5</v>
      </c>
      <c r="G184" s="19" t="str">
        <f aca="false">IF(N(B184)=0,"",TEXT(B184,"MM/YYYY"))</f>
        <v>05/2025</v>
      </c>
      <c r="H184" s="17" t="s">
        <v>108</v>
      </c>
    </row>
    <row r="185" customFormat="false" ht="15" hidden="false" customHeight="true" outlineLevel="0" collapsed="false">
      <c r="B185" s="15" t="n">
        <v>45778</v>
      </c>
      <c r="C185" s="16" t="s">
        <v>281</v>
      </c>
      <c r="D185" s="17" t="s">
        <v>107</v>
      </c>
      <c r="E185" s="16" t="s">
        <v>85</v>
      </c>
      <c r="F185" s="18" t="n">
        <v>1777.34</v>
      </c>
      <c r="G185" s="19" t="str">
        <f aca="false">IF(N(B185)=0,"",TEXT(B185,"MM/YYYY"))</f>
        <v>05/2025</v>
      </c>
      <c r="H185" s="17" t="s">
        <v>108</v>
      </c>
    </row>
    <row r="186" customFormat="false" ht="15" hidden="false" customHeight="true" outlineLevel="0" collapsed="false">
      <c r="B186" s="15" t="n">
        <v>45778</v>
      </c>
      <c r="C186" s="16" t="s">
        <v>282</v>
      </c>
      <c r="D186" s="17" t="s">
        <v>107</v>
      </c>
      <c r="E186" s="16" t="s">
        <v>61</v>
      </c>
      <c r="F186" s="18" t="n">
        <v>8005.04</v>
      </c>
      <c r="G186" s="19" t="str">
        <f aca="false">IF(N(B186)=0,"",TEXT(B186,"MM/YYYY"))</f>
        <v>05/2025</v>
      </c>
      <c r="H186" s="17" t="s">
        <v>108</v>
      </c>
    </row>
    <row r="187" customFormat="false" ht="15" hidden="false" customHeight="true" outlineLevel="0" collapsed="false">
      <c r="B187" s="15" t="n">
        <v>45778</v>
      </c>
      <c r="C187" s="16" t="s">
        <v>283</v>
      </c>
      <c r="D187" s="17" t="s">
        <v>107</v>
      </c>
      <c r="E187" s="16" t="s">
        <v>28</v>
      </c>
      <c r="F187" s="18" t="n">
        <v>29408</v>
      </c>
      <c r="G187" s="19" t="str">
        <f aca="false">IF(N(B187)=0,"",TEXT(B187,"MM/YYYY"))</f>
        <v>05/2025</v>
      </c>
      <c r="H187" s="17" t="s">
        <v>108</v>
      </c>
    </row>
    <row r="188" customFormat="false" ht="15" hidden="false" customHeight="true" outlineLevel="0" collapsed="false">
      <c r="B188" s="15" t="n">
        <v>45778</v>
      </c>
      <c r="C188" s="16" t="s">
        <v>284</v>
      </c>
      <c r="D188" s="17" t="s">
        <v>107</v>
      </c>
      <c r="E188" s="16" t="s">
        <v>90</v>
      </c>
      <c r="F188" s="18" t="n">
        <v>30</v>
      </c>
      <c r="G188" s="19" t="str">
        <f aca="false">IF(N(B188)=0,"",TEXT(B188,"MM/YYYY"))</f>
        <v>05/2025</v>
      </c>
      <c r="H188" s="17" t="s">
        <v>108</v>
      </c>
    </row>
    <row r="189" customFormat="false" ht="15" hidden="false" customHeight="true" outlineLevel="0" collapsed="false">
      <c r="B189" s="15" t="n">
        <v>45778</v>
      </c>
      <c r="C189" s="16" t="s">
        <v>285</v>
      </c>
      <c r="D189" s="17" t="s">
        <v>107</v>
      </c>
      <c r="E189" s="16" t="s">
        <v>92</v>
      </c>
      <c r="F189" s="18" t="n">
        <v>70</v>
      </c>
      <c r="G189" s="19" t="str">
        <f aca="false">IF(N(B189)=0,"",TEXT(B189,"MM/YYYY"))</f>
        <v>05/2025</v>
      </c>
      <c r="H189" s="17" t="s">
        <v>108</v>
      </c>
    </row>
    <row r="190" customFormat="false" ht="15" hidden="false" customHeight="true" outlineLevel="0" collapsed="false">
      <c r="B190" s="15" t="n">
        <v>45778</v>
      </c>
      <c r="C190" s="16" t="s">
        <v>286</v>
      </c>
      <c r="D190" s="17" t="s">
        <v>107</v>
      </c>
      <c r="E190" s="16" t="s">
        <v>44</v>
      </c>
      <c r="F190" s="18" t="n">
        <v>300</v>
      </c>
      <c r="G190" s="19" t="str">
        <f aca="false">IF(N(B190)=0,"",TEXT(B190,"MM/YYYY"))</f>
        <v>05/2025</v>
      </c>
      <c r="H190" s="17" t="s">
        <v>108</v>
      </c>
    </row>
    <row r="191" customFormat="false" ht="15" hidden="false" customHeight="true" outlineLevel="0" collapsed="false">
      <c r="B191" s="15" t="n">
        <v>45778</v>
      </c>
      <c r="C191" s="16" t="s">
        <v>287</v>
      </c>
      <c r="D191" s="17" t="s">
        <v>107</v>
      </c>
      <c r="E191" s="16" t="s">
        <v>46</v>
      </c>
      <c r="F191" s="18" t="n">
        <v>914</v>
      </c>
      <c r="G191" s="19" t="str">
        <f aca="false">IF(N(B191)=0,"",TEXT(B191,"MM/YYYY"))</f>
        <v>05/2025</v>
      </c>
      <c r="H191" s="17" t="s">
        <v>108</v>
      </c>
    </row>
    <row r="192" customFormat="false" ht="15" hidden="false" customHeight="true" outlineLevel="0" collapsed="false">
      <c r="B192" s="15" t="n">
        <v>45778</v>
      </c>
      <c r="C192" s="16" t="s">
        <v>288</v>
      </c>
      <c r="D192" s="17" t="s">
        <v>107</v>
      </c>
      <c r="E192" s="16" t="s">
        <v>74</v>
      </c>
      <c r="F192" s="18" t="n">
        <v>38.99</v>
      </c>
      <c r="G192" s="19" t="str">
        <f aca="false">IF(N(B192)=0,"",TEXT(B192,"MM/YYYY"))</f>
        <v>05/2025</v>
      </c>
      <c r="H192" s="17" t="s">
        <v>108</v>
      </c>
    </row>
    <row r="193" customFormat="false" ht="15" hidden="false" customHeight="true" outlineLevel="0" collapsed="false">
      <c r="B193" s="15" t="n">
        <v>45778</v>
      </c>
      <c r="C193" s="16" t="s">
        <v>289</v>
      </c>
      <c r="D193" s="17" t="s">
        <v>107</v>
      </c>
      <c r="E193" s="16" t="s">
        <v>67</v>
      </c>
      <c r="F193" s="18" t="n">
        <v>130.86</v>
      </c>
      <c r="G193" s="19" t="str">
        <f aca="false">IF(N(B193)=0,"",TEXT(B193,"MM/YYYY"))</f>
        <v>05/2025</v>
      </c>
      <c r="H193" s="17" t="s">
        <v>108</v>
      </c>
    </row>
    <row r="194" customFormat="false" ht="15" hidden="false" customHeight="true" outlineLevel="0" collapsed="false">
      <c r="B194" s="15" t="n">
        <v>45778</v>
      </c>
      <c r="C194" s="16" t="s">
        <v>290</v>
      </c>
      <c r="D194" s="17" t="s">
        <v>107</v>
      </c>
      <c r="E194" s="16" t="s">
        <v>97</v>
      </c>
      <c r="F194" s="18" t="n">
        <v>87.5</v>
      </c>
      <c r="G194" s="19" t="str">
        <f aca="false">IF(N(B194)=0,"",TEXT(B194,"MM/YYYY"))</f>
        <v>05/2025</v>
      </c>
      <c r="H194" s="17" t="s">
        <v>108</v>
      </c>
    </row>
    <row r="195" customFormat="false" ht="15" hidden="false" customHeight="true" outlineLevel="0" collapsed="false">
      <c r="B195" s="15" t="n">
        <v>45778</v>
      </c>
      <c r="C195" s="16" t="s">
        <v>291</v>
      </c>
      <c r="D195" s="17" t="s">
        <v>107</v>
      </c>
      <c r="E195" s="16" t="s">
        <v>32</v>
      </c>
      <c r="F195" s="18" t="n">
        <v>615</v>
      </c>
      <c r="G195" s="19" t="str">
        <f aca="false">IF(N(B195)=0,"",TEXT(B195,"MM/YYYY"))</f>
        <v>05/2025</v>
      </c>
      <c r="H195" s="17" t="s">
        <v>108</v>
      </c>
    </row>
    <row r="196" customFormat="false" ht="15" hidden="false" customHeight="true" outlineLevel="0" collapsed="false">
      <c r="B196" s="15" t="n">
        <v>45778</v>
      </c>
      <c r="C196" s="16" t="s">
        <v>292</v>
      </c>
      <c r="D196" s="17" t="s">
        <v>107</v>
      </c>
      <c r="E196" s="16" t="s">
        <v>50</v>
      </c>
      <c r="F196" s="18" t="n">
        <v>4520.65</v>
      </c>
      <c r="G196" s="19" t="str">
        <f aca="false">IF(N(B196)=0,"",TEXT(B196,"MM/YYYY"))</f>
        <v>05/2025</v>
      </c>
      <c r="H196" s="17" t="s">
        <v>108</v>
      </c>
    </row>
    <row r="197" customFormat="false" ht="15" hidden="false" customHeight="true" outlineLevel="0" collapsed="false">
      <c r="B197" s="15" t="n">
        <v>45778</v>
      </c>
      <c r="C197" s="16" t="s">
        <v>293</v>
      </c>
      <c r="D197" s="17" t="s">
        <v>107</v>
      </c>
      <c r="E197" s="16" t="s">
        <v>51</v>
      </c>
      <c r="F197" s="18" t="n">
        <v>27532.27</v>
      </c>
      <c r="G197" s="19" t="str">
        <f aca="false">IF(N(B197)=0,"",TEXT(B197,"MM/YYYY"))</f>
        <v>05/2025</v>
      </c>
      <c r="H197" s="17" t="s">
        <v>108</v>
      </c>
    </row>
    <row r="198" customFormat="false" ht="15" hidden="false" customHeight="true" outlineLevel="0" collapsed="false">
      <c r="B198" s="15" t="n">
        <v>45778</v>
      </c>
      <c r="C198" s="16" t="s">
        <v>294</v>
      </c>
      <c r="D198" s="17" t="s">
        <v>107</v>
      </c>
      <c r="E198" s="16" t="s">
        <v>62</v>
      </c>
      <c r="F198" s="18" t="n">
        <v>140</v>
      </c>
      <c r="G198" s="19" t="str">
        <f aca="false">IF(N(B198)=0,"",TEXT(B198,"MM/YYYY"))</f>
        <v>05/2025</v>
      </c>
      <c r="H198" s="17" t="s">
        <v>108</v>
      </c>
    </row>
    <row r="199" customFormat="false" ht="15" hidden="false" customHeight="true" outlineLevel="0" collapsed="false">
      <c r="B199" s="15" t="n">
        <v>45778</v>
      </c>
      <c r="C199" s="16" t="s">
        <v>295</v>
      </c>
      <c r="D199" s="17" t="s">
        <v>107</v>
      </c>
      <c r="E199" s="16" t="s">
        <v>64</v>
      </c>
      <c r="F199" s="18" t="n">
        <v>269.84</v>
      </c>
      <c r="G199" s="19" t="str">
        <f aca="false">IF(N(B199)=0,"",TEXT(B199,"MM/YYYY"))</f>
        <v>05/2025</v>
      </c>
      <c r="H199" s="17" t="s">
        <v>108</v>
      </c>
    </row>
    <row r="200" customFormat="false" ht="15" hidden="false" customHeight="true" outlineLevel="0" collapsed="false">
      <c r="B200" s="15"/>
      <c r="C200" s="16"/>
      <c r="D200" s="17"/>
      <c r="E200" s="16"/>
      <c r="F200" s="18"/>
      <c r="G200" s="19"/>
      <c r="H200" s="17"/>
    </row>
    <row r="201" customFormat="false" ht="15" hidden="false" customHeight="true" outlineLevel="0" collapsed="false">
      <c r="B201" s="15" t="n">
        <v>45778</v>
      </c>
      <c r="C201" s="16" t="s">
        <v>296</v>
      </c>
      <c r="D201" s="17" t="s">
        <v>107</v>
      </c>
      <c r="E201" s="16" t="s">
        <v>96</v>
      </c>
      <c r="F201" s="18" t="n">
        <v>93165.98</v>
      </c>
      <c r="G201" s="19" t="str">
        <f aca="false">IF(N(B201)=0,"",TEXT(B201,"MM/YYYY"))</f>
        <v>05/2025</v>
      </c>
      <c r="H201" s="17" t="s">
        <v>108</v>
      </c>
    </row>
    <row r="202" customFormat="false" ht="15" hidden="false" customHeight="true" outlineLevel="0" collapsed="false">
      <c r="B202" s="15" t="n">
        <v>45778</v>
      </c>
      <c r="C202" s="16" t="s">
        <v>297</v>
      </c>
      <c r="D202" s="17" t="s">
        <v>107</v>
      </c>
      <c r="E202" s="16" t="s">
        <v>26</v>
      </c>
      <c r="F202" s="18" t="n">
        <v>65156.44</v>
      </c>
      <c r="G202" s="19" t="str">
        <f aca="false">IF(N(B202)=0,"",TEXT(B202,"MM/YYYY"))</f>
        <v>05/2025</v>
      </c>
      <c r="H202" s="17" t="s">
        <v>108</v>
      </c>
    </row>
    <row r="203" customFormat="false" ht="15" hidden="false" customHeight="true" outlineLevel="0" collapsed="false">
      <c r="B203" s="15" t="n">
        <v>45778</v>
      </c>
      <c r="C203" s="16" t="s">
        <v>298</v>
      </c>
      <c r="D203" s="17" t="s">
        <v>107</v>
      </c>
      <c r="E203" s="16" t="s">
        <v>65</v>
      </c>
      <c r="F203" s="18" t="n">
        <v>123.22</v>
      </c>
      <c r="G203" s="19" t="str">
        <f aca="false">IF(N(B203)=0,"",TEXT(B203,"MM/YYYY"))</f>
        <v>05/2025</v>
      </c>
      <c r="H203" s="17" t="s">
        <v>108</v>
      </c>
    </row>
    <row r="204" customFormat="false" ht="15" hidden="false" customHeight="true" outlineLevel="0" collapsed="false">
      <c r="B204" s="15" t="n">
        <v>45778</v>
      </c>
      <c r="C204" s="16" t="s">
        <v>299</v>
      </c>
      <c r="D204" s="17" t="s">
        <v>107</v>
      </c>
      <c r="E204" s="16" t="s">
        <v>78</v>
      </c>
      <c r="F204" s="18" t="n">
        <v>520</v>
      </c>
      <c r="G204" s="19" t="str">
        <f aca="false">IF(N(B204)=0,"",TEXT(B204,"MM/YYYY"))</f>
        <v>05/2025</v>
      </c>
      <c r="H204" s="17" t="s">
        <v>108</v>
      </c>
    </row>
    <row r="205" customFormat="false" ht="15" hidden="false" customHeight="true" outlineLevel="0" collapsed="false">
      <c r="B205" s="15" t="n">
        <v>45778</v>
      </c>
      <c r="C205" s="16" t="s">
        <v>300</v>
      </c>
      <c r="D205" s="17" t="s">
        <v>107</v>
      </c>
      <c r="E205" s="16" t="s">
        <v>29</v>
      </c>
      <c r="F205" s="18" t="n">
        <v>5420</v>
      </c>
      <c r="G205" s="19" t="str">
        <f aca="false">IF(N(B205)=0,"",TEXT(B205,"MM/YYYY"))</f>
        <v>05/2025</v>
      </c>
      <c r="H205" s="17" t="s">
        <v>108</v>
      </c>
    </row>
    <row r="206" customFormat="false" ht="15" hidden="false" customHeight="true" outlineLevel="0" collapsed="false">
      <c r="B206" s="15" t="n">
        <v>45778</v>
      </c>
      <c r="C206" s="16" t="s">
        <v>301</v>
      </c>
      <c r="D206" s="17" t="s">
        <v>107</v>
      </c>
      <c r="E206" s="16" t="s">
        <v>49</v>
      </c>
      <c r="F206" s="18" t="n">
        <v>2740</v>
      </c>
      <c r="G206" s="19" t="str">
        <f aca="false">IF(N(B206)=0,"",TEXT(B206,"MM/YYYY"))</f>
        <v>05/2025</v>
      </c>
      <c r="H206" s="17" t="s">
        <v>108</v>
      </c>
    </row>
    <row r="207" customFormat="false" ht="15" hidden="false" customHeight="true" outlineLevel="0" collapsed="false">
      <c r="B207" s="15" t="n">
        <v>45778</v>
      </c>
      <c r="C207" s="16" t="s">
        <v>302</v>
      </c>
      <c r="D207" s="17" t="s">
        <v>107</v>
      </c>
      <c r="E207" s="16" t="s">
        <v>59</v>
      </c>
      <c r="F207" s="18" t="n">
        <v>3650</v>
      </c>
      <c r="G207" s="19" t="str">
        <f aca="false">IF(N(B207)=0,"",TEXT(B207,"MM/YYYY"))</f>
        <v>05/2025</v>
      </c>
      <c r="H207" s="17" t="s">
        <v>108</v>
      </c>
    </row>
    <row r="208" customFormat="false" ht="15" hidden="false" customHeight="true" outlineLevel="0" collapsed="false">
      <c r="B208" s="15" t="n">
        <v>45778</v>
      </c>
      <c r="C208" s="16" t="s">
        <v>303</v>
      </c>
      <c r="D208" s="17" t="s">
        <v>107</v>
      </c>
      <c r="E208" s="16" t="s">
        <v>79</v>
      </c>
      <c r="F208" s="18" t="n">
        <v>30.6</v>
      </c>
      <c r="G208" s="19" t="str">
        <f aca="false">IF(N(B208)=0,"",TEXT(B208,"MM/YYYY"))</f>
        <v>05/2025</v>
      </c>
      <c r="H208" s="17" t="s">
        <v>108</v>
      </c>
    </row>
    <row r="209" customFormat="false" ht="15" hidden="false" customHeight="true" outlineLevel="0" collapsed="false">
      <c r="B209" s="15" t="n">
        <v>45778</v>
      </c>
      <c r="C209" s="16" t="s">
        <v>304</v>
      </c>
      <c r="D209" s="17" t="s">
        <v>107</v>
      </c>
      <c r="E209" s="16" t="s">
        <v>54</v>
      </c>
      <c r="F209" s="18" t="n">
        <v>890</v>
      </c>
      <c r="G209" s="19" t="str">
        <f aca="false">IF(N(B209)=0,"",TEXT(B209,"MM/YYYY"))</f>
        <v>05/2025</v>
      </c>
      <c r="H209" s="17" t="s">
        <v>108</v>
      </c>
    </row>
    <row r="210" customFormat="false" ht="15" hidden="false" customHeight="true" outlineLevel="0" collapsed="false">
      <c r="B210" s="15" t="n">
        <v>45778</v>
      </c>
      <c r="C210" s="16" t="s">
        <v>305</v>
      </c>
      <c r="D210" s="17" t="s">
        <v>107</v>
      </c>
      <c r="E210" s="16" t="s">
        <v>69</v>
      </c>
      <c r="F210" s="18" t="n">
        <v>332.28</v>
      </c>
      <c r="G210" s="19" t="str">
        <f aca="false">IF(N(B210)=0,"",TEXT(B210,"MM/YYYY"))</f>
        <v>05/2025</v>
      </c>
      <c r="H210" s="17" t="s">
        <v>108</v>
      </c>
    </row>
    <row r="211" customFormat="false" ht="15" hidden="false" customHeight="true" outlineLevel="0" collapsed="false">
      <c r="B211" s="15" t="n">
        <v>45809</v>
      </c>
      <c r="C211" s="16" t="s">
        <v>306</v>
      </c>
      <c r="D211" s="17" t="s">
        <v>114</v>
      </c>
      <c r="E211" s="16" t="s">
        <v>22</v>
      </c>
      <c r="F211" s="18" t="n">
        <v>531416.69</v>
      </c>
      <c r="G211" s="19" t="str">
        <f aca="false">IF(N(B211)=0,"",TEXT(B211,"MM/YYYY"))</f>
        <v>06/2025</v>
      </c>
      <c r="H211" s="17" t="s">
        <v>108</v>
      </c>
    </row>
    <row r="212" customFormat="false" ht="15" hidden="false" customHeight="true" outlineLevel="0" collapsed="false">
      <c r="B212" s="15" t="n">
        <v>45809</v>
      </c>
      <c r="C212" s="16" t="s">
        <v>307</v>
      </c>
      <c r="D212" s="17" t="s">
        <v>107</v>
      </c>
      <c r="E212" s="16" t="s">
        <v>31</v>
      </c>
      <c r="F212" s="18" t="n">
        <v>14011.2</v>
      </c>
      <c r="G212" s="19" t="str">
        <f aca="false">IF(N(B212)=0,"",TEXT(B212,"MM/YYYY"))</f>
        <v>06/2025</v>
      </c>
      <c r="H212" s="17" t="s">
        <v>108</v>
      </c>
    </row>
    <row r="213" customFormat="false" ht="15" hidden="false" customHeight="true" outlineLevel="0" collapsed="false">
      <c r="B213" s="15" t="n">
        <v>45809</v>
      </c>
      <c r="C213" s="16" t="s">
        <v>308</v>
      </c>
      <c r="D213" s="17" t="s">
        <v>107</v>
      </c>
      <c r="E213" s="16" t="s">
        <v>84</v>
      </c>
      <c r="F213" s="18" t="n">
        <v>1100</v>
      </c>
      <c r="G213" s="19" t="str">
        <f aca="false">IF(N(B213)=0,"",TEXT(B213,"MM/YYYY"))</f>
        <v>06/2025</v>
      </c>
      <c r="H213" s="17" t="s">
        <v>108</v>
      </c>
    </row>
    <row r="214" customFormat="false" ht="15" hidden="false" customHeight="true" outlineLevel="0" collapsed="false">
      <c r="B214" s="15" t="n">
        <v>45809</v>
      </c>
      <c r="C214" s="16" t="s">
        <v>309</v>
      </c>
      <c r="D214" s="17" t="s">
        <v>107</v>
      </c>
      <c r="E214" s="16" t="s">
        <v>45</v>
      </c>
      <c r="F214" s="18" t="n">
        <v>94.06</v>
      </c>
      <c r="G214" s="19" t="str">
        <f aca="false">IF(N(B214)=0,"",TEXT(B214,"MM/YYYY"))</f>
        <v>06/2025</v>
      </c>
      <c r="H214" s="17" t="s">
        <v>108</v>
      </c>
    </row>
    <row r="215" customFormat="false" ht="15" hidden="false" customHeight="true" outlineLevel="0" collapsed="false">
      <c r="B215" s="15" t="n">
        <v>45809</v>
      </c>
      <c r="C215" s="16" t="s">
        <v>310</v>
      </c>
      <c r="D215" s="17" t="s">
        <v>107</v>
      </c>
      <c r="E215" s="16" t="s">
        <v>52</v>
      </c>
      <c r="F215" s="18" t="n">
        <v>5501</v>
      </c>
      <c r="G215" s="19" t="str">
        <f aca="false">IF(N(B215)=0,"",TEXT(B215,"MM/YYYY"))</f>
        <v>06/2025</v>
      </c>
      <c r="H215" s="17" t="s">
        <v>108</v>
      </c>
    </row>
    <row r="216" customFormat="false" ht="15" hidden="false" customHeight="true" outlineLevel="0" collapsed="false">
      <c r="B216" s="15" t="n">
        <v>45809</v>
      </c>
      <c r="C216" s="16" t="s">
        <v>311</v>
      </c>
      <c r="D216" s="17" t="s">
        <v>107</v>
      </c>
      <c r="E216" s="16" t="s">
        <v>34</v>
      </c>
      <c r="F216" s="18" t="n">
        <v>6907.8</v>
      </c>
      <c r="G216" s="19" t="str">
        <f aca="false">IF(N(B216)=0,"",TEXT(B216,"MM/YYYY"))</f>
        <v>06/2025</v>
      </c>
      <c r="H216" s="17" t="s">
        <v>108</v>
      </c>
    </row>
    <row r="217" customFormat="false" ht="15" hidden="false" customHeight="true" outlineLevel="0" collapsed="false">
      <c r="B217" s="15" t="n">
        <v>45809</v>
      </c>
      <c r="C217" s="16" t="s">
        <v>312</v>
      </c>
      <c r="D217" s="17" t="s">
        <v>107</v>
      </c>
      <c r="E217" s="16" t="s">
        <v>38</v>
      </c>
      <c r="F217" s="18" t="n">
        <v>400</v>
      </c>
      <c r="G217" s="19" t="str">
        <f aca="false">IF(N(B217)=0,"",TEXT(B217,"MM/YYYY"))</f>
        <v>06/2025</v>
      </c>
      <c r="H217" s="17" t="s">
        <v>108</v>
      </c>
    </row>
    <row r="218" customFormat="false" ht="15" hidden="false" customHeight="true" outlineLevel="0" collapsed="false">
      <c r="B218" s="15" t="n">
        <v>45809</v>
      </c>
      <c r="C218" s="16" t="s">
        <v>313</v>
      </c>
      <c r="D218" s="17" t="s">
        <v>107</v>
      </c>
      <c r="E218" s="16" t="s">
        <v>43</v>
      </c>
      <c r="F218" s="18" t="n">
        <v>1719.58</v>
      </c>
      <c r="G218" s="19" t="str">
        <f aca="false">IF(N(B218)=0,"",TEXT(B218,"MM/YYYY"))</f>
        <v>06/2025</v>
      </c>
      <c r="H218" s="17" t="s">
        <v>108</v>
      </c>
    </row>
    <row r="219" customFormat="false" ht="15" hidden="false" customHeight="true" outlineLevel="0" collapsed="false">
      <c r="B219" s="15"/>
      <c r="C219" s="16"/>
      <c r="D219" s="17"/>
      <c r="E219" s="16"/>
      <c r="F219" s="18"/>
      <c r="G219" s="19"/>
      <c r="H219" s="17"/>
    </row>
    <row r="220" customFormat="false" ht="15" hidden="false" customHeight="true" outlineLevel="0" collapsed="false">
      <c r="B220" s="15"/>
      <c r="C220" s="16"/>
      <c r="D220" s="17"/>
      <c r="E220" s="16"/>
      <c r="F220" s="18"/>
      <c r="G220" s="19"/>
      <c r="H220" s="17"/>
    </row>
    <row r="221" customFormat="false" ht="15" hidden="false" customHeight="true" outlineLevel="0" collapsed="false">
      <c r="B221" s="15" t="n">
        <v>45809</v>
      </c>
      <c r="C221" s="16" t="s">
        <v>314</v>
      </c>
      <c r="D221" s="17" t="s">
        <v>107</v>
      </c>
      <c r="E221" s="16" t="s">
        <v>47</v>
      </c>
      <c r="F221" s="18" t="n">
        <v>675.95</v>
      </c>
      <c r="G221" s="19" t="str">
        <f aca="false">IF(N(B221)=0,"",TEXT(B221,"MM/YYYY"))</f>
        <v>06/2025</v>
      </c>
      <c r="H221" s="17" t="s">
        <v>108</v>
      </c>
    </row>
    <row r="222" customFormat="false" ht="15" hidden="false" customHeight="true" outlineLevel="0" collapsed="false">
      <c r="B222" s="15" t="n">
        <v>45809</v>
      </c>
      <c r="C222" s="16" t="s">
        <v>315</v>
      </c>
      <c r="D222" s="17" t="s">
        <v>107</v>
      </c>
      <c r="E222" s="16" t="s">
        <v>66</v>
      </c>
      <c r="F222" s="18" t="n">
        <v>1742</v>
      </c>
      <c r="G222" s="19" t="str">
        <f aca="false">IF(N(B222)=0,"",TEXT(B222,"MM/YYYY"))</f>
        <v>06/2025</v>
      </c>
      <c r="H222" s="17" t="s">
        <v>108</v>
      </c>
    </row>
    <row r="223" customFormat="false" ht="15" hidden="false" customHeight="true" outlineLevel="0" collapsed="false">
      <c r="B223" s="15" t="n">
        <v>45809</v>
      </c>
      <c r="C223" s="16" t="s">
        <v>316</v>
      </c>
      <c r="D223" s="17" t="s">
        <v>107</v>
      </c>
      <c r="E223" s="16" t="s">
        <v>60</v>
      </c>
      <c r="F223" s="18" t="n">
        <v>387.32</v>
      </c>
      <c r="G223" s="19" t="str">
        <f aca="false">IF(N(B223)=0,"",TEXT(B223,"MM/YYYY"))</f>
        <v>06/2025</v>
      </c>
      <c r="H223" s="17" t="s">
        <v>108</v>
      </c>
    </row>
    <row r="224" customFormat="false" ht="15" hidden="false" customHeight="true" outlineLevel="0" collapsed="false">
      <c r="B224" s="15" t="n">
        <v>45809</v>
      </c>
      <c r="C224" s="16" t="s">
        <v>317</v>
      </c>
      <c r="D224" s="17" t="s">
        <v>107</v>
      </c>
      <c r="E224" s="16" t="s">
        <v>93</v>
      </c>
      <c r="F224" s="18" t="n">
        <v>658.07</v>
      </c>
      <c r="G224" s="19" t="str">
        <f aca="false">IF(N(B224)=0,"",TEXT(B224,"MM/YYYY"))</f>
        <v>06/2025</v>
      </c>
      <c r="H224" s="17" t="s">
        <v>108</v>
      </c>
    </row>
    <row r="225" customFormat="false" ht="15" hidden="false" customHeight="true" outlineLevel="0" collapsed="false">
      <c r="B225" s="15" t="n">
        <v>45809</v>
      </c>
      <c r="C225" s="16" t="s">
        <v>318</v>
      </c>
      <c r="D225" s="17" t="s">
        <v>107</v>
      </c>
      <c r="E225" s="16" t="s">
        <v>33</v>
      </c>
      <c r="F225" s="18" t="n">
        <v>6835</v>
      </c>
      <c r="G225" s="19" t="str">
        <f aca="false">IF(N(B225)=0,"",TEXT(B225,"MM/YYYY"))</f>
        <v>06/2025</v>
      </c>
      <c r="H225" s="17" t="s">
        <v>108</v>
      </c>
    </row>
    <row r="226" customFormat="false" ht="15" hidden="false" customHeight="true" outlineLevel="0" collapsed="false">
      <c r="B226" s="15" t="n">
        <v>45809</v>
      </c>
      <c r="C226" s="16" t="s">
        <v>319</v>
      </c>
      <c r="D226" s="17" t="s">
        <v>107</v>
      </c>
      <c r="E226" s="16" t="s">
        <v>53</v>
      </c>
      <c r="F226" s="18" t="n">
        <v>697.87</v>
      </c>
      <c r="G226" s="19" t="str">
        <f aca="false">IF(N(B226)=0,"",TEXT(B226,"MM/YYYY"))</f>
        <v>06/2025</v>
      </c>
      <c r="H226" s="17" t="s">
        <v>108</v>
      </c>
    </row>
    <row r="227" customFormat="false" ht="15" hidden="false" customHeight="true" outlineLevel="0" collapsed="false">
      <c r="B227" s="15" t="n">
        <v>45809</v>
      </c>
      <c r="C227" s="16" t="s">
        <v>320</v>
      </c>
      <c r="D227" s="17" t="s">
        <v>107</v>
      </c>
      <c r="E227" s="16" t="s">
        <v>37</v>
      </c>
      <c r="F227" s="18" t="n">
        <v>2022.7</v>
      </c>
      <c r="G227" s="19" t="str">
        <f aca="false">IF(N(B227)=0,"",TEXT(B227,"MM/YYYY"))</f>
        <v>06/2025</v>
      </c>
      <c r="H227" s="17" t="s">
        <v>108</v>
      </c>
    </row>
    <row r="228" customFormat="false" ht="15" hidden="false" customHeight="true" outlineLevel="0" collapsed="false">
      <c r="B228" s="15" t="n">
        <v>45809</v>
      </c>
      <c r="C228" s="16" t="s">
        <v>321</v>
      </c>
      <c r="D228" s="17" t="s">
        <v>107</v>
      </c>
      <c r="E228" s="16" t="s">
        <v>58</v>
      </c>
      <c r="F228" s="18" t="n">
        <v>159150.01</v>
      </c>
      <c r="G228" s="19" t="str">
        <f aca="false">IF(N(B228)=0,"",TEXT(B228,"MM/YYYY"))</f>
        <v>06/2025</v>
      </c>
      <c r="H228" s="17" t="s">
        <v>108</v>
      </c>
    </row>
    <row r="229" customFormat="false" ht="15" hidden="false" customHeight="true" outlineLevel="0" collapsed="false">
      <c r="B229" s="15" t="n">
        <v>45809</v>
      </c>
      <c r="C229" s="16" t="s">
        <v>322</v>
      </c>
      <c r="D229" s="17" t="s">
        <v>107</v>
      </c>
      <c r="E229" s="16" t="s">
        <v>68</v>
      </c>
      <c r="F229" s="18" t="n">
        <v>110.19</v>
      </c>
      <c r="G229" s="19" t="str">
        <f aca="false">IF(N(B229)=0,"",TEXT(B229,"MM/YYYY"))</f>
        <v>06/2025</v>
      </c>
      <c r="H229" s="17" t="s">
        <v>108</v>
      </c>
    </row>
    <row r="230" customFormat="false" ht="15" hidden="false" customHeight="true" outlineLevel="0" collapsed="false">
      <c r="B230" s="15" t="n">
        <v>45809</v>
      </c>
      <c r="C230" s="16" t="s">
        <v>323</v>
      </c>
      <c r="D230" s="17" t="s">
        <v>107</v>
      </c>
      <c r="E230" s="16" t="s">
        <v>35</v>
      </c>
      <c r="F230" s="18" t="n">
        <v>9883.14</v>
      </c>
      <c r="G230" s="19" t="str">
        <f aca="false">IF(N(B230)=0,"",TEXT(B230,"MM/YYYY"))</f>
        <v>06/2025</v>
      </c>
      <c r="H230" s="17" t="s">
        <v>108</v>
      </c>
    </row>
    <row r="231" customFormat="false" ht="15" hidden="false" customHeight="true" outlineLevel="0" collapsed="false">
      <c r="B231" s="15" t="n">
        <v>45809</v>
      </c>
      <c r="C231" s="16" t="s">
        <v>324</v>
      </c>
      <c r="D231" s="17" t="s">
        <v>107</v>
      </c>
      <c r="E231" s="16" t="s">
        <v>30</v>
      </c>
      <c r="F231" s="18" t="n">
        <v>90866.5</v>
      </c>
      <c r="G231" s="19" t="str">
        <f aca="false">IF(N(B231)=0,"",TEXT(B231,"MM/YYYY"))</f>
        <v>06/2025</v>
      </c>
      <c r="H231" s="17" t="s">
        <v>108</v>
      </c>
    </row>
    <row r="232" customFormat="false" ht="15" hidden="false" customHeight="true" outlineLevel="0" collapsed="false">
      <c r="B232" s="15" t="n">
        <v>45809</v>
      </c>
      <c r="C232" s="16" t="s">
        <v>325</v>
      </c>
      <c r="D232" s="17" t="s">
        <v>107</v>
      </c>
      <c r="E232" s="16" t="s">
        <v>85</v>
      </c>
      <c r="F232" s="18" t="n">
        <v>1885.32</v>
      </c>
      <c r="G232" s="19" t="str">
        <f aca="false">IF(N(B232)=0,"",TEXT(B232,"MM/YYYY"))</f>
        <v>06/2025</v>
      </c>
      <c r="H232" s="17" t="s">
        <v>108</v>
      </c>
    </row>
    <row r="233" customFormat="false" ht="15" hidden="false" customHeight="true" outlineLevel="0" collapsed="false">
      <c r="B233" s="15" t="n">
        <v>45809</v>
      </c>
      <c r="C233" s="16" t="s">
        <v>326</v>
      </c>
      <c r="D233" s="17" t="s">
        <v>107</v>
      </c>
      <c r="E233" s="16" t="s">
        <v>61</v>
      </c>
      <c r="F233" s="18" t="n">
        <v>7505.06</v>
      </c>
      <c r="G233" s="19" t="str">
        <f aca="false">IF(N(B233)=0,"",TEXT(B233,"MM/YYYY"))</f>
        <v>06/2025</v>
      </c>
      <c r="H233" s="17" t="s">
        <v>108</v>
      </c>
    </row>
    <row r="234" customFormat="false" ht="15" hidden="false" customHeight="true" outlineLevel="0" collapsed="false">
      <c r="B234" s="15" t="n">
        <v>45809</v>
      </c>
      <c r="C234" s="16" t="s">
        <v>327</v>
      </c>
      <c r="D234" s="17" t="s">
        <v>107</v>
      </c>
      <c r="E234" s="16" t="s">
        <v>87</v>
      </c>
      <c r="F234" s="18" t="n">
        <v>2621</v>
      </c>
      <c r="G234" s="19" t="str">
        <f aca="false">IF(N(B234)=0,"",TEXT(B234,"MM/YYYY"))</f>
        <v>06/2025</v>
      </c>
      <c r="H234" s="17" t="s">
        <v>108</v>
      </c>
    </row>
    <row r="235" customFormat="false" ht="15" hidden="false" customHeight="true" outlineLevel="0" collapsed="false">
      <c r="B235" s="15" t="n">
        <v>45809</v>
      </c>
      <c r="C235" s="16" t="s">
        <v>328</v>
      </c>
      <c r="D235" s="17" t="s">
        <v>107</v>
      </c>
      <c r="E235" s="16" t="s">
        <v>94</v>
      </c>
      <c r="F235" s="18" t="n">
        <v>800</v>
      </c>
      <c r="G235" s="19" t="str">
        <f aca="false">IF(N(B235)=0,"",TEXT(B235,"MM/YYYY"))</f>
        <v>06/2025</v>
      </c>
      <c r="H235" s="17" t="s">
        <v>108</v>
      </c>
    </row>
    <row r="236" customFormat="false" ht="15" hidden="false" customHeight="true" outlineLevel="0" collapsed="false">
      <c r="B236" s="15" t="n">
        <v>45809</v>
      </c>
      <c r="C236" s="16" t="s">
        <v>329</v>
      </c>
      <c r="D236" s="17" t="s">
        <v>107</v>
      </c>
      <c r="E236" s="16" t="s">
        <v>28</v>
      </c>
      <c r="F236" s="18" t="n">
        <v>22225</v>
      </c>
      <c r="G236" s="19" t="str">
        <f aca="false">IF(N(B236)=0,"",TEXT(B236,"MM/YYYY"))</f>
        <v>06/2025</v>
      </c>
      <c r="H236" s="17" t="s">
        <v>108</v>
      </c>
    </row>
    <row r="237" customFormat="false" ht="15" hidden="false" customHeight="true" outlineLevel="0" collapsed="false">
      <c r="B237" s="15" t="n">
        <v>45809</v>
      </c>
      <c r="C237" s="16" t="s">
        <v>330</v>
      </c>
      <c r="D237" s="17" t="s">
        <v>107</v>
      </c>
      <c r="E237" s="16" t="s">
        <v>90</v>
      </c>
      <c r="F237" s="18" t="n">
        <v>1000</v>
      </c>
      <c r="G237" s="19" t="str">
        <f aca="false">IF(N(B237)=0,"",TEXT(B237,"MM/YYYY"))</f>
        <v>06/2025</v>
      </c>
      <c r="H237" s="17" t="s">
        <v>108</v>
      </c>
    </row>
    <row r="238" customFormat="false" ht="15" hidden="false" customHeight="true" outlineLevel="0" collapsed="false">
      <c r="B238" s="15" t="n">
        <v>45809</v>
      </c>
      <c r="C238" s="16" t="s">
        <v>331</v>
      </c>
      <c r="D238" s="17" t="s">
        <v>107</v>
      </c>
      <c r="E238" s="16" t="s">
        <v>46</v>
      </c>
      <c r="F238" s="18" t="n">
        <v>50</v>
      </c>
      <c r="G238" s="19" t="str">
        <f aca="false">IF(N(B238)=0,"",TEXT(B238,"MM/YYYY"))</f>
        <v>06/2025</v>
      </c>
      <c r="H238" s="17" t="s">
        <v>108</v>
      </c>
    </row>
    <row r="239" customFormat="false" ht="15" hidden="false" customHeight="true" outlineLevel="0" collapsed="false">
      <c r="B239" s="15" t="n">
        <v>45809</v>
      </c>
      <c r="C239" s="16" t="s">
        <v>332</v>
      </c>
      <c r="D239" s="17" t="s">
        <v>107</v>
      </c>
      <c r="E239" s="16" t="s">
        <v>74</v>
      </c>
      <c r="F239" s="18" t="n">
        <v>369.17</v>
      </c>
      <c r="G239" s="19" t="str">
        <f aca="false">IF(N(B239)=0,"",TEXT(B239,"MM/YYYY"))</f>
        <v>06/2025</v>
      </c>
      <c r="H239" s="17" t="s">
        <v>108</v>
      </c>
    </row>
    <row r="240" customFormat="false" ht="15" hidden="false" customHeight="true" outlineLevel="0" collapsed="false">
      <c r="B240" s="15" t="n">
        <v>45809</v>
      </c>
      <c r="C240" s="16" t="s">
        <v>333</v>
      </c>
      <c r="D240" s="17" t="s">
        <v>107</v>
      </c>
      <c r="E240" s="16" t="s">
        <v>67</v>
      </c>
      <c r="F240" s="18" t="n">
        <v>318.21</v>
      </c>
      <c r="G240" s="19" t="str">
        <f aca="false">IF(N(B240)=0,"",TEXT(B240,"MM/YYYY"))</f>
        <v>06/2025</v>
      </c>
      <c r="H240" s="17" t="s">
        <v>108</v>
      </c>
    </row>
    <row r="241" customFormat="false" ht="15" hidden="false" customHeight="true" outlineLevel="0" collapsed="false">
      <c r="B241" s="15" t="n">
        <v>45809</v>
      </c>
      <c r="C241" s="16" t="s">
        <v>334</v>
      </c>
      <c r="D241" s="17" t="s">
        <v>107</v>
      </c>
      <c r="E241" s="16" t="s">
        <v>83</v>
      </c>
      <c r="F241" s="18" t="n">
        <v>234.78</v>
      </c>
      <c r="G241" s="19" t="str">
        <f aca="false">IF(N(B241)=0,"",TEXT(B241,"MM/YYYY"))</f>
        <v>06/2025</v>
      </c>
      <c r="H241" s="17" t="s">
        <v>108</v>
      </c>
    </row>
    <row r="242" customFormat="false" ht="15" hidden="false" customHeight="true" outlineLevel="0" collapsed="false">
      <c r="B242" s="15" t="n">
        <v>45809</v>
      </c>
      <c r="C242" s="16" t="s">
        <v>335</v>
      </c>
      <c r="D242" s="17" t="s">
        <v>107</v>
      </c>
      <c r="E242" s="16" t="s">
        <v>32</v>
      </c>
      <c r="F242" s="18" t="n">
        <v>15.3</v>
      </c>
      <c r="G242" s="19" t="str">
        <f aca="false">IF(N(B242)=0,"",TEXT(B242,"MM/YYYY"))</f>
        <v>06/2025</v>
      </c>
      <c r="H242" s="17" t="s">
        <v>108</v>
      </c>
    </row>
    <row r="243" customFormat="false" ht="15" hidden="false" customHeight="true" outlineLevel="0" collapsed="false">
      <c r="B243" s="15" t="n">
        <v>45809</v>
      </c>
      <c r="C243" s="16" t="s">
        <v>336</v>
      </c>
      <c r="D243" s="17" t="s">
        <v>107</v>
      </c>
      <c r="E243" s="16" t="s">
        <v>88</v>
      </c>
      <c r="F243" s="18" t="n">
        <v>1948</v>
      </c>
      <c r="G243" s="19" t="str">
        <f aca="false">IF(N(B243)=0,"",TEXT(B243,"MM/YYYY"))</f>
        <v>06/2025</v>
      </c>
      <c r="H243" s="17" t="s">
        <v>108</v>
      </c>
    </row>
    <row r="244" customFormat="false" ht="15" hidden="false" customHeight="true" outlineLevel="0" collapsed="false">
      <c r="B244" s="15" t="n">
        <v>45809</v>
      </c>
      <c r="C244" s="16" t="s">
        <v>337</v>
      </c>
      <c r="D244" s="17" t="s">
        <v>107</v>
      </c>
      <c r="E244" s="16" t="s">
        <v>50</v>
      </c>
      <c r="F244" s="18" t="n">
        <v>5617.27</v>
      </c>
      <c r="G244" s="19" t="str">
        <f aca="false">IF(N(B244)=0,"",TEXT(B244,"MM/YYYY"))</f>
        <v>06/2025</v>
      </c>
      <c r="H244" s="17" t="s">
        <v>108</v>
      </c>
    </row>
    <row r="245" customFormat="false" ht="15" hidden="false" customHeight="true" outlineLevel="0" collapsed="false">
      <c r="B245" s="15" t="n">
        <v>45809</v>
      </c>
      <c r="C245" s="16" t="s">
        <v>338</v>
      </c>
      <c r="D245" s="17" t="s">
        <v>107</v>
      </c>
      <c r="E245" s="16" t="s">
        <v>51</v>
      </c>
      <c r="F245" s="18" t="n">
        <v>21577.57</v>
      </c>
      <c r="G245" s="19" t="str">
        <f aca="false">IF(N(B245)=0,"",TEXT(B245,"MM/YYYY"))</f>
        <v>06/2025</v>
      </c>
      <c r="H245" s="17" t="s">
        <v>108</v>
      </c>
    </row>
    <row r="246" customFormat="false" ht="15" hidden="false" customHeight="true" outlineLevel="0" collapsed="false">
      <c r="B246" s="15" t="n">
        <v>45809</v>
      </c>
      <c r="C246" s="16" t="s">
        <v>339</v>
      </c>
      <c r="D246" s="17" t="s">
        <v>107</v>
      </c>
      <c r="E246" s="16" t="s">
        <v>62</v>
      </c>
      <c r="F246" s="18" t="n">
        <v>140</v>
      </c>
      <c r="G246" s="19" t="str">
        <f aca="false">IF(N(B246)=0,"",TEXT(B246,"MM/YYYY"))</f>
        <v>06/2025</v>
      </c>
      <c r="H246" s="17" t="s">
        <v>108</v>
      </c>
    </row>
    <row r="247" customFormat="false" ht="15" hidden="false" customHeight="true" outlineLevel="0" collapsed="false">
      <c r="B247" s="15" t="n">
        <v>45809</v>
      </c>
      <c r="C247" s="16" t="s">
        <v>340</v>
      </c>
      <c r="D247" s="17" t="s">
        <v>107</v>
      </c>
      <c r="E247" s="16" t="s">
        <v>64</v>
      </c>
      <c r="F247" s="18" t="n">
        <v>269.95</v>
      </c>
      <c r="G247" s="19" t="str">
        <f aca="false">IF(N(B247)=0,"",TEXT(B247,"MM/YYYY"))</f>
        <v>06/2025</v>
      </c>
      <c r="H247" s="17" t="s">
        <v>108</v>
      </c>
    </row>
    <row r="248" customFormat="false" ht="15" hidden="false" customHeight="true" outlineLevel="0" collapsed="false">
      <c r="B248" s="15"/>
      <c r="C248" s="16"/>
      <c r="D248" s="17"/>
      <c r="E248" s="16"/>
      <c r="F248" s="18"/>
      <c r="G248" s="19"/>
      <c r="H248" s="17"/>
    </row>
    <row r="249" customFormat="false" ht="15" hidden="false" customHeight="true" outlineLevel="0" collapsed="false">
      <c r="B249" s="15" t="n">
        <v>45809</v>
      </c>
      <c r="C249" s="16" t="s">
        <v>341</v>
      </c>
      <c r="D249" s="17" t="s">
        <v>107</v>
      </c>
      <c r="E249" s="16" t="s">
        <v>96</v>
      </c>
      <c r="F249" s="18" t="n">
        <v>172021.24</v>
      </c>
      <c r="G249" s="19" t="str">
        <f aca="false">IF(N(B249)=0,"",TEXT(B249,"MM/YYYY"))</f>
        <v>06/2025</v>
      </c>
      <c r="H249" s="17" t="s">
        <v>108</v>
      </c>
    </row>
    <row r="250" customFormat="false" ht="15" hidden="false" customHeight="true" outlineLevel="0" collapsed="false">
      <c r="B250" s="15" t="n">
        <v>45809</v>
      </c>
      <c r="C250" s="16" t="s">
        <v>342</v>
      </c>
      <c r="D250" s="17" t="s">
        <v>107</v>
      </c>
      <c r="E250" s="16" t="s">
        <v>26</v>
      </c>
      <c r="F250" s="18" t="n">
        <v>69498.85</v>
      </c>
      <c r="G250" s="19" t="str">
        <f aca="false">IF(N(B250)=0,"",TEXT(B250,"MM/YYYY"))</f>
        <v>06/2025</v>
      </c>
      <c r="H250" s="17" t="s">
        <v>108</v>
      </c>
    </row>
    <row r="251" customFormat="false" ht="15" hidden="false" customHeight="true" outlineLevel="0" collapsed="false">
      <c r="B251" s="15" t="n">
        <v>45809</v>
      </c>
      <c r="C251" s="16" t="s">
        <v>343</v>
      </c>
      <c r="D251" s="17" t="s">
        <v>107</v>
      </c>
      <c r="E251" s="16" t="s">
        <v>65</v>
      </c>
      <c r="F251" s="18" t="n">
        <v>120.64</v>
      </c>
      <c r="G251" s="19" t="str">
        <f aca="false">IF(N(B251)=0,"",TEXT(B251,"MM/YYYY"))</f>
        <v>06/2025</v>
      </c>
      <c r="H251" s="17" t="s">
        <v>108</v>
      </c>
    </row>
    <row r="252" customFormat="false" ht="15" hidden="false" customHeight="true" outlineLevel="0" collapsed="false">
      <c r="B252" s="15" t="n">
        <v>45809</v>
      </c>
      <c r="C252" s="16" t="s">
        <v>344</v>
      </c>
      <c r="D252" s="17" t="s">
        <v>107</v>
      </c>
      <c r="E252" s="16" t="s">
        <v>29</v>
      </c>
      <c r="F252" s="18" t="n">
        <v>8593</v>
      </c>
      <c r="G252" s="19" t="str">
        <f aca="false">IF(N(B252)=0,"",TEXT(B252,"MM/YYYY"))</f>
        <v>06/2025</v>
      </c>
      <c r="H252" s="17" t="s">
        <v>108</v>
      </c>
    </row>
    <row r="253" customFormat="false" ht="15" hidden="false" customHeight="true" outlineLevel="0" collapsed="false">
      <c r="B253" s="15" t="n">
        <v>45809</v>
      </c>
      <c r="C253" s="16" t="s">
        <v>345</v>
      </c>
      <c r="D253" s="17" t="s">
        <v>107</v>
      </c>
      <c r="E253" s="16" t="s">
        <v>49</v>
      </c>
      <c r="F253" s="18" t="n">
        <v>3820</v>
      </c>
      <c r="G253" s="19" t="str">
        <f aca="false">IF(N(B253)=0,"",TEXT(B253,"MM/YYYY"))</f>
        <v>06/2025</v>
      </c>
      <c r="H253" s="17" t="s">
        <v>108</v>
      </c>
    </row>
    <row r="254" customFormat="false" ht="15" hidden="false" customHeight="true" outlineLevel="0" collapsed="false">
      <c r="B254" s="15" t="n">
        <v>45809</v>
      </c>
      <c r="C254" s="16" t="s">
        <v>346</v>
      </c>
      <c r="D254" s="17" t="s">
        <v>107</v>
      </c>
      <c r="E254" s="16" t="s">
        <v>59</v>
      </c>
      <c r="F254" s="18" t="n">
        <v>3750</v>
      </c>
      <c r="G254" s="19" t="str">
        <f aca="false">IF(N(B254)=0,"",TEXT(B254,"MM/YYYY"))</f>
        <v>06/2025</v>
      </c>
      <c r="H254" s="17" t="s">
        <v>108</v>
      </c>
    </row>
    <row r="255" customFormat="false" ht="15" hidden="false" customHeight="true" outlineLevel="0" collapsed="false">
      <c r="B255" s="15" t="n">
        <v>45809</v>
      </c>
      <c r="C255" s="16" t="s">
        <v>347</v>
      </c>
      <c r="D255" s="17" t="s">
        <v>107</v>
      </c>
      <c r="E255" s="16" t="s">
        <v>79</v>
      </c>
      <c r="F255" s="18" t="n">
        <v>30.6</v>
      </c>
      <c r="G255" s="19" t="str">
        <f aca="false">IF(N(B255)=0,"",TEXT(B255,"MM/YYYY"))</f>
        <v>06/2025</v>
      </c>
      <c r="H255" s="17" t="s">
        <v>108</v>
      </c>
    </row>
    <row r="256" customFormat="false" ht="15" hidden="false" customHeight="true" outlineLevel="0" collapsed="false">
      <c r="B256" s="15" t="n">
        <v>45809</v>
      </c>
      <c r="C256" s="16" t="s">
        <v>348</v>
      </c>
      <c r="D256" s="17" t="s">
        <v>107</v>
      </c>
      <c r="E256" s="16" t="s">
        <v>54</v>
      </c>
      <c r="F256" s="18" t="n">
        <v>890</v>
      </c>
      <c r="G256" s="19" t="str">
        <f aca="false">IF(N(B256)=0,"",TEXT(B256,"MM/YYYY"))</f>
        <v>06/2025</v>
      </c>
      <c r="H256" s="17" t="s">
        <v>108</v>
      </c>
    </row>
    <row r="257" customFormat="false" ht="15" hidden="false" customHeight="true" outlineLevel="0" collapsed="false">
      <c r="B257" s="15" t="n">
        <v>45809</v>
      </c>
      <c r="C257" s="16" t="s">
        <v>349</v>
      </c>
      <c r="D257" s="17" t="s">
        <v>107</v>
      </c>
      <c r="E257" s="16" t="s">
        <v>69</v>
      </c>
      <c r="F257" s="18" t="n">
        <v>332.28</v>
      </c>
      <c r="G257" s="19" t="str">
        <f aca="false">IF(N(B257)=0,"",TEXT(B257,"MM/YYYY"))</f>
        <v>06/2025</v>
      </c>
      <c r="H257" s="17" t="s">
        <v>108</v>
      </c>
    </row>
    <row r="258" customFormat="false" ht="15" hidden="false" customHeight="true" outlineLevel="0" collapsed="false">
      <c r="B258" s="15" t="n">
        <v>45839</v>
      </c>
      <c r="C258" s="16" t="s">
        <v>350</v>
      </c>
      <c r="D258" s="17" t="s">
        <v>114</v>
      </c>
      <c r="E258" s="16" t="s">
        <v>22</v>
      </c>
      <c r="F258" s="18" t="n">
        <v>429681.99</v>
      </c>
      <c r="G258" s="19" t="str">
        <f aca="false">IF(N(B258)=0,"",TEXT(B258,"MM/YYYY"))</f>
        <v>07/2025</v>
      </c>
      <c r="H258" s="17" t="s">
        <v>108</v>
      </c>
    </row>
    <row r="259" customFormat="false" ht="15" hidden="false" customHeight="true" outlineLevel="0" collapsed="false">
      <c r="B259" s="15" t="n">
        <v>45839</v>
      </c>
      <c r="C259" s="16" t="s">
        <v>351</v>
      </c>
      <c r="D259" s="17" t="s">
        <v>107</v>
      </c>
      <c r="E259" s="16" t="s">
        <v>31</v>
      </c>
      <c r="F259" s="18" t="n">
        <v>20856.6</v>
      </c>
      <c r="G259" s="19" t="str">
        <f aca="false">IF(N(B259)=0,"",TEXT(B259,"MM/YYYY"))</f>
        <v>07/2025</v>
      </c>
      <c r="H259" s="17" t="s">
        <v>108</v>
      </c>
    </row>
    <row r="260" customFormat="false" ht="15" hidden="false" customHeight="true" outlineLevel="0" collapsed="false">
      <c r="B260" s="15" t="n">
        <v>45839</v>
      </c>
      <c r="C260" s="16" t="s">
        <v>352</v>
      </c>
      <c r="D260" s="17" t="s">
        <v>107</v>
      </c>
      <c r="E260" s="16" t="s">
        <v>45</v>
      </c>
      <c r="F260" s="18" t="n">
        <v>242.3</v>
      </c>
      <c r="G260" s="19" t="str">
        <f aca="false">IF(N(B260)=0,"",TEXT(B260,"MM/YYYY"))</f>
        <v>07/2025</v>
      </c>
      <c r="H260" s="17" t="s">
        <v>108</v>
      </c>
    </row>
    <row r="261" customFormat="false" ht="15" hidden="false" customHeight="true" outlineLevel="0" collapsed="false">
      <c r="B261" s="15" t="n">
        <v>45839</v>
      </c>
      <c r="C261" s="16" t="s">
        <v>353</v>
      </c>
      <c r="D261" s="17" t="s">
        <v>107</v>
      </c>
      <c r="E261" s="16" t="s">
        <v>52</v>
      </c>
      <c r="F261" s="18" t="n">
        <v>5618.94</v>
      </c>
      <c r="G261" s="19" t="str">
        <f aca="false">IF(N(B261)=0,"",TEXT(B261,"MM/YYYY"))</f>
        <v>07/2025</v>
      </c>
      <c r="H261" s="17" t="s">
        <v>108</v>
      </c>
    </row>
    <row r="262" customFormat="false" ht="15" hidden="false" customHeight="true" outlineLevel="0" collapsed="false">
      <c r="B262" s="15" t="n">
        <v>45839</v>
      </c>
      <c r="C262" s="16" t="s">
        <v>354</v>
      </c>
      <c r="D262" s="17" t="s">
        <v>107</v>
      </c>
      <c r="E262" s="16" t="s">
        <v>34</v>
      </c>
      <c r="F262" s="18" t="n">
        <v>7577.8</v>
      </c>
      <c r="G262" s="19" t="str">
        <f aca="false">IF(N(B262)=0,"",TEXT(B262,"MM/YYYY"))</f>
        <v>07/2025</v>
      </c>
      <c r="H262" s="17" t="s">
        <v>108</v>
      </c>
    </row>
    <row r="263" customFormat="false" ht="15" hidden="false" customHeight="true" outlineLevel="0" collapsed="false">
      <c r="B263" s="15" t="n">
        <v>45839</v>
      </c>
      <c r="C263" s="16" t="s">
        <v>355</v>
      </c>
      <c r="D263" s="17" t="s">
        <v>107</v>
      </c>
      <c r="E263" s="16" t="s">
        <v>38</v>
      </c>
      <c r="F263" s="18" t="n">
        <v>1528</v>
      </c>
      <c r="G263" s="19" t="str">
        <f aca="false">IF(N(B263)=0,"",TEXT(B263,"MM/YYYY"))</f>
        <v>07/2025</v>
      </c>
      <c r="H263" s="17" t="s">
        <v>108</v>
      </c>
    </row>
    <row r="264" customFormat="false" ht="15" hidden="false" customHeight="true" outlineLevel="0" collapsed="false">
      <c r="B264" s="15" t="n">
        <v>45839</v>
      </c>
      <c r="C264" s="16" t="s">
        <v>356</v>
      </c>
      <c r="D264" s="17" t="s">
        <v>107</v>
      </c>
      <c r="E264" s="16" t="s">
        <v>40</v>
      </c>
      <c r="F264" s="18" t="n">
        <v>360</v>
      </c>
      <c r="G264" s="19" t="str">
        <f aca="false">IF(N(B264)=0,"",TEXT(B264,"MM/YYYY"))</f>
        <v>07/2025</v>
      </c>
      <c r="H264" s="17" t="s">
        <v>108</v>
      </c>
    </row>
    <row r="265" customFormat="false" ht="15" hidden="false" customHeight="true" outlineLevel="0" collapsed="false">
      <c r="B265" s="15" t="n">
        <v>45839</v>
      </c>
      <c r="C265" s="16" t="s">
        <v>357</v>
      </c>
      <c r="D265" s="17" t="s">
        <v>107</v>
      </c>
      <c r="E265" s="16" t="s">
        <v>43</v>
      </c>
      <c r="F265" s="18" t="n">
        <v>1557.11</v>
      </c>
      <c r="G265" s="19" t="str">
        <f aca="false">IF(N(B265)=0,"",TEXT(B265,"MM/YYYY"))</f>
        <v>07/2025</v>
      </c>
      <c r="H265" s="17" t="s">
        <v>108</v>
      </c>
    </row>
    <row r="266" customFormat="false" ht="15" hidden="false" customHeight="true" outlineLevel="0" collapsed="false">
      <c r="B266" s="15"/>
      <c r="C266" s="16"/>
      <c r="D266" s="17"/>
      <c r="E266" s="16"/>
      <c r="F266" s="18"/>
      <c r="G266" s="19"/>
      <c r="H266" s="17"/>
    </row>
    <row r="267" customFormat="false" ht="15" hidden="false" customHeight="true" outlineLevel="0" collapsed="false">
      <c r="B267" s="15"/>
      <c r="C267" s="16"/>
      <c r="D267" s="17"/>
      <c r="E267" s="16"/>
      <c r="F267" s="18"/>
      <c r="G267" s="19"/>
      <c r="H267" s="17"/>
    </row>
    <row r="268" customFormat="false" ht="15" hidden="false" customHeight="true" outlineLevel="0" collapsed="false">
      <c r="B268" s="15" t="n">
        <v>45839</v>
      </c>
      <c r="C268" s="16" t="s">
        <v>358</v>
      </c>
      <c r="D268" s="17" t="s">
        <v>107</v>
      </c>
      <c r="E268" s="16" t="s">
        <v>47</v>
      </c>
      <c r="F268" s="18" t="n">
        <v>675.95</v>
      </c>
      <c r="G268" s="19" t="str">
        <f aca="false">IF(N(B268)=0,"",TEXT(B268,"MM/YYYY"))</f>
        <v>07/2025</v>
      </c>
      <c r="H268" s="17" t="s">
        <v>108</v>
      </c>
    </row>
    <row r="269" customFormat="false" ht="15" hidden="false" customHeight="true" outlineLevel="0" collapsed="false">
      <c r="B269" s="15" t="n">
        <v>45839</v>
      </c>
      <c r="C269" s="16" t="s">
        <v>359</v>
      </c>
      <c r="D269" s="17" t="s">
        <v>107</v>
      </c>
      <c r="E269" s="16" t="s">
        <v>66</v>
      </c>
      <c r="F269" s="18" t="n">
        <v>15678</v>
      </c>
      <c r="G269" s="19" t="str">
        <f aca="false">IF(N(B269)=0,"",TEXT(B269,"MM/YYYY"))</f>
        <v>07/2025</v>
      </c>
      <c r="H269" s="17" t="s">
        <v>108</v>
      </c>
    </row>
    <row r="270" customFormat="false" ht="15" hidden="false" customHeight="true" outlineLevel="0" collapsed="false">
      <c r="B270" s="15" t="n">
        <v>45839</v>
      </c>
      <c r="C270" s="16" t="s">
        <v>360</v>
      </c>
      <c r="D270" s="17" t="s">
        <v>107</v>
      </c>
      <c r="E270" s="16" t="s">
        <v>60</v>
      </c>
      <c r="F270" s="18" t="n">
        <v>327.05</v>
      </c>
      <c r="G270" s="19" t="str">
        <f aca="false">IF(N(B270)=0,"",TEXT(B270,"MM/YYYY"))</f>
        <v>07/2025</v>
      </c>
      <c r="H270" s="17" t="s">
        <v>108</v>
      </c>
    </row>
    <row r="271" customFormat="false" ht="15" hidden="false" customHeight="true" outlineLevel="0" collapsed="false">
      <c r="B271" s="15" t="n">
        <v>45839</v>
      </c>
      <c r="C271" s="16" t="s">
        <v>361</v>
      </c>
      <c r="D271" s="17" t="s">
        <v>107</v>
      </c>
      <c r="E271" s="16" t="s">
        <v>33</v>
      </c>
      <c r="F271" s="18" t="n">
        <v>9470</v>
      </c>
      <c r="G271" s="19" t="str">
        <f aca="false">IF(N(B271)=0,"",TEXT(B271,"MM/YYYY"))</f>
        <v>07/2025</v>
      </c>
      <c r="H271" s="17" t="s">
        <v>108</v>
      </c>
    </row>
    <row r="272" customFormat="false" ht="15" hidden="false" customHeight="true" outlineLevel="0" collapsed="false">
      <c r="B272" s="15" t="n">
        <v>45839</v>
      </c>
      <c r="C272" s="16" t="s">
        <v>362</v>
      </c>
      <c r="D272" s="17" t="s">
        <v>107</v>
      </c>
      <c r="E272" s="16" t="s">
        <v>53</v>
      </c>
      <c r="F272" s="18" t="n">
        <v>49.9</v>
      </c>
      <c r="G272" s="19" t="str">
        <f aca="false">IF(N(B272)=0,"",TEXT(B272,"MM/YYYY"))</f>
        <v>07/2025</v>
      </c>
      <c r="H272" s="17" t="s">
        <v>108</v>
      </c>
    </row>
    <row r="273" customFormat="false" ht="15" hidden="false" customHeight="true" outlineLevel="0" collapsed="false">
      <c r="B273" s="15" t="n">
        <v>45839</v>
      </c>
      <c r="C273" s="16" t="s">
        <v>363</v>
      </c>
      <c r="D273" s="17" t="s">
        <v>107</v>
      </c>
      <c r="E273" s="16" t="s">
        <v>37</v>
      </c>
      <c r="F273" s="18" t="n">
        <v>1638</v>
      </c>
      <c r="G273" s="19" t="str">
        <f aca="false">IF(N(B273)=0,"",TEXT(B273,"MM/YYYY"))</f>
        <v>07/2025</v>
      </c>
      <c r="H273" s="17" t="s">
        <v>108</v>
      </c>
    </row>
    <row r="274" customFormat="false" ht="15" hidden="false" customHeight="true" outlineLevel="0" collapsed="false">
      <c r="B274" s="15" t="n">
        <v>45839</v>
      </c>
      <c r="C274" s="16" t="s">
        <v>364</v>
      </c>
      <c r="D274" s="17" t="s">
        <v>107</v>
      </c>
      <c r="E274" s="16" t="s">
        <v>58</v>
      </c>
      <c r="F274" s="18" t="n">
        <v>193012.01</v>
      </c>
      <c r="G274" s="19" t="str">
        <f aca="false">IF(N(B274)=0,"",TEXT(B274,"MM/YYYY"))</f>
        <v>07/2025</v>
      </c>
      <c r="H274" s="17" t="s">
        <v>108</v>
      </c>
    </row>
    <row r="275" customFormat="false" ht="15" hidden="false" customHeight="true" outlineLevel="0" collapsed="false">
      <c r="B275" s="15" t="n">
        <v>45839</v>
      </c>
      <c r="C275" s="16" t="s">
        <v>365</v>
      </c>
      <c r="D275" s="17" t="s">
        <v>107</v>
      </c>
      <c r="E275" s="16" t="s">
        <v>68</v>
      </c>
      <c r="F275" s="18" t="n">
        <v>113</v>
      </c>
      <c r="G275" s="19" t="str">
        <f aca="false">IF(N(B275)=0,"",TEXT(B275,"MM/YYYY"))</f>
        <v>07/2025</v>
      </c>
      <c r="H275" s="17" t="s">
        <v>108</v>
      </c>
    </row>
    <row r="276" customFormat="false" ht="15" hidden="false" customHeight="true" outlineLevel="0" collapsed="false">
      <c r="B276" s="15" t="n">
        <v>45839</v>
      </c>
      <c r="C276" s="16" t="s">
        <v>366</v>
      </c>
      <c r="D276" s="17" t="s">
        <v>107</v>
      </c>
      <c r="E276" s="16" t="s">
        <v>35</v>
      </c>
      <c r="F276" s="18" t="n">
        <v>12230.53</v>
      </c>
      <c r="G276" s="19" t="str">
        <f aca="false">IF(N(B276)=0,"",TEXT(B276,"MM/YYYY"))</f>
        <v>07/2025</v>
      </c>
      <c r="H276" s="17" t="s">
        <v>108</v>
      </c>
    </row>
    <row r="277" customFormat="false" ht="15" hidden="false" customHeight="true" outlineLevel="0" collapsed="false">
      <c r="B277" s="15" t="n">
        <v>45839</v>
      </c>
      <c r="C277" s="16" t="s">
        <v>367</v>
      </c>
      <c r="D277" s="17" t="s">
        <v>107</v>
      </c>
      <c r="E277" s="16" t="s">
        <v>48</v>
      </c>
      <c r="F277" s="18" t="n">
        <v>30</v>
      </c>
      <c r="G277" s="19" t="str">
        <f aca="false">IF(N(B277)=0,"",TEXT(B277,"MM/YYYY"))</f>
        <v>07/2025</v>
      </c>
      <c r="H277" s="17" t="s">
        <v>108</v>
      </c>
    </row>
    <row r="278" customFormat="false" ht="15" hidden="false" customHeight="true" outlineLevel="0" collapsed="false">
      <c r="B278" s="15" t="n">
        <v>45839</v>
      </c>
      <c r="C278" s="16" t="s">
        <v>368</v>
      </c>
      <c r="D278" s="17" t="s">
        <v>107</v>
      </c>
      <c r="E278" s="16" t="s">
        <v>30</v>
      </c>
      <c r="F278" s="18" t="n">
        <v>112074.5</v>
      </c>
      <c r="G278" s="19" t="str">
        <f aca="false">IF(N(B278)=0,"",TEXT(B278,"MM/YYYY"))</f>
        <v>07/2025</v>
      </c>
      <c r="H278" s="17" t="s">
        <v>108</v>
      </c>
    </row>
    <row r="279" customFormat="false" ht="15" hidden="false" customHeight="true" outlineLevel="0" collapsed="false">
      <c r="B279" s="15" t="n">
        <v>45839</v>
      </c>
      <c r="C279" s="16" t="s">
        <v>369</v>
      </c>
      <c r="D279" s="17" t="s">
        <v>107</v>
      </c>
      <c r="E279" s="16" t="s">
        <v>61</v>
      </c>
      <c r="F279" s="18" t="n">
        <v>2633.53</v>
      </c>
      <c r="G279" s="19" t="str">
        <f aca="false">IF(N(B279)=0,"",TEXT(B279,"MM/YYYY"))</f>
        <v>07/2025</v>
      </c>
      <c r="H279" s="17" t="s">
        <v>108</v>
      </c>
    </row>
    <row r="280" customFormat="false" ht="15" hidden="false" customHeight="true" outlineLevel="0" collapsed="false">
      <c r="B280" s="15" t="n">
        <v>45839</v>
      </c>
      <c r="C280" s="16" t="s">
        <v>370</v>
      </c>
      <c r="D280" s="17" t="s">
        <v>107</v>
      </c>
      <c r="E280" s="16" t="s">
        <v>55</v>
      </c>
      <c r="F280" s="18" t="n">
        <v>3385.22</v>
      </c>
      <c r="G280" s="19" t="str">
        <f aca="false">IF(N(B280)=0,"",TEXT(B280,"MM/YYYY"))</f>
        <v>07/2025</v>
      </c>
      <c r="H280" s="17" t="s">
        <v>108</v>
      </c>
    </row>
    <row r="281" customFormat="false" ht="15" hidden="false" customHeight="true" outlineLevel="0" collapsed="false">
      <c r="B281" s="15" t="n">
        <v>45839</v>
      </c>
      <c r="C281" s="16" t="s">
        <v>371</v>
      </c>
      <c r="D281" s="17" t="s">
        <v>107</v>
      </c>
      <c r="E281" s="16" t="s">
        <v>70</v>
      </c>
      <c r="F281" s="18" t="n">
        <v>500</v>
      </c>
      <c r="G281" s="19" t="str">
        <f aca="false">IF(N(B281)=0,"",TEXT(B281,"MM/YYYY"))</f>
        <v>07/2025</v>
      </c>
      <c r="H281" s="17" t="s">
        <v>108</v>
      </c>
    </row>
    <row r="282" customFormat="false" ht="15" hidden="false" customHeight="true" outlineLevel="0" collapsed="false">
      <c r="B282" s="15" t="n">
        <v>45839</v>
      </c>
      <c r="C282" s="16" t="s">
        <v>372</v>
      </c>
      <c r="D282" s="17" t="s">
        <v>107</v>
      </c>
      <c r="E282" s="16" t="s">
        <v>28</v>
      </c>
      <c r="F282" s="18" t="n">
        <v>16054</v>
      </c>
      <c r="G282" s="19" t="str">
        <f aca="false">IF(N(B282)=0,"",TEXT(B282,"MM/YYYY"))</f>
        <v>07/2025</v>
      </c>
      <c r="H282" s="17" t="s">
        <v>108</v>
      </c>
    </row>
    <row r="283" customFormat="false" ht="15" hidden="false" customHeight="true" outlineLevel="0" collapsed="false">
      <c r="B283" s="15" t="n">
        <v>45839</v>
      </c>
      <c r="C283" s="16" t="s">
        <v>373</v>
      </c>
      <c r="D283" s="17" t="s">
        <v>107</v>
      </c>
      <c r="E283" s="16" t="s">
        <v>44</v>
      </c>
      <c r="F283" s="18" t="n">
        <v>915</v>
      </c>
      <c r="G283" s="19" t="str">
        <f aca="false">IF(N(B283)=0,"",TEXT(B283,"MM/YYYY"))</f>
        <v>07/2025</v>
      </c>
      <c r="H283" s="17" t="s">
        <v>108</v>
      </c>
    </row>
    <row r="284" customFormat="false" ht="15" hidden="false" customHeight="true" outlineLevel="0" collapsed="false">
      <c r="B284" s="15" t="n">
        <v>45839</v>
      </c>
      <c r="C284" s="16" t="s">
        <v>374</v>
      </c>
      <c r="D284" s="17" t="s">
        <v>107</v>
      </c>
      <c r="E284" s="16" t="s">
        <v>46</v>
      </c>
      <c r="F284" s="18" t="n">
        <v>728</v>
      </c>
      <c r="G284" s="19" t="str">
        <f aca="false">IF(N(B284)=0,"",TEXT(B284,"MM/YYYY"))</f>
        <v>07/2025</v>
      </c>
      <c r="H284" s="17" t="s">
        <v>108</v>
      </c>
    </row>
    <row r="285" customFormat="false" ht="15" hidden="false" customHeight="true" outlineLevel="0" collapsed="false">
      <c r="B285" s="15" t="n">
        <v>45839</v>
      </c>
      <c r="C285" s="16" t="s">
        <v>375</v>
      </c>
      <c r="D285" s="17" t="s">
        <v>107</v>
      </c>
      <c r="E285" s="16" t="s">
        <v>57</v>
      </c>
      <c r="F285" s="18" t="n">
        <v>157.75</v>
      </c>
      <c r="G285" s="19" t="str">
        <f aca="false">IF(N(B285)=0,"",TEXT(B285,"MM/YYYY"))</f>
        <v>07/2025</v>
      </c>
      <c r="H285" s="17" t="s">
        <v>108</v>
      </c>
    </row>
    <row r="286" customFormat="false" ht="15" hidden="false" customHeight="true" outlineLevel="0" collapsed="false">
      <c r="B286" s="15" t="n">
        <v>45839</v>
      </c>
      <c r="C286" s="16" t="s">
        <v>376</v>
      </c>
      <c r="D286" s="17" t="s">
        <v>107</v>
      </c>
      <c r="E286" s="16" t="s">
        <v>67</v>
      </c>
      <c r="F286" s="18" t="n">
        <v>30</v>
      </c>
      <c r="G286" s="19" t="str">
        <f aca="false">IF(N(B286)=0,"",TEXT(B286,"MM/YYYY"))</f>
        <v>07/2025</v>
      </c>
      <c r="H286" s="17" t="s">
        <v>108</v>
      </c>
    </row>
    <row r="287" customFormat="false" ht="15" hidden="false" customHeight="true" outlineLevel="0" collapsed="false">
      <c r="B287" s="15" t="n">
        <v>45839</v>
      </c>
      <c r="C287" s="16" t="s">
        <v>377</v>
      </c>
      <c r="D287" s="17" t="s">
        <v>107</v>
      </c>
      <c r="E287" s="16" t="s">
        <v>32</v>
      </c>
      <c r="F287" s="18" t="n">
        <v>134.69</v>
      </c>
      <c r="G287" s="19" t="str">
        <f aca="false">IF(N(B287)=0,"",TEXT(B287,"MM/YYYY"))</f>
        <v>07/2025</v>
      </c>
      <c r="H287" s="17" t="s">
        <v>108</v>
      </c>
    </row>
    <row r="288" customFormat="false" ht="15" hidden="false" customHeight="true" outlineLevel="0" collapsed="false">
      <c r="B288" s="15" t="n">
        <v>45839</v>
      </c>
      <c r="C288" s="16" t="s">
        <v>378</v>
      </c>
      <c r="D288" s="17" t="s">
        <v>107</v>
      </c>
      <c r="E288" s="16" t="s">
        <v>56</v>
      </c>
      <c r="F288" s="18" t="n">
        <v>500</v>
      </c>
      <c r="G288" s="19" t="str">
        <f aca="false">IF(N(B288)=0,"",TEXT(B288,"MM/YYYY"))</f>
        <v>07/2025</v>
      </c>
      <c r="H288" s="17" t="s">
        <v>108</v>
      </c>
    </row>
    <row r="289" customFormat="false" ht="15" hidden="false" customHeight="true" outlineLevel="0" collapsed="false">
      <c r="B289" s="15" t="n">
        <v>45839</v>
      </c>
      <c r="C289" s="16" t="s">
        <v>379</v>
      </c>
      <c r="D289" s="17" t="s">
        <v>107</v>
      </c>
      <c r="E289" s="16" t="s">
        <v>50</v>
      </c>
      <c r="F289" s="18" t="n">
        <v>3941.68</v>
      </c>
      <c r="G289" s="19" t="str">
        <f aca="false">IF(N(B289)=0,"",TEXT(B289,"MM/YYYY"))</f>
        <v>07/2025</v>
      </c>
      <c r="H289" s="17" t="s">
        <v>108</v>
      </c>
    </row>
    <row r="290" customFormat="false" ht="15" hidden="false" customHeight="true" outlineLevel="0" collapsed="false">
      <c r="B290" s="15" t="n">
        <v>45839</v>
      </c>
      <c r="C290" s="16" t="s">
        <v>380</v>
      </c>
      <c r="D290" s="17" t="s">
        <v>107</v>
      </c>
      <c r="E290" s="16" t="s">
        <v>51</v>
      </c>
      <c r="F290" s="18" t="n">
        <v>37022.03</v>
      </c>
      <c r="G290" s="19" t="str">
        <f aca="false">IF(N(B290)=0,"",TEXT(B290,"MM/YYYY"))</f>
        <v>07/2025</v>
      </c>
      <c r="H290" s="17" t="s">
        <v>108</v>
      </c>
    </row>
    <row r="291" customFormat="false" ht="15" hidden="false" customHeight="true" outlineLevel="0" collapsed="false">
      <c r="B291" s="15" t="n">
        <v>45839</v>
      </c>
      <c r="C291" s="16" t="s">
        <v>381</v>
      </c>
      <c r="D291" s="17" t="s">
        <v>107</v>
      </c>
      <c r="E291" s="16" t="s">
        <v>62</v>
      </c>
      <c r="F291" s="18" t="n">
        <v>140</v>
      </c>
      <c r="G291" s="19" t="str">
        <f aca="false">IF(N(B291)=0,"",TEXT(B291,"MM/YYYY"))</f>
        <v>07/2025</v>
      </c>
      <c r="H291" s="17" t="s">
        <v>108</v>
      </c>
    </row>
    <row r="292" customFormat="false" ht="15" hidden="false" customHeight="true" outlineLevel="0" collapsed="false">
      <c r="B292" s="15" t="n">
        <v>45839</v>
      </c>
      <c r="C292" s="16" t="s">
        <v>382</v>
      </c>
      <c r="D292" s="17" t="s">
        <v>107</v>
      </c>
      <c r="E292" s="16" t="s">
        <v>64</v>
      </c>
      <c r="F292" s="18" t="n">
        <v>270.22</v>
      </c>
      <c r="G292" s="19" t="str">
        <f aca="false">IF(N(B292)=0,"",TEXT(B292,"MM/YYYY"))</f>
        <v>07/2025</v>
      </c>
      <c r="H292" s="17" t="s">
        <v>108</v>
      </c>
    </row>
    <row r="293" customFormat="false" ht="15" hidden="false" customHeight="true" outlineLevel="0" collapsed="false">
      <c r="B293" s="15"/>
      <c r="C293" s="16"/>
      <c r="D293" s="17"/>
      <c r="E293" s="16"/>
      <c r="F293" s="18"/>
      <c r="G293" s="19"/>
      <c r="H293" s="17"/>
    </row>
    <row r="294" customFormat="false" ht="15" hidden="false" customHeight="true" outlineLevel="0" collapsed="false">
      <c r="B294" s="15" t="n">
        <v>45839</v>
      </c>
      <c r="C294" s="16" t="s">
        <v>383</v>
      </c>
      <c r="D294" s="17" t="s">
        <v>107</v>
      </c>
      <c r="E294" s="16" t="s">
        <v>96</v>
      </c>
      <c r="F294" s="18" t="n">
        <v>144243.83</v>
      </c>
      <c r="G294" s="19" t="str">
        <f aca="false">IF(N(B294)=0,"",TEXT(B294,"MM/YYYY"))</f>
        <v>07/2025</v>
      </c>
      <c r="H294" s="17" t="s">
        <v>108</v>
      </c>
    </row>
    <row r="295" customFormat="false" ht="15" hidden="false" customHeight="true" outlineLevel="0" collapsed="false">
      <c r="B295" s="15" t="n">
        <v>45839</v>
      </c>
      <c r="C295" s="16" t="s">
        <v>384</v>
      </c>
      <c r="D295" s="17" t="s">
        <v>107</v>
      </c>
      <c r="E295" s="16" t="s">
        <v>26</v>
      </c>
      <c r="F295" s="18" t="n">
        <v>92401.52</v>
      </c>
      <c r="G295" s="19" t="str">
        <f aca="false">IF(N(B295)=0,"",TEXT(B295,"MM/YYYY"))</f>
        <v>07/2025</v>
      </c>
      <c r="H295" s="17" t="s">
        <v>108</v>
      </c>
    </row>
    <row r="296" customFormat="false" ht="15" hidden="false" customHeight="true" outlineLevel="0" collapsed="false">
      <c r="B296" s="15" t="n">
        <v>45839</v>
      </c>
      <c r="C296" s="16" t="s">
        <v>385</v>
      </c>
      <c r="D296" s="17" t="s">
        <v>107</v>
      </c>
      <c r="E296" s="16" t="s">
        <v>65</v>
      </c>
      <c r="F296" s="18" t="n">
        <v>132.72</v>
      </c>
      <c r="G296" s="19" t="str">
        <f aca="false">IF(N(B296)=0,"",TEXT(B296,"MM/YYYY"))</f>
        <v>07/2025</v>
      </c>
      <c r="H296" s="17" t="s">
        <v>108</v>
      </c>
    </row>
    <row r="297" customFormat="false" ht="15" hidden="false" customHeight="true" outlineLevel="0" collapsed="false">
      <c r="B297" s="15" t="n">
        <v>45839</v>
      </c>
      <c r="C297" s="16" t="s">
        <v>386</v>
      </c>
      <c r="D297" s="17" t="s">
        <v>107</v>
      </c>
      <c r="E297" s="16" t="s">
        <v>29</v>
      </c>
      <c r="F297" s="18" t="n">
        <v>7206</v>
      </c>
      <c r="G297" s="19" t="str">
        <f aca="false">IF(N(B297)=0,"",TEXT(B297,"MM/YYYY"))</f>
        <v>07/2025</v>
      </c>
      <c r="H297" s="17" t="s">
        <v>108</v>
      </c>
    </row>
    <row r="298" customFormat="false" ht="15" hidden="false" customHeight="true" outlineLevel="0" collapsed="false">
      <c r="B298" s="15" t="n">
        <v>45839</v>
      </c>
      <c r="C298" s="16" t="s">
        <v>387</v>
      </c>
      <c r="D298" s="17" t="s">
        <v>107</v>
      </c>
      <c r="E298" s="16" t="s">
        <v>49</v>
      </c>
      <c r="F298" s="18" t="n">
        <v>3160</v>
      </c>
      <c r="G298" s="19" t="str">
        <f aca="false">IF(N(B298)=0,"",TEXT(B298,"MM/YYYY"))</f>
        <v>07/2025</v>
      </c>
      <c r="H298" s="17" t="s">
        <v>108</v>
      </c>
    </row>
    <row r="299" customFormat="false" ht="15" hidden="false" customHeight="true" outlineLevel="0" collapsed="false">
      <c r="B299" s="15" t="n">
        <v>45839</v>
      </c>
      <c r="C299" s="16" t="s">
        <v>388</v>
      </c>
      <c r="D299" s="17" t="s">
        <v>107</v>
      </c>
      <c r="E299" s="16" t="s">
        <v>59</v>
      </c>
      <c r="F299" s="18" t="n">
        <v>3600</v>
      </c>
      <c r="G299" s="19" t="str">
        <f aca="false">IF(N(B299)=0,"",TEXT(B299,"MM/YYYY"))</f>
        <v>07/2025</v>
      </c>
      <c r="H299" s="17" t="s">
        <v>108</v>
      </c>
    </row>
    <row r="300" customFormat="false" ht="15" hidden="false" customHeight="true" outlineLevel="0" collapsed="false">
      <c r="B300" s="15" t="n">
        <v>45839</v>
      </c>
      <c r="C300" s="16" t="s">
        <v>389</v>
      </c>
      <c r="D300" s="17" t="s">
        <v>107</v>
      </c>
      <c r="E300" s="16" t="s">
        <v>54</v>
      </c>
      <c r="F300" s="18" t="n">
        <v>957</v>
      </c>
      <c r="G300" s="19" t="str">
        <f aca="false">IF(N(B300)=0,"",TEXT(B300,"MM/YYYY"))</f>
        <v>07/2025</v>
      </c>
      <c r="H300" s="17" t="s">
        <v>108</v>
      </c>
    </row>
    <row r="301" customFormat="false" ht="15" hidden="false" customHeight="true" outlineLevel="0" collapsed="false">
      <c r="B301" s="15" t="n">
        <v>45839</v>
      </c>
      <c r="C301" s="16" t="s">
        <v>390</v>
      </c>
      <c r="D301" s="17" t="s">
        <v>107</v>
      </c>
      <c r="E301" s="16" t="s">
        <v>69</v>
      </c>
      <c r="F301" s="18" t="n">
        <v>327</v>
      </c>
      <c r="G301" s="19" t="str">
        <f aca="false">IF(N(B301)=0,"",TEXT(B301,"MM/YYYY"))</f>
        <v>07/2025</v>
      </c>
      <c r="H301" s="17" t="s">
        <v>108</v>
      </c>
    </row>
    <row r="302" customFormat="false" ht="15" hidden="false" customHeight="true" outlineLevel="0" collapsed="false">
      <c r="B302" s="15" t="n">
        <v>45870</v>
      </c>
      <c r="C302" s="16" t="s">
        <v>391</v>
      </c>
      <c r="D302" s="17" t="s">
        <v>114</v>
      </c>
      <c r="E302" s="16" t="s">
        <v>22</v>
      </c>
      <c r="F302" s="18" t="n">
        <v>488467.9</v>
      </c>
      <c r="G302" s="19" t="str">
        <f aca="false">IF(N(B302)=0,"",TEXT(B302,"MM/YYYY"))</f>
        <v>08/2025</v>
      </c>
      <c r="H302" s="17" t="s">
        <v>108</v>
      </c>
    </row>
    <row r="303" customFormat="false" ht="15" hidden="false" customHeight="true" outlineLevel="0" collapsed="false">
      <c r="B303" s="15" t="n">
        <v>45870</v>
      </c>
      <c r="C303" s="16" t="s">
        <v>392</v>
      </c>
      <c r="D303" s="17" t="s">
        <v>107</v>
      </c>
      <c r="E303" s="16" t="s">
        <v>31</v>
      </c>
      <c r="F303" s="18" t="n">
        <v>24295.1</v>
      </c>
      <c r="G303" s="19" t="str">
        <f aca="false">IF(N(B303)=0,"",TEXT(B303,"MM/YYYY"))</f>
        <v>08/2025</v>
      </c>
      <c r="H303" s="17" t="s">
        <v>108</v>
      </c>
    </row>
    <row r="304" customFormat="false" ht="15" hidden="false" customHeight="true" outlineLevel="0" collapsed="false">
      <c r="B304" s="15" t="n">
        <v>45870</v>
      </c>
      <c r="C304" s="16" t="s">
        <v>393</v>
      </c>
      <c r="D304" s="17" t="s">
        <v>107</v>
      </c>
      <c r="E304" s="16" t="s">
        <v>71</v>
      </c>
      <c r="F304" s="18" t="n">
        <v>2906.98</v>
      </c>
      <c r="G304" s="19" t="str">
        <f aca="false">IF(N(B304)=0,"",TEXT(B304,"MM/YYYY"))</f>
        <v>08/2025</v>
      </c>
      <c r="H304" s="17" t="s">
        <v>108</v>
      </c>
    </row>
    <row r="305" customFormat="false" ht="15" hidden="false" customHeight="true" outlineLevel="0" collapsed="false">
      <c r="B305" s="15" t="n">
        <v>45870</v>
      </c>
      <c r="C305" s="16" t="s">
        <v>394</v>
      </c>
      <c r="D305" s="17" t="s">
        <v>107</v>
      </c>
      <c r="E305" s="16" t="s">
        <v>84</v>
      </c>
      <c r="F305" s="18" t="n">
        <v>1100</v>
      </c>
      <c r="G305" s="19" t="str">
        <f aca="false">IF(N(B305)=0,"",TEXT(B305,"MM/YYYY"))</f>
        <v>08/2025</v>
      </c>
      <c r="H305" s="17" t="s">
        <v>108</v>
      </c>
    </row>
    <row r="306" customFormat="false" ht="15" hidden="false" customHeight="true" outlineLevel="0" collapsed="false">
      <c r="B306" s="15" t="n">
        <v>45870</v>
      </c>
      <c r="C306" s="16" t="s">
        <v>395</v>
      </c>
      <c r="D306" s="17" t="s">
        <v>107</v>
      </c>
      <c r="E306" s="16" t="s">
        <v>45</v>
      </c>
      <c r="F306" s="18" t="n">
        <v>128.9</v>
      </c>
      <c r="G306" s="19" t="str">
        <f aca="false">IF(N(B306)=0,"",TEXT(B306,"MM/YYYY"))</f>
        <v>08/2025</v>
      </c>
      <c r="H306" s="17" t="s">
        <v>108</v>
      </c>
    </row>
    <row r="307" customFormat="false" ht="15" hidden="false" customHeight="true" outlineLevel="0" collapsed="false">
      <c r="B307" s="15" t="n">
        <v>45870</v>
      </c>
      <c r="C307" s="16" t="s">
        <v>396</v>
      </c>
      <c r="D307" s="17" t="s">
        <v>107</v>
      </c>
      <c r="E307" s="16" t="s">
        <v>52</v>
      </c>
      <c r="F307" s="18" t="n">
        <v>6582.13</v>
      </c>
      <c r="G307" s="19" t="str">
        <f aca="false">IF(N(B307)=0,"",TEXT(B307,"MM/YYYY"))</f>
        <v>08/2025</v>
      </c>
      <c r="H307" s="17" t="s">
        <v>108</v>
      </c>
    </row>
    <row r="308" customFormat="false" ht="15" hidden="false" customHeight="true" outlineLevel="0" collapsed="false">
      <c r="B308" s="15" t="n">
        <v>45870</v>
      </c>
      <c r="C308" s="16" t="s">
        <v>397</v>
      </c>
      <c r="D308" s="17" t="s">
        <v>107</v>
      </c>
      <c r="E308" s="16" t="s">
        <v>34</v>
      </c>
      <c r="F308" s="18" t="n">
        <v>12164.79</v>
      </c>
      <c r="G308" s="19" t="str">
        <f aca="false">IF(N(B308)=0,"",TEXT(B308,"MM/YYYY"))</f>
        <v>08/2025</v>
      </c>
      <c r="H308" s="17" t="s">
        <v>108</v>
      </c>
    </row>
    <row r="309" customFormat="false" ht="15" hidden="false" customHeight="true" outlineLevel="0" collapsed="false">
      <c r="B309" s="15" t="n">
        <v>45870</v>
      </c>
      <c r="C309" s="16" t="s">
        <v>398</v>
      </c>
      <c r="D309" s="17" t="s">
        <v>107</v>
      </c>
      <c r="E309" s="16" t="s">
        <v>38</v>
      </c>
      <c r="F309" s="18" t="n">
        <v>5765</v>
      </c>
      <c r="G309" s="19" t="str">
        <f aca="false">IF(N(B309)=0,"",TEXT(B309,"MM/YYYY"))</f>
        <v>08/2025</v>
      </c>
      <c r="H309" s="17" t="s">
        <v>108</v>
      </c>
    </row>
    <row r="310" customFormat="false" ht="15" hidden="false" customHeight="true" outlineLevel="0" collapsed="false">
      <c r="B310" s="15" t="n">
        <v>45870</v>
      </c>
      <c r="C310" s="16" t="s">
        <v>399</v>
      </c>
      <c r="D310" s="17" t="s">
        <v>107</v>
      </c>
      <c r="E310" s="16" t="s">
        <v>43</v>
      </c>
      <c r="F310" s="18" t="n">
        <v>1816.77</v>
      </c>
      <c r="G310" s="19" t="str">
        <f aca="false">IF(N(B310)=0,"",TEXT(B310,"MM/YYYY"))</f>
        <v>08/2025</v>
      </c>
      <c r="H310" s="17" t="s">
        <v>108</v>
      </c>
    </row>
    <row r="311" customFormat="false" ht="15" hidden="false" customHeight="true" outlineLevel="0" collapsed="false">
      <c r="B311" s="15"/>
      <c r="C311" s="16"/>
      <c r="D311" s="17"/>
      <c r="E311" s="16"/>
      <c r="F311" s="18"/>
      <c r="G311" s="19"/>
      <c r="H311" s="17"/>
    </row>
    <row r="312" customFormat="false" ht="15" hidden="false" customHeight="true" outlineLevel="0" collapsed="false">
      <c r="B312" s="15" t="n">
        <v>45870</v>
      </c>
      <c r="C312" s="16" t="s">
        <v>400</v>
      </c>
      <c r="D312" s="17" t="s">
        <v>107</v>
      </c>
      <c r="E312" s="16" t="s">
        <v>60</v>
      </c>
      <c r="F312" s="18" t="n">
        <v>327.05</v>
      </c>
      <c r="G312" s="19" t="str">
        <f aca="false">IF(N(B312)=0,"",TEXT(B312,"MM/YYYY"))</f>
        <v>08/2025</v>
      </c>
      <c r="H312" s="17" t="s">
        <v>108</v>
      </c>
    </row>
    <row r="313" customFormat="false" ht="15" hidden="false" customHeight="true" outlineLevel="0" collapsed="false">
      <c r="B313" s="15" t="n">
        <v>45870</v>
      </c>
      <c r="C313" s="16" t="s">
        <v>401</v>
      </c>
      <c r="D313" s="17" t="s">
        <v>107</v>
      </c>
      <c r="E313" s="16" t="s">
        <v>33</v>
      </c>
      <c r="F313" s="18" t="n">
        <v>2444</v>
      </c>
      <c r="G313" s="19" t="str">
        <f aca="false">IF(N(B313)=0,"",TEXT(B313,"MM/YYYY"))</f>
        <v>08/2025</v>
      </c>
      <c r="H313" s="17" t="s">
        <v>108</v>
      </c>
    </row>
    <row r="314" customFormat="false" ht="15" hidden="false" customHeight="true" outlineLevel="0" collapsed="false">
      <c r="B314" s="15" t="n">
        <v>45870</v>
      </c>
      <c r="C314" s="16" t="s">
        <v>402</v>
      </c>
      <c r="D314" s="17" t="s">
        <v>107</v>
      </c>
      <c r="E314" s="16" t="s">
        <v>42</v>
      </c>
      <c r="F314" s="18" t="n">
        <v>148.64</v>
      </c>
      <c r="G314" s="19" t="str">
        <f aca="false">IF(N(B314)=0,"",TEXT(B314,"MM/YYYY"))</f>
        <v>08/2025</v>
      </c>
      <c r="H314" s="17" t="s">
        <v>108</v>
      </c>
    </row>
    <row r="315" customFormat="false" ht="15" hidden="false" customHeight="true" outlineLevel="0" collapsed="false">
      <c r="B315" s="15" t="n">
        <v>45870</v>
      </c>
      <c r="C315" s="16" t="s">
        <v>403</v>
      </c>
      <c r="D315" s="17" t="s">
        <v>107</v>
      </c>
      <c r="E315" s="16" t="s">
        <v>53</v>
      </c>
      <c r="F315" s="18" t="n">
        <v>49.9</v>
      </c>
      <c r="G315" s="19" t="str">
        <f aca="false">IF(N(B315)=0,"",TEXT(B315,"MM/YYYY"))</f>
        <v>08/2025</v>
      </c>
      <c r="H315" s="17" t="s">
        <v>108</v>
      </c>
    </row>
    <row r="316" customFormat="false" ht="15" hidden="false" customHeight="true" outlineLevel="0" collapsed="false">
      <c r="B316" s="15" t="n">
        <v>45870</v>
      </c>
      <c r="C316" s="16" t="s">
        <v>404</v>
      </c>
      <c r="D316" s="17" t="s">
        <v>107</v>
      </c>
      <c r="E316" s="16" t="s">
        <v>75</v>
      </c>
      <c r="F316" s="18" t="n">
        <v>50.21</v>
      </c>
      <c r="G316" s="19" t="str">
        <f aca="false">IF(N(B316)=0,"",TEXT(B316,"MM/YYYY"))</f>
        <v>08/2025</v>
      </c>
      <c r="H316" s="17" t="s">
        <v>108</v>
      </c>
    </row>
    <row r="317" customFormat="false" ht="15" hidden="false" customHeight="true" outlineLevel="0" collapsed="false">
      <c r="B317" s="15" t="n">
        <v>45870</v>
      </c>
      <c r="C317" s="16" t="s">
        <v>405</v>
      </c>
      <c r="D317" s="17" t="s">
        <v>107</v>
      </c>
      <c r="E317" s="16" t="s">
        <v>58</v>
      </c>
      <c r="F317" s="18" t="n">
        <v>194097.01</v>
      </c>
      <c r="G317" s="19" t="str">
        <f aca="false">IF(N(B317)=0,"",TEXT(B317,"MM/YYYY"))</f>
        <v>08/2025</v>
      </c>
      <c r="H317" s="17" t="s">
        <v>108</v>
      </c>
    </row>
    <row r="318" customFormat="false" ht="15" hidden="false" customHeight="true" outlineLevel="0" collapsed="false">
      <c r="B318" s="15" t="n">
        <v>45870</v>
      </c>
      <c r="C318" s="16" t="s">
        <v>406</v>
      </c>
      <c r="D318" s="17" t="s">
        <v>107</v>
      </c>
      <c r="E318" s="16" t="s">
        <v>68</v>
      </c>
      <c r="F318" s="18" t="n">
        <v>112.52</v>
      </c>
      <c r="G318" s="19" t="str">
        <f aca="false">IF(N(B318)=0,"",TEXT(B318,"MM/YYYY"))</f>
        <v>08/2025</v>
      </c>
      <c r="H318" s="17" t="s">
        <v>108</v>
      </c>
    </row>
    <row r="319" customFormat="false" ht="15" hidden="false" customHeight="true" outlineLevel="0" collapsed="false">
      <c r="B319" s="15" t="n">
        <v>45870</v>
      </c>
      <c r="C319" s="16" t="s">
        <v>407</v>
      </c>
      <c r="D319" s="17" t="s">
        <v>107</v>
      </c>
      <c r="E319" s="16" t="s">
        <v>35</v>
      </c>
      <c r="F319" s="18" t="n">
        <v>7834.25</v>
      </c>
      <c r="G319" s="19" t="str">
        <f aca="false">IF(N(B319)=0,"",TEXT(B319,"MM/YYYY"))</f>
        <v>08/2025</v>
      </c>
      <c r="H319" s="17" t="s">
        <v>108</v>
      </c>
    </row>
    <row r="320" customFormat="false" ht="15" hidden="false" customHeight="true" outlineLevel="0" collapsed="false">
      <c r="B320" s="15" t="n">
        <v>45870</v>
      </c>
      <c r="C320" s="16" t="s">
        <v>408</v>
      </c>
      <c r="D320" s="17" t="s">
        <v>107</v>
      </c>
      <c r="E320" s="16" t="s">
        <v>30</v>
      </c>
      <c r="F320" s="18" t="n">
        <v>106743.5</v>
      </c>
      <c r="G320" s="19" t="str">
        <f aca="false">IF(N(B320)=0,"",TEXT(B320,"MM/YYYY"))</f>
        <v>08/2025</v>
      </c>
      <c r="H320" s="17" t="s">
        <v>108</v>
      </c>
    </row>
    <row r="321" customFormat="false" ht="15" hidden="false" customHeight="true" outlineLevel="0" collapsed="false">
      <c r="B321" s="15" t="n">
        <v>45870</v>
      </c>
      <c r="C321" s="16" t="s">
        <v>409</v>
      </c>
      <c r="D321" s="17" t="s">
        <v>107</v>
      </c>
      <c r="E321" s="16" t="s">
        <v>61</v>
      </c>
      <c r="F321" s="18" t="n">
        <v>6200.07</v>
      </c>
      <c r="G321" s="19" t="str">
        <f aca="false">IF(N(B321)=0,"",TEXT(B321,"MM/YYYY"))</f>
        <v>08/2025</v>
      </c>
      <c r="H321" s="17" t="s">
        <v>108</v>
      </c>
    </row>
    <row r="322" customFormat="false" ht="15" hidden="false" customHeight="true" outlineLevel="0" collapsed="false">
      <c r="B322" s="15" t="n">
        <v>45870</v>
      </c>
      <c r="C322" s="16" t="s">
        <v>410</v>
      </c>
      <c r="D322" s="17" t="s">
        <v>107</v>
      </c>
      <c r="E322" s="16" t="s">
        <v>70</v>
      </c>
      <c r="F322" s="18" t="n">
        <v>956</v>
      </c>
      <c r="G322" s="19" t="str">
        <f aca="false">IF(N(B322)=0,"",TEXT(B322,"MM/YYYY"))</f>
        <v>08/2025</v>
      </c>
      <c r="H322" s="17" t="s">
        <v>108</v>
      </c>
    </row>
    <row r="323" customFormat="false" ht="15" hidden="false" customHeight="true" outlineLevel="0" collapsed="false">
      <c r="B323" s="15" t="n">
        <v>45870</v>
      </c>
      <c r="C323" s="16" t="s">
        <v>411</v>
      </c>
      <c r="D323" s="17" t="s">
        <v>107</v>
      </c>
      <c r="E323" s="16" t="s">
        <v>28</v>
      </c>
      <c r="F323" s="18" t="n">
        <v>23689</v>
      </c>
      <c r="G323" s="19" t="str">
        <f aca="false">IF(N(B323)=0,"",TEXT(B323,"MM/YYYY"))</f>
        <v>08/2025</v>
      </c>
      <c r="H323" s="17" t="s">
        <v>108</v>
      </c>
    </row>
    <row r="324" customFormat="false" ht="15" hidden="false" customHeight="true" outlineLevel="0" collapsed="false">
      <c r="B324" s="15" t="n">
        <v>45870</v>
      </c>
      <c r="C324" s="16" t="s">
        <v>412</v>
      </c>
      <c r="D324" s="17" t="s">
        <v>107</v>
      </c>
      <c r="E324" s="16" t="s">
        <v>46</v>
      </c>
      <c r="F324" s="18" t="n">
        <v>750</v>
      </c>
      <c r="G324" s="19" t="str">
        <f aca="false">IF(N(B324)=0,"",TEXT(B324,"MM/YYYY"))</f>
        <v>08/2025</v>
      </c>
      <c r="H324" s="17" t="s">
        <v>108</v>
      </c>
    </row>
    <row r="325" customFormat="false" ht="15" hidden="false" customHeight="true" outlineLevel="0" collapsed="false">
      <c r="B325" s="15" t="n">
        <v>45870</v>
      </c>
      <c r="C325" s="16" t="s">
        <v>413</v>
      </c>
      <c r="D325" s="17" t="s">
        <v>107</v>
      </c>
      <c r="E325" s="16" t="s">
        <v>57</v>
      </c>
      <c r="F325" s="18" t="n">
        <v>468.09</v>
      </c>
      <c r="G325" s="19" t="str">
        <f aca="false">IF(N(B325)=0,"",TEXT(B325,"MM/YYYY"))</f>
        <v>08/2025</v>
      </c>
      <c r="H325" s="17" t="s">
        <v>108</v>
      </c>
    </row>
    <row r="326" customFormat="false" ht="15" hidden="false" customHeight="true" outlineLevel="0" collapsed="false">
      <c r="B326" s="15" t="n">
        <v>45870</v>
      </c>
      <c r="C326" s="16" t="s">
        <v>414</v>
      </c>
      <c r="D326" s="17" t="s">
        <v>107</v>
      </c>
      <c r="E326" s="16" t="s">
        <v>74</v>
      </c>
      <c r="F326" s="18" t="n">
        <v>578.78</v>
      </c>
      <c r="G326" s="19" t="str">
        <f aca="false">IF(N(B326)=0,"",TEXT(B326,"MM/YYYY"))</f>
        <v>08/2025</v>
      </c>
      <c r="H326" s="17" t="s">
        <v>108</v>
      </c>
    </row>
    <row r="327" customFormat="false" ht="15" hidden="false" customHeight="true" outlineLevel="0" collapsed="false">
      <c r="B327" s="15" t="n">
        <v>45870</v>
      </c>
      <c r="C327" s="16" t="s">
        <v>415</v>
      </c>
      <c r="D327" s="17" t="s">
        <v>107</v>
      </c>
      <c r="E327" s="16" t="s">
        <v>32</v>
      </c>
      <c r="F327" s="18" t="n">
        <v>167.65</v>
      </c>
      <c r="G327" s="19" t="str">
        <f aca="false">IF(N(B327)=0,"",TEXT(B327,"MM/YYYY"))</f>
        <v>08/2025</v>
      </c>
      <c r="H327" s="17" t="s">
        <v>108</v>
      </c>
    </row>
    <row r="328" customFormat="false" ht="15" hidden="false" customHeight="true" outlineLevel="0" collapsed="false">
      <c r="B328" s="15" t="n">
        <v>45870</v>
      </c>
      <c r="C328" s="16" t="s">
        <v>416</v>
      </c>
      <c r="D328" s="17" t="s">
        <v>107</v>
      </c>
      <c r="E328" s="16" t="s">
        <v>72</v>
      </c>
      <c r="F328" s="18" t="n">
        <v>200</v>
      </c>
      <c r="G328" s="19" t="str">
        <f aca="false">IF(N(B328)=0,"",TEXT(B328,"MM/YYYY"))</f>
        <v>08/2025</v>
      </c>
      <c r="H328" s="17" t="s">
        <v>108</v>
      </c>
    </row>
    <row r="329" customFormat="false" ht="15" hidden="false" customHeight="true" outlineLevel="0" collapsed="false">
      <c r="B329" s="15" t="n">
        <v>45870</v>
      </c>
      <c r="C329" s="16" t="s">
        <v>417</v>
      </c>
      <c r="D329" s="17" t="s">
        <v>107</v>
      </c>
      <c r="E329" s="16" t="s">
        <v>50</v>
      </c>
      <c r="F329" s="18" t="n">
        <v>7706</v>
      </c>
      <c r="G329" s="19" t="str">
        <f aca="false">IF(N(B329)=0,"",TEXT(B329,"MM/YYYY"))</f>
        <v>08/2025</v>
      </c>
      <c r="H329" s="17" t="s">
        <v>108</v>
      </c>
    </row>
    <row r="330" customFormat="false" ht="15" hidden="false" customHeight="true" outlineLevel="0" collapsed="false">
      <c r="B330" s="15" t="n">
        <v>45870</v>
      </c>
      <c r="C330" s="16" t="s">
        <v>418</v>
      </c>
      <c r="D330" s="17" t="s">
        <v>107</v>
      </c>
      <c r="E330" s="16" t="s">
        <v>51</v>
      </c>
      <c r="F330" s="18" t="n">
        <v>27259.41</v>
      </c>
      <c r="G330" s="19" t="str">
        <f aca="false">IF(N(B330)=0,"",TEXT(B330,"MM/YYYY"))</f>
        <v>08/2025</v>
      </c>
      <c r="H330" s="17" t="s">
        <v>108</v>
      </c>
    </row>
    <row r="331" customFormat="false" ht="15" hidden="false" customHeight="true" outlineLevel="0" collapsed="false">
      <c r="B331" s="15" t="n">
        <v>45870</v>
      </c>
      <c r="C331" s="16" t="s">
        <v>419</v>
      </c>
      <c r="D331" s="17" t="s">
        <v>107</v>
      </c>
      <c r="E331" s="16" t="s">
        <v>62</v>
      </c>
      <c r="F331" s="18" t="n">
        <v>140</v>
      </c>
      <c r="G331" s="19" t="str">
        <f aca="false">IF(N(B331)=0,"",TEXT(B331,"MM/YYYY"))</f>
        <v>08/2025</v>
      </c>
      <c r="H331" s="17" t="s">
        <v>108</v>
      </c>
    </row>
    <row r="332" customFormat="false" ht="15" hidden="false" customHeight="true" outlineLevel="0" collapsed="false">
      <c r="B332" s="15" t="n">
        <v>45870</v>
      </c>
      <c r="C332" s="16" t="s">
        <v>420</v>
      </c>
      <c r="D332" s="17" t="s">
        <v>107</v>
      </c>
      <c r="E332" s="16" t="s">
        <v>64</v>
      </c>
      <c r="F332" s="18" t="n">
        <v>269.82</v>
      </c>
      <c r="G332" s="19" t="str">
        <f aca="false">IF(N(B332)=0,"",TEXT(B332,"MM/YYYY"))</f>
        <v>08/2025</v>
      </c>
      <c r="H332" s="17" t="s">
        <v>108</v>
      </c>
    </row>
    <row r="333" customFormat="false" ht="15" hidden="false" customHeight="true" outlineLevel="0" collapsed="false">
      <c r="B333" s="15"/>
      <c r="C333" s="16"/>
      <c r="D333" s="17"/>
      <c r="E333" s="16"/>
      <c r="F333" s="18"/>
      <c r="G333" s="19"/>
      <c r="H333" s="17"/>
    </row>
    <row r="334" customFormat="false" ht="15" hidden="false" customHeight="true" outlineLevel="0" collapsed="false">
      <c r="B334" s="15" t="n">
        <v>45870</v>
      </c>
      <c r="C334" s="16" t="s">
        <v>421</v>
      </c>
      <c r="D334" s="17" t="s">
        <v>107</v>
      </c>
      <c r="E334" s="16" t="s">
        <v>96</v>
      </c>
      <c r="F334" s="18" t="n">
        <v>167716.06</v>
      </c>
      <c r="G334" s="19" t="str">
        <f aca="false">IF(N(B334)=0,"",TEXT(B334,"MM/YYYY"))</f>
        <v>08/2025</v>
      </c>
      <c r="H334" s="17" t="s">
        <v>108</v>
      </c>
    </row>
    <row r="335" customFormat="false" ht="15" hidden="false" customHeight="true" outlineLevel="0" collapsed="false">
      <c r="B335" s="15" t="n">
        <v>45870</v>
      </c>
      <c r="C335" s="16" t="s">
        <v>422</v>
      </c>
      <c r="D335" s="17" t="s">
        <v>107</v>
      </c>
      <c r="E335" s="16" t="s">
        <v>26</v>
      </c>
      <c r="F335" s="18" t="n">
        <v>78511.54</v>
      </c>
      <c r="G335" s="19" t="str">
        <f aca="false">IF(N(B335)=0,"",TEXT(B335,"MM/YYYY"))</f>
        <v>08/2025</v>
      </c>
      <c r="H335" s="17" t="s">
        <v>108</v>
      </c>
    </row>
    <row r="336" customFormat="false" ht="15" hidden="false" customHeight="true" outlineLevel="0" collapsed="false">
      <c r="B336" s="15" t="n">
        <v>45870</v>
      </c>
      <c r="C336" s="16" t="s">
        <v>423</v>
      </c>
      <c r="D336" s="17" t="s">
        <v>107</v>
      </c>
      <c r="E336" s="16" t="s">
        <v>65</v>
      </c>
      <c r="F336" s="18" t="n">
        <v>120</v>
      </c>
      <c r="G336" s="19" t="str">
        <f aca="false">IF(N(B336)=0,"",TEXT(B336,"MM/YYYY"))</f>
        <v>08/2025</v>
      </c>
      <c r="H336" s="17" t="s">
        <v>108</v>
      </c>
    </row>
    <row r="337" customFormat="false" ht="15" hidden="false" customHeight="true" outlineLevel="0" collapsed="false">
      <c r="B337" s="15" t="n">
        <v>45870</v>
      </c>
      <c r="C337" s="16" t="s">
        <v>424</v>
      </c>
      <c r="D337" s="17" t="s">
        <v>107</v>
      </c>
      <c r="E337" s="16" t="s">
        <v>29</v>
      </c>
      <c r="F337" s="18" t="n">
        <v>7346.6</v>
      </c>
      <c r="G337" s="19" t="str">
        <f aca="false">IF(N(B337)=0,"",TEXT(B337,"MM/YYYY"))</f>
        <v>08/2025</v>
      </c>
      <c r="H337" s="17" t="s">
        <v>108</v>
      </c>
    </row>
    <row r="338" customFormat="false" ht="15" hidden="false" customHeight="true" outlineLevel="0" collapsed="false">
      <c r="B338" s="15" t="n">
        <v>45870</v>
      </c>
      <c r="C338" s="16" t="s">
        <v>425</v>
      </c>
      <c r="D338" s="17" t="s">
        <v>107</v>
      </c>
      <c r="E338" s="16" t="s">
        <v>49</v>
      </c>
      <c r="F338" s="18" t="n">
        <v>3240</v>
      </c>
      <c r="G338" s="19" t="str">
        <f aca="false">IF(N(B338)=0,"",TEXT(B338,"MM/YYYY"))</f>
        <v>08/2025</v>
      </c>
      <c r="H338" s="17" t="s">
        <v>108</v>
      </c>
    </row>
    <row r="339" customFormat="false" ht="15" hidden="false" customHeight="true" outlineLevel="0" collapsed="false">
      <c r="B339" s="15" t="n">
        <v>45870</v>
      </c>
      <c r="C339" s="16" t="s">
        <v>426</v>
      </c>
      <c r="D339" s="17" t="s">
        <v>107</v>
      </c>
      <c r="E339" s="16" t="s">
        <v>59</v>
      </c>
      <c r="F339" s="18" t="n">
        <v>3450.01</v>
      </c>
      <c r="G339" s="19" t="str">
        <f aca="false">IF(N(B339)=0,"",TEXT(B339,"MM/YYYY"))</f>
        <v>08/2025</v>
      </c>
      <c r="H339" s="17" t="s">
        <v>108</v>
      </c>
    </row>
    <row r="340" customFormat="false" ht="15" hidden="false" customHeight="true" outlineLevel="0" collapsed="false">
      <c r="B340" s="15" t="n">
        <v>45870</v>
      </c>
      <c r="C340" s="16" t="s">
        <v>427</v>
      </c>
      <c r="D340" s="17" t="s">
        <v>107</v>
      </c>
      <c r="E340" s="16" t="s">
        <v>54</v>
      </c>
      <c r="F340" s="18" t="n">
        <v>957</v>
      </c>
      <c r="G340" s="19" t="str">
        <f aca="false">IF(N(B340)=0,"",TEXT(B340,"MM/YYYY"))</f>
        <v>08/2025</v>
      </c>
      <c r="H340" s="17" t="s">
        <v>108</v>
      </c>
    </row>
    <row r="341" customFormat="false" ht="15" hidden="false" customHeight="true" outlineLevel="0" collapsed="false">
      <c r="B341" s="15" t="n">
        <v>45901</v>
      </c>
      <c r="C341" s="16" t="s">
        <v>428</v>
      </c>
      <c r="D341" s="17" t="s">
        <v>114</v>
      </c>
      <c r="E341" s="16" t="s">
        <v>22</v>
      </c>
      <c r="F341" s="18" t="n">
        <v>494182.25</v>
      </c>
      <c r="G341" s="19" t="str">
        <f aca="false">IF(N(B341)=0,"",TEXT(B341,"MM/YYYY"))</f>
        <v>09/2025</v>
      </c>
      <c r="H341" s="17" t="s">
        <v>108</v>
      </c>
    </row>
    <row r="342" customFormat="false" ht="15" hidden="false" customHeight="true" outlineLevel="0" collapsed="false">
      <c r="B342" s="15" t="n">
        <v>45901</v>
      </c>
      <c r="C342" s="16" t="s">
        <v>429</v>
      </c>
      <c r="D342" s="17" t="s">
        <v>107</v>
      </c>
      <c r="E342" s="16" t="s">
        <v>31</v>
      </c>
      <c r="F342" s="18" t="n">
        <v>20419.5</v>
      </c>
      <c r="G342" s="19" t="str">
        <f aca="false">IF(N(B342)=0,"",TEXT(B342,"MM/YYYY"))</f>
        <v>09/2025</v>
      </c>
      <c r="H342" s="17" t="s">
        <v>108</v>
      </c>
    </row>
    <row r="343" customFormat="false" ht="15" hidden="false" customHeight="true" outlineLevel="0" collapsed="false">
      <c r="B343" s="15" t="n">
        <v>45901</v>
      </c>
      <c r="C343" s="16" t="s">
        <v>430</v>
      </c>
      <c r="D343" s="17" t="s">
        <v>107</v>
      </c>
      <c r="E343" s="16" t="s">
        <v>45</v>
      </c>
      <c r="F343" s="18" t="n">
        <v>128.16</v>
      </c>
      <c r="G343" s="19" t="str">
        <f aca="false">IF(N(B343)=0,"",TEXT(B343,"MM/YYYY"))</f>
        <v>09/2025</v>
      </c>
      <c r="H343" s="17" t="s">
        <v>108</v>
      </c>
    </row>
    <row r="344" customFormat="false" ht="15" hidden="false" customHeight="true" outlineLevel="0" collapsed="false">
      <c r="B344" s="15" t="n">
        <v>45901</v>
      </c>
      <c r="C344" s="16" t="s">
        <v>431</v>
      </c>
      <c r="D344" s="17" t="s">
        <v>107</v>
      </c>
      <c r="E344" s="16" t="s">
        <v>52</v>
      </c>
      <c r="F344" s="18" t="n">
        <v>5713.82</v>
      </c>
      <c r="G344" s="19" t="str">
        <f aca="false">IF(N(B344)=0,"",TEXT(B344,"MM/YYYY"))</f>
        <v>09/2025</v>
      </c>
      <c r="H344" s="17" t="s">
        <v>108</v>
      </c>
    </row>
    <row r="345" customFormat="false" ht="15" hidden="false" customHeight="true" outlineLevel="0" collapsed="false">
      <c r="B345" s="15" t="n">
        <v>45901</v>
      </c>
      <c r="C345" s="16" t="s">
        <v>432</v>
      </c>
      <c r="D345" s="17" t="s">
        <v>107</v>
      </c>
      <c r="E345" s="16" t="s">
        <v>34</v>
      </c>
      <c r="F345" s="18" t="n">
        <v>6445</v>
      </c>
      <c r="G345" s="19" t="str">
        <f aca="false">IF(N(B345)=0,"",TEXT(B345,"MM/YYYY"))</f>
        <v>09/2025</v>
      </c>
      <c r="H345" s="17" t="s">
        <v>108</v>
      </c>
    </row>
    <row r="346" customFormat="false" ht="15" hidden="false" customHeight="true" outlineLevel="0" collapsed="false">
      <c r="B346" s="15" t="n">
        <v>45901</v>
      </c>
      <c r="C346" s="16" t="s">
        <v>433</v>
      </c>
      <c r="D346" s="17" t="s">
        <v>107</v>
      </c>
      <c r="E346" s="16" t="s">
        <v>38</v>
      </c>
      <c r="F346" s="18" t="n">
        <v>3185</v>
      </c>
      <c r="G346" s="19" t="str">
        <f aca="false">IF(N(B346)=0,"",TEXT(B346,"MM/YYYY"))</f>
        <v>09/2025</v>
      </c>
      <c r="H346" s="17" t="s">
        <v>108</v>
      </c>
    </row>
    <row r="347" customFormat="false" ht="15" hidden="false" customHeight="true" outlineLevel="0" collapsed="false">
      <c r="B347" s="15" t="n">
        <v>45901</v>
      </c>
      <c r="C347" s="16" t="s">
        <v>434</v>
      </c>
      <c r="D347" s="17" t="s">
        <v>107</v>
      </c>
      <c r="E347" s="16" t="s">
        <v>43</v>
      </c>
      <c r="F347" s="18" t="n">
        <v>1158.4</v>
      </c>
      <c r="G347" s="19" t="str">
        <f aca="false">IF(N(B347)=0,"",TEXT(B347,"MM/YYYY"))</f>
        <v>09/2025</v>
      </c>
      <c r="H347" s="17" t="s">
        <v>108</v>
      </c>
    </row>
    <row r="348" customFormat="false" ht="15" hidden="false" customHeight="true" outlineLevel="0" collapsed="false">
      <c r="B348" s="15"/>
      <c r="C348" s="16"/>
      <c r="D348" s="17"/>
      <c r="E348" s="16"/>
      <c r="F348" s="18"/>
      <c r="G348" s="19"/>
      <c r="H348" s="17"/>
    </row>
    <row r="349" customFormat="false" ht="15" hidden="false" customHeight="true" outlineLevel="0" collapsed="false">
      <c r="B349" s="15"/>
      <c r="C349" s="16"/>
      <c r="D349" s="17"/>
      <c r="E349" s="16"/>
      <c r="F349" s="18"/>
      <c r="G349" s="19"/>
      <c r="H349" s="17"/>
    </row>
    <row r="350" customFormat="false" ht="15" hidden="false" customHeight="true" outlineLevel="0" collapsed="false">
      <c r="B350" s="15" t="n">
        <v>45901</v>
      </c>
      <c r="C350" s="16" t="s">
        <v>435</v>
      </c>
      <c r="D350" s="17" t="s">
        <v>107</v>
      </c>
      <c r="E350" s="16" t="s">
        <v>60</v>
      </c>
      <c r="F350" s="18" t="n">
        <v>328.05</v>
      </c>
      <c r="G350" s="19" t="str">
        <f aca="false">IF(N(B350)=0,"",TEXT(B350,"MM/YYYY"))</f>
        <v>09/2025</v>
      </c>
      <c r="H350" s="17" t="s">
        <v>108</v>
      </c>
    </row>
    <row r="351" customFormat="false" ht="15" hidden="false" customHeight="true" outlineLevel="0" collapsed="false">
      <c r="B351" s="15" t="n">
        <v>45901</v>
      </c>
      <c r="C351" s="16" t="s">
        <v>436</v>
      </c>
      <c r="D351" s="17" t="s">
        <v>107</v>
      </c>
      <c r="E351" s="16" t="s">
        <v>33</v>
      </c>
      <c r="F351" s="18" t="n">
        <v>5360</v>
      </c>
      <c r="G351" s="19" t="str">
        <f aca="false">IF(N(B351)=0,"",TEXT(B351,"MM/YYYY"))</f>
        <v>09/2025</v>
      </c>
      <c r="H351" s="17" t="s">
        <v>108</v>
      </c>
    </row>
    <row r="352" customFormat="false" ht="15" hidden="false" customHeight="true" outlineLevel="0" collapsed="false">
      <c r="B352" s="15" t="n">
        <v>45901</v>
      </c>
      <c r="C352" s="16" t="s">
        <v>437</v>
      </c>
      <c r="D352" s="17" t="s">
        <v>107</v>
      </c>
      <c r="E352" s="16" t="s">
        <v>42</v>
      </c>
      <c r="F352" s="18" t="n">
        <v>4655.22</v>
      </c>
      <c r="G352" s="19" t="str">
        <f aca="false">IF(N(B352)=0,"",TEXT(B352,"MM/YYYY"))</f>
        <v>09/2025</v>
      </c>
      <c r="H352" s="17" t="s">
        <v>108</v>
      </c>
    </row>
    <row r="353" customFormat="false" ht="15" hidden="false" customHeight="true" outlineLevel="0" collapsed="false">
      <c r="B353" s="15" t="n">
        <v>45901</v>
      </c>
      <c r="C353" s="16" t="s">
        <v>438</v>
      </c>
      <c r="D353" s="17" t="s">
        <v>107</v>
      </c>
      <c r="E353" s="16" t="s">
        <v>53</v>
      </c>
      <c r="F353" s="18" t="n">
        <v>49.9</v>
      </c>
      <c r="G353" s="19" t="str">
        <f aca="false">IF(N(B353)=0,"",TEXT(B353,"MM/YYYY"))</f>
        <v>09/2025</v>
      </c>
      <c r="H353" s="17" t="s">
        <v>108</v>
      </c>
    </row>
    <row r="354" customFormat="false" ht="15" hidden="false" customHeight="true" outlineLevel="0" collapsed="false">
      <c r="B354" s="15" t="n">
        <v>45901</v>
      </c>
      <c r="C354" s="16" t="s">
        <v>439</v>
      </c>
      <c r="D354" s="17" t="s">
        <v>107</v>
      </c>
      <c r="E354" s="16" t="s">
        <v>37</v>
      </c>
      <c r="F354" s="18" t="n">
        <v>640</v>
      </c>
      <c r="G354" s="19" t="str">
        <f aca="false">IF(N(B354)=0,"",TEXT(B354,"MM/YYYY"))</f>
        <v>09/2025</v>
      </c>
      <c r="H354" s="17" t="s">
        <v>108</v>
      </c>
    </row>
    <row r="355" customFormat="false" ht="15" hidden="false" customHeight="true" outlineLevel="0" collapsed="false">
      <c r="B355" s="15" t="n">
        <v>45901</v>
      </c>
      <c r="C355" s="16" t="s">
        <v>440</v>
      </c>
      <c r="D355" s="17" t="s">
        <v>107</v>
      </c>
      <c r="E355" s="16" t="s">
        <v>58</v>
      </c>
      <c r="F355" s="18" t="n">
        <v>198397.34</v>
      </c>
      <c r="G355" s="19" t="str">
        <f aca="false">IF(N(B355)=0,"",TEXT(B355,"MM/YYYY"))</f>
        <v>09/2025</v>
      </c>
      <c r="H355" s="17" t="s">
        <v>108</v>
      </c>
    </row>
    <row r="356" customFormat="false" ht="15" hidden="false" customHeight="true" outlineLevel="0" collapsed="false">
      <c r="B356" s="15" t="n">
        <v>45901</v>
      </c>
      <c r="C356" s="16" t="s">
        <v>441</v>
      </c>
      <c r="D356" s="17" t="s">
        <v>107</v>
      </c>
      <c r="E356" s="16" t="s">
        <v>35</v>
      </c>
      <c r="F356" s="18" t="n">
        <v>3627.3</v>
      </c>
      <c r="G356" s="19" t="str">
        <f aca="false">IF(N(B356)=0,"",TEXT(B356,"MM/YYYY"))</f>
        <v>09/2025</v>
      </c>
      <c r="H356" s="17" t="s">
        <v>108</v>
      </c>
    </row>
    <row r="357" customFormat="false" ht="15" hidden="false" customHeight="true" outlineLevel="0" collapsed="false">
      <c r="B357" s="15" t="n">
        <v>45901</v>
      </c>
      <c r="C357" s="16" t="s">
        <v>442</v>
      </c>
      <c r="D357" s="17" t="s">
        <v>107</v>
      </c>
      <c r="E357" s="16" t="s">
        <v>48</v>
      </c>
      <c r="F357" s="18" t="n">
        <v>30</v>
      </c>
      <c r="G357" s="19" t="str">
        <f aca="false">IF(N(B357)=0,"",TEXT(B357,"MM/YYYY"))</f>
        <v>09/2025</v>
      </c>
      <c r="H357" s="17" t="s">
        <v>108</v>
      </c>
    </row>
    <row r="358" customFormat="false" ht="15" hidden="false" customHeight="true" outlineLevel="0" collapsed="false">
      <c r="B358" s="15" t="n">
        <v>45901</v>
      </c>
      <c r="C358" s="16" t="s">
        <v>443</v>
      </c>
      <c r="D358" s="17" t="s">
        <v>107</v>
      </c>
      <c r="E358" s="16" t="s">
        <v>30</v>
      </c>
      <c r="F358" s="18" t="n">
        <v>87423.5</v>
      </c>
      <c r="G358" s="19" t="str">
        <f aca="false">IF(N(B358)=0,"",TEXT(B358,"MM/YYYY"))</f>
        <v>09/2025</v>
      </c>
      <c r="H358" s="17" t="s">
        <v>108</v>
      </c>
    </row>
    <row r="359" customFormat="false" ht="15" hidden="false" customHeight="true" outlineLevel="0" collapsed="false">
      <c r="B359" s="15" t="n">
        <v>45901</v>
      </c>
      <c r="C359" s="16" t="s">
        <v>444</v>
      </c>
      <c r="D359" s="17" t="s">
        <v>107</v>
      </c>
      <c r="E359" s="16" t="s">
        <v>61</v>
      </c>
      <c r="F359" s="18" t="n">
        <v>8254.24</v>
      </c>
      <c r="G359" s="19" t="str">
        <f aca="false">IF(N(B359)=0,"",TEXT(B359,"MM/YYYY"))</f>
        <v>09/2025</v>
      </c>
      <c r="H359" s="17" t="s">
        <v>108</v>
      </c>
    </row>
    <row r="360" customFormat="false" ht="15" hidden="false" customHeight="true" outlineLevel="0" collapsed="false">
      <c r="B360" s="15" t="n">
        <v>45901</v>
      </c>
      <c r="C360" s="16" t="s">
        <v>445</v>
      </c>
      <c r="D360" s="17" t="s">
        <v>107</v>
      </c>
      <c r="E360" s="16" t="s">
        <v>70</v>
      </c>
      <c r="F360" s="18" t="n">
        <v>2955</v>
      </c>
      <c r="G360" s="19" t="str">
        <f aca="false">IF(N(B360)=0,"",TEXT(B360,"MM/YYYY"))</f>
        <v>09/2025</v>
      </c>
      <c r="H360" s="17" t="s">
        <v>108</v>
      </c>
    </row>
    <row r="361" customFormat="false" ht="15" hidden="false" customHeight="true" outlineLevel="0" collapsed="false">
      <c r="B361" s="15" t="n">
        <v>45901</v>
      </c>
      <c r="C361" s="16" t="s">
        <v>446</v>
      </c>
      <c r="D361" s="17" t="s">
        <v>107</v>
      </c>
      <c r="E361" s="16" t="s">
        <v>28</v>
      </c>
      <c r="F361" s="18" t="n">
        <v>33667</v>
      </c>
      <c r="G361" s="19" t="str">
        <f aca="false">IF(N(B361)=0,"",TEXT(B361,"MM/YYYY"))</f>
        <v>09/2025</v>
      </c>
      <c r="H361" s="17" t="s">
        <v>108</v>
      </c>
    </row>
    <row r="362" customFormat="false" ht="15" hidden="false" customHeight="true" outlineLevel="0" collapsed="false">
      <c r="B362" s="15" t="n">
        <v>45901</v>
      </c>
      <c r="C362" s="16" t="s">
        <v>447</v>
      </c>
      <c r="D362" s="17" t="s">
        <v>107</v>
      </c>
      <c r="E362" s="16" t="s">
        <v>46</v>
      </c>
      <c r="F362" s="18" t="n">
        <v>302</v>
      </c>
      <c r="G362" s="19" t="str">
        <f aca="false">IF(N(B362)=0,"",TEXT(B362,"MM/YYYY"))</f>
        <v>09/2025</v>
      </c>
      <c r="H362" s="17" t="s">
        <v>108</v>
      </c>
    </row>
    <row r="363" customFormat="false" ht="15" hidden="false" customHeight="true" outlineLevel="0" collapsed="false">
      <c r="B363" s="15" t="n">
        <v>45901</v>
      </c>
      <c r="C363" s="16" t="s">
        <v>448</v>
      </c>
      <c r="D363" s="17" t="s">
        <v>107</v>
      </c>
      <c r="E363" s="16" t="s">
        <v>74</v>
      </c>
      <c r="F363" s="18" t="n">
        <v>319.92</v>
      </c>
      <c r="G363" s="19" t="str">
        <f aca="false">IF(N(B363)=0,"",TEXT(B363,"MM/YYYY"))</f>
        <v>09/2025</v>
      </c>
      <c r="H363" s="17" t="s">
        <v>108</v>
      </c>
    </row>
    <row r="364" customFormat="false" ht="15" hidden="false" customHeight="true" outlineLevel="0" collapsed="false">
      <c r="B364" s="15" t="n">
        <v>45901</v>
      </c>
      <c r="C364" s="16" t="s">
        <v>449</v>
      </c>
      <c r="D364" s="17" t="s">
        <v>107</v>
      </c>
      <c r="E364" s="16" t="s">
        <v>67</v>
      </c>
      <c r="F364" s="18" t="n">
        <v>29.79</v>
      </c>
      <c r="G364" s="19" t="str">
        <f aca="false">IF(N(B364)=0,"",TEXT(B364,"MM/YYYY"))</f>
        <v>09/2025</v>
      </c>
      <c r="H364" s="17" t="s">
        <v>108</v>
      </c>
    </row>
    <row r="365" customFormat="false" ht="15" hidden="false" customHeight="true" outlineLevel="0" collapsed="false">
      <c r="B365" s="15" t="n">
        <v>45901</v>
      </c>
      <c r="C365" s="16" t="s">
        <v>450</v>
      </c>
      <c r="D365" s="17" t="s">
        <v>107</v>
      </c>
      <c r="E365" s="16" t="s">
        <v>50</v>
      </c>
      <c r="F365" s="18" t="n">
        <v>2520</v>
      </c>
      <c r="G365" s="19" t="str">
        <f aca="false">IF(N(B365)=0,"",TEXT(B365,"MM/YYYY"))</f>
        <v>09/2025</v>
      </c>
      <c r="H365" s="17" t="s">
        <v>108</v>
      </c>
    </row>
    <row r="366" customFormat="false" ht="15" hidden="false" customHeight="true" outlineLevel="0" collapsed="false">
      <c r="B366" s="15" t="n">
        <v>45901</v>
      </c>
      <c r="C366" s="16" t="s">
        <v>451</v>
      </c>
      <c r="D366" s="17" t="s">
        <v>107</v>
      </c>
      <c r="E366" s="16" t="s">
        <v>51</v>
      </c>
      <c r="F366" s="18" t="n">
        <v>25627.32</v>
      </c>
      <c r="G366" s="19" t="str">
        <f aca="false">IF(N(B366)=0,"",TEXT(B366,"MM/YYYY"))</f>
        <v>09/2025</v>
      </c>
      <c r="H366" s="17" t="s">
        <v>108</v>
      </c>
    </row>
    <row r="367" customFormat="false" ht="15" hidden="false" customHeight="true" outlineLevel="0" collapsed="false">
      <c r="B367" s="15" t="n">
        <v>45901</v>
      </c>
      <c r="C367" s="16" t="s">
        <v>452</v>
      </c>
      <c r="D367" s="17" t="s">
        <v>107</v>
      </c>
      <c r="E367" s="16" t="s">
        <v>62</v>
      </c>
      <c r="F367" s="18" t="n">
        <v>140</v>
      </c>
      <c r="G367" s="19" t="str">
        <f aca="false">IF(N(B367)=0,"",TEXT(B367,"MM/YYYY"))</f>
        <v>09/2025</v>
      </c>
      <c r="H367" s="17" t="s">
        <v>108</v>
      </c>
    </row>
    <row r="368" customFormat="false" ht="15" hidden="false" customHeight="true" outlineLevel="0" collapsed="false">
      <c r="B368" s="15" t="n">
        <v>45901</v>
      </c>
      <c r="C368" s="16" t="s">
        <v>453</v>
      </c>
      <c r="D368" s="17" t="s">
        <v>107</v>
      </c>
      <c r="E368" s="16" t="s">
        <v>64</v>
      </c>
      <c r="F368" s="18" t="n">
        <v>269.82</v>
      </c>
      <c r="G368" s="19" t="str">
        <f aca="false">IF(N(B368)=0,"",TEXT(B368,"MM/YYYY"))</f>
        <v>09/2025</v>
      </c>
      <c r="H368" s="17" t="s">
        <v>108</v>
      </c>
    </row>
    <row r="369" customFormat="false" ht="15" hidden="false" customHeight="true" outlineLevel="0" collapsed="false">
      <c r="B369" s="15"/>
      <c r="C369" s="16"/>
      <c r="D369" s="17"/>
      <c r="E369" s="16"/>
      <c r="F369" s="18"/>
      <c r="G369" s="19"/>
      <c r="H369" s="17"/>
    </row>
    <row r="370" customFormat="false" ht="15" hidden="false" customHeight="true" outlineLevel="0" collapsed="false">
      <c r="B370" s="15" t="n">
        <v>45901</v>
      </c>
      <c r="C370" s="16" t="s">
        <v>454</v>
      </c>
      <c r="D370" s="17" t="s">
        <v>107</v>
      </c>
      <c r="E370" s="16" t="s">
        <v>96</v>
      </c>
      <c r="F370" s="18" t="n">
        <v>227493.57</v>
      </c>
      <c r="G370" s="19" t="str">
        <f aca="false">IF(N(B370)=0,"",TEXT(B370,"MM/YYYY"))</f>
        <v>09/2025</v>
      </c>
      <c r="H370" s="17" t="s">
        <v>108</v>
      </c>
    </row>
    <row r="371" customFormat="false" ht="15" hidden="false" customHeight="true" outlineLevel="0" collapsed="false">
      <c r="B371" s="15" t="n">
        <v>45901</v>
      </c>
      <c r="C371" s="16" t="s">
        <v>455</v>
      </c>
      <c r="D371" s="17" t="s">
        <v>107</v>
      </c>
      <c r="E371" s="16" t="s">
        <v>77</v>
      </c>
      <c r="F371" s="18" t="n">
        <v>6650</v>
      </c>
      <c r="G371" s="19" t="str">
        <f aca="false">IF(N(B371)=0,"",TEXT(B371,"MM/YYYY"))</f>
        <v>09/2025</v>
      </c>
      <c r="H371" s="17" t="s">
        <v>108</v>
      </c>
    </row>
    <row r="372" customFormat="false" ht="15" hidden="false" customHeight="true" outlineLevel="0" collapsed="false">
      <c r="B372" s="15" t="n">
        <v>45901</v>
      </c>
      <c r="C372" s="16" t="s">
        <v>456</v>
      </c>
      <c r="D372" s="17" t="s">
        <v>107</v>
      </c>
      <c r="E372" s="16" t="s">
        <v>26</v>
      </c>
      <c r="F372" s="18" t="n">
        <v>80408.16</v>
      </c>
      <c r="G372" s="19" t="str">
        <f aca="false">IF(N(B372)=0,"",TEXT(B372,"MM/YYYY"))</f>
        <v>09/2025</v>
      </c>
      <c r="H372" s="17" t="s">
        <v>108</v>
      </c>
    </row>
    <row r="373" customFormat="false" ht="15" hidden="false" customHeight="true" outlineLevel="0" collapsed="false">
      <c r="B373" s="15" t="n">
        <v>45901</v>
      </c>
      <c r="C373" s="16" t="s">
        <v>457</v>
      </c>
      <c r="D373" s="17" t="s">
        <v>107</v>
      </c>
      <c r="E373" s="16" t="s">
        <v>65</v>
      </c>
      <c r="F373" s="18" t="n">
        <v>256.67</v>
      </c>
      <c r="G373" s="19" t="str">
        <f aca="false">IF(N(B373)=0,"",TEXT(B373,"MM/YYYY"))</f>
        <v>09/2025</v>
      </c>
      <c r="H373" s="17" t="s">
        <v>108</v>
      </c>
    </row>
    <row r="374" customFormat="false" ht="15" hidden="false" customHeight="true" outlineLevel="0" collapsed="false">
      <c r="B374" s="15" t="n">
        <v>45901</v>
      </c>
      <c r="C374" s="16" t="s">
        <v>458</v>
      </c>
      <c r="D374" s="17" t="s">
        <v>107</v>
      </c>
      <c r="E374" s="16" t="s">
        <v>78</v>
      </c>
      <c r="F374" s="18" t="n">
        <v>60</v>
      </c>
      <c r="G374" s="19" t="str">
        <f aca="false">IF(N(B374)=0,"",TEXT(B374,"MM/YYYY"))</f>
        <v>09/2025</v>
      </c>
      <c r="H374" s="17" t="s">
        <v>108</v>
      </c>
    </row>
    <row r="375" customFormat="false" ht="15" hidden="false" customHeight="true" outlineLevel="0" collapsed="false">
      <c r="B375" s="15" t="n">
        <v>45901</v>
      </c>
      <c r="C375" s="16" t="s">
        <v>459</v>
      </c>
      <c r="D375" s="17" t="s">
        <v>107</v>
      </c>
      <c r="E375" s="16" t="s">
        <v>29</v>
      </c>
      <c r="F375" s="18" t="n">
        <v>7889.9</v>
      </c>
      <c r="G375" s="19" t="str">
        <f aca="false">IF(N(B375)=0,"",TEXT(B375,"MM/YYYY"))</f>
        <v>09/2025</v>
      </c>
      <c r="H375" s="17" t="s">
        <v>108</v>
      </c>
    </row>
    <row r="376" customFormat="false" ht="15" hidden="false" customHeight="true" outlineLevel="0" collapsed="false">
      <c r="B376" s="15" t="n">
        <v>45901</v>
      </c>
      <c r="C376" s="16" t="s">
        <v>460</v>
      </c>
      <c r="D376" s="17" t="s">
        <v>107</v>
      </c>
      <c r="E376" s="16" t="s">
        <v>59</v>
      </c>
      <c r="F376" s="18" t="n">
        <v>3450</v>
      </c>
      <c r="G376" s="19" t="str">
        <f aca="false">IF(N(B376)=0,"",TEXT(B376,"MM/YYYY"))</f>
        <v>09/2025</v>
      </c>
      <c r="H376" s="17" t="s">
        <v>108</v>
      </c>
    </row>
    <row r="377" customFormat="false" ht="15" hidden="false" customHeight="true" outlineLevel="0" collapsed="false">
      <c r="B377" s="15" t="n">
        <v>45901</v>
      </c>
      <c r="C377" s="16" t="s">
        <v>461</v>
      </c>
      <c r="D377" s="17" t="s">
        <v>107</v>
      </c>
      <c r="E377" s="16" t="s">
        <v>79</v>
      </c>
      <c r="F377" s="18" t="n">
        <v>220.95</v>
      </c>
      <c r="G377" s="19" t="str">
        <f aca="false">IF(N(B377)=0,"",TEXT(B377,"MM/YYYY"))</f>
        <v>09/2025</v>
      </c>
      <c r="H377" s="17" t="s">
        <v>108</v>
      </c>
    </row>
    <row r="378" customFormat="false" ht="15" hidden="false" customHeight="true" outlineLevel="0" collapsed="false">
      <c r="B378" s="15" t="n">
        <v>45901</v>
      </c>
      <c r="C378" s="16" t="s">
        <v>462</v>
      </c>
      <c r="D378" s="17" t="s">
        <v>107</v>
      </c>
      <c r="E378" s="16" t="s">
        <v>54</v>
      </c>
      <c r="F378" s="18" t="n">
        <v>957</v>
      </c>
      <c r="G378" s="19" t="str">
        <f aca="false">IF(N(B378)=0,"",TEXT(B378,"MM/YYYY"))</f>
        <v>09/2025</v>
      </c>
      <c r="H378" s="17" t="s">
        <v>108</v>
      </c>
    </row>
    <row r="379" customFormat="false" ht="15" hidden="false" customHeight="true" outlineLevel="0" collapsed="false">
      <c r="B379" s="15" t="n">
        <v>45931</v>
      </c>
      <c r="C379" s="16" t="s">
        <v>463</v>
      </c>
      <c r="D379" s="17" t="s">
        <v>114</v>
      </c>
      <c r="E379" s="16" t="s">
        <v>22</v>
      </c>
      <c r="F379" s="18" t="n">
        <v>549870.59</v>
      </c>
      <c r="G379" s="19" t="str">
        <f aca="false">IF(N(B379)=0,"",TEXT(B379,"MM/YYYY"))</f>
        <v>10/2025</v>
      </c>
      <c r="H379" s="17" t="s">
        <v>108</v>
      </c>
    </row>
    <row r="380" customFormat="false" ht="15" hidden="false" customHeight="true" outlineLevel="0" collapsed="false">
      <c r="B380" s="15" t="n">
        <v>45931</v>
      </c>
      <c r="C380" s="16" t="s">
        <v>464</v>
      </c>
      <c r="D380" s="17" t="s">
        <v>107</v>
      </c>
      <c r="E380" s="16" t="s">
        <v>31</v>
      </c>
      <c r="F380" s="18" t="n">
        <v>17322.1</v>
      </c>
      <c r="G380" s="19" t="str">
        <f aca="false">IF(N(B380)=0,"",TEXT(B380,"MM/YYYY"))</f>
        <v>10/2025</v>
      </c>
      <c r="H380" s="17" t="s">
        <v>108</v>
      </c>
    </row>
    <row r="381" customFormat="false" ht="15" hidden="false" customHeight="true" outlineLevel="0" collapsed="false">
      <c r="B381" s="15" t="n">
        <v>45931</v>
      </c>
      <c r="C381" s="16" t="s">
        <v>465</v>
      </c>
      <c r="D381" s="17" t="s">
        <v>107</v>
      </c>
      <c r="E381" s="16" t="s">
        <v>84</v>
      </c>
      <c r="F381" s="18" t="n">
        <v>1100</v>
      </c>
      <c r="G381" s="19" t="str">
        <f aca="false">IF(N(B381)=0,"",TEXT(B381,"MM/YYYY"))</f>
        <v>10/2025</v>
      </c>
      <c r="H381" s="17" t="s">
        <v>108</v>
      </c>
    </row>
    <row r="382" customFormat="false" ht="15" hidden="false" customHeight="true" outlineLevel="0" collapsed="false">
      <c r="B382" s="15" t="n">
        <v>45931</v>
      </c>
      <c r="C382" s="16" t="s">
        <v>466</v>
      </c>
      <c r="D382" s="17" t="s">
        <v>107</v>
      </c>
      <c r="E382" s="16" t="s">
        <v>45</v>
      </c>
      <c r="F382" s="18" t="n">
        <v>92.9</v>
      </c>
      <c r="G382" s="19" t="str">
        <f aca="false">IF(N(B382)=0,"",TEXT(B382,"MM/YYYY"))</f>
        <v>10/2025</v>
      </c>
      <c r="H382" s="17" t="s">
        <v>108</v>
      </c>
    </row>
    <row r="383" customFormat="false" ht="15" hidden="false" customHeight="true" outlineLevel="0" collapsed="false">
      <c r="B383" s="15" t="n">
        <v>45931</v>
      </c>
      <c r="C383" s="16" t="s">
        <v>467</v>
      </c>
      <c r="D383" s="17" t="s">
        <v>107</v>
      </c>
      <c r="E383" s="16" t="s">
        <v>52</v>
      </c>
      <c r="F383" s="18" t="n">
        <v>10116.52</v>
      </c>
      <c r="G383" s="19" t="str">
        <f aca="false">IF(N(B383)=0,"",TEXT(B383,"MM/YYYY"))</f>
        <v>10/2025</v>
      </c>
      <c r="H383" s="17" t="s">
        <v>108</v>
      </c>
    </row>
    <row r="384" customFormat="false" ht="15" hidden="false" customHeight="true" outlineLevel="0" collapsed="false">
      <c r="B384" s="15" t="n">
        <v>45931</v>
      </c>
      <c r="C384" s="16" t="s">
        <v>468</v>
      </c>
      <c r="D384" s="17" t="s">
        <v>107</v>
      </c>
      <c r="E384" s="16" t="s">
        <v>81</v>
      </c>
      <c r="F384" s="18" t="n">
        <v>5000</v>
      </c>
      <c r="G384" s="19" t="str">
        <f aca="false">IF(N(B384)=0,"",TEXT(B384,"MM/YYYY"))</f>
        <v>10/2025</v>
      </c>
      <c r="H384" s="17" t="s">
        <v>108</v>
      </c>
    </row>
    <row r="385" customFormat="false" ht="15" hidden="false" customHeight="true" outlineLevel="0" collapsed="false">
      <c r="B385" s="15" t="n">
        <v>45931</v>
      </c>
      <c r="C385" s="16" t="s">
        <v>469</v>
      </c>
      <c r="D385" s="17" t="s">
        <v>107</v>
      </c>
      <c r="E385" s="16" t="s">
        <v>34</v>
      </c>
      <c r="F385" s="18" t="n">
        <v>9672.35</v>
      </c>
      <c r="G385" s="19" t="str">
        <f aca="false">IF(N(B385)=0,"",TEXT(B385,"MM/YYYY"))</f>
        <v>10/2025</v>
      </c>
      <c r="H385" s="17" t="s">
        <v>108</v>
      </c>
    </row>
    <row r="386" customFormat="false" ht="15" hidden="false" customHeight="true" outlineLevel="0" collapsed="false">
      <c r="B386" s="15" t="n">
        <v>45931</v>
      </c>
      <c r="C386" s="16" t="s">
        <v>470</v>
      </c>
      <c r="D386" s="17" t="s">
        <v>107</v>
      </c>
      <c r="E386" s="16" t="s">
        <v>38</v>
      </c>
      <c r="F386" s="18" t="n">
        <v>5349</v>
      </c>
      <c r="G386" s="19" t="str">
        <f aca="false">IF(N(B386)=0,"",TEXT(B386,"MM/YYYY"))</f>
        <v>10/2025</v>
      </c>
      <c r="H386" s="17" t="s">
        <v>108</v>
      </c>
    </row>
    <row r="387" customFormat="false" ht="15" hidden="false" customHeight="true" outlineLevel="0" collapsed="false">
      <c r="B387" s="15" t="n">
        <v>45931</v>
      </c>
      <c r="C387" s="16" t="s">
        <v>471</v>
      </c>
      <c r="D387" s="17" t="s">
        <v>107</v>
      </c>
      <c r="E387" s="16" t="s">
        <v>40</v>
      </c>
      <c r="F387" s="18" t="n">
        <v>2464</v>
      </c>
      <c r="G387" s="19" t="str">
        <f aca="false">IF(N(B387)=0,"",TEXT(B387,"MM/YYYY"))</f>
        <v>10/2025</v>
      </c>
      <c r="H387" s="17" t="s">
        <v>108</v>
      </c>
    </row>
    <row r="388" customFormat="false" ht="15" hidden="false" customHeight="true" outlineLevel="0" collapsed="false">
      <c r="B388" s="15" t="n">
        <v>45931</v>
      </c>
      <c r="C388" s="16" t="s">
        <v>472</v>
      </c>
      <c r="D388" s="17" t="s">
        <v>107</v>
      </c>
      <c r="E388" s="16" t="s">
        <v>43</v>
      </c>
      <c r="F388" s="18" t="n">
        <v>1537.99</v>
      </c>
      <c r="G388" s="19" t="str">
        <f aca="false">IF(N(B388)=0,"",TEXT(B388,"MM/YYYY"))</f>
        <v>10/2025</v>
      </c>
      <c r="H388" s="17" t="s">
        <v>108</v>
      </c>
    </row>
    <row r="389" customFormat="false" ht="15" hidden="false" customHeight="true" outlineLevel="0" collapsed="false">
      <c r="B389" s="15"/>
      <c r="C389" s="16"/>
      <c r="D389" s="17"/>
      <c r="E389" s="16"/>
      <c r="F389" s="18"/>
      <c r="G389" s="19"/>
      <c r="H389" s="17"/>
    </row>
    <row r="390" customFormat="false" ht="15" hidden="false" customHeight="true" outlineLevel="0" collapsed="false">
      <c r="B390" s="15"/>
      <c r="C390" s="16"/>
      <c r="D390" s="17"/>
      <c r="E390" s="16"/>
      <c r="F390" s="18"/>
      <c r="G390" s="19"/>
      <c r="H390" s="17"/>
    </row>
    <row r="391" customFormat="false" ht="15" hidden="false" customHeight="true" outlineLevel="0" collapsed="false">
      <c r="B391" s="15" t="n">
        <v>45931</v>
      </c>
      <c r="C391" s="16" t="s">
        <v>473</v>
      </c>
      <c r="D391" s="17" t="s">
        <v>107</v>
      </c>
      <c r="E391" s="16" t="s">
        <v>60</v>
      </c>
      <c r="F391" s="18" t="n">
        <v>327.05</v>
      </c>
      <c r="G391" s="19" t="str">
        <f aca="false">IF(N(B391)=0,"",TEXT(B391,"MM/YYYY"))</f>
        <v>10/2025</v>
      </c>
      <c r="H391" s="17" t="s">
        <v>108</v>
      </c>
    </row>
    <row r="392" customFormat="false" ht="15" hidden="false" customHeight="true" outlineLevel="0" collapsed="false">
      <c r="B392" s="15" t="n">
        <v>45931</v>
      </c>
      <c r="C392" s="16" t="s">
        <v>474</v>
      </c>
      <c r="D392" s="17" t="s">
        <v>107</v>
      </c>
      <c r="E392" s="16" t="s">
        <v>33</v>
      </c>
      <c r="F392" s="18" t="n">
        <v>11130</v>
      </c>
      <c r="G392" s="19" t="str">
        <f aca="false">IF(N(B392)=0,"",TEXT(B392,"MM/YYYY"))</f>
        <v>10/2025</v>
      </c>
      <c r="H392" s="17" t="s">
        <v>108</v>
      </c>
    </row>
    <row r="393" customFormat="false" ht="15" hidden="false" customHeight="true" outlineLevel="0" collapsed="false">
      <c r="B393" s="15" t="n">
        <v>45931</v>
      </c>
      <c r="C393" s="16" t="s">
        <v>475</v>
      </c>
      <c r="D393" s="17" t="s">
        <v>107</v>
      </c>
      <c r="E393" s="16" t="s">
        <v>42</v>
      </c>
      <c r="F393" s="18" t="n">
        <v>882.6</v>
      </c>
      <c r="G393" s="19" t="str">
        <f aca="false">IF(N(B393)=0,"",TEXT(B393,"MM/YYYY"))</f>
        <v>10/2025</v>
      </c>
      <c r="H393" s="17" t="s">
        <v>108</v>
      </c>
    </row>
    <row r="394" customFormat="false" ht="15" hidden="false" customHeight="true" outlineLevel="0" collapsed="false">
      <c r="B394" s="15" t="n">
        <v>45931</v>
      </c>
      <c r="C394" s="16" t="s">
        <v>476</v>
      </c>
      <c r="D394" s="17" t="s">
        <v>107</v>
      </c>
      <c r="E394" s="16" t="s">
        <v>53</v>
      </c>
      <c r="F394" s="18" t="n">
        <v>49.9</v>
      </c>
      <c r="G394" s="19" t="str">
        <f aca="false">IF(N(B394)=0,"",TEXT(B394,"MM/YYYY"))</f>
        <v>10/2025</v>
      </c>
      <c r="H394" s="17" t="s">
        <v>108</v>
      </c>
    </row>
    <row r="395" customFormat="false" ht="15" hidden="false" customHeight="true" outlineLevel="0" collapsed="false">
      <c r="B395" s="15" t="n">
        <v>45931</v>
      </c>
      <c r="C395" s="16" t="s">
        <v>477</v>
      </c>
      <c r="D395" s="17" t="s">
        <v>107</v>
      </c>
      <c r="E395" s="16" t="s">
        <v>37</v>
      </c>
      <c r="F395" s="18" t="n">
        <v>427</v>
      </c>
      <c r="G395" s="19" t="str">
        <f aca="false">IF(N(B395)=0,"",TEXT(B395,"MM/YYYY"))</f>
        <v>10/2025</v>
      </c>
      <c r="H395" s="17" t="s">
        <v>108</v>
      </c>
    </row>
    <row r="396" customFormat="false" ht="15" hidden="false" customHeight="true" outlineLevel="0" collapsed="false">
      <c r="B396" s="15" t="n">
        <v>45931</v>
      </c>
      <c r="C396" s="16" t="s">
        <v>478</v>
      </c>
      <c r="D396" s="17" t="s">
        <v>107</v>
      </c>
      <c r="E396" s="16" t="s">
        <v>58</v>
      </c>
      <c r="F396" s="18" t="n">
        <v>51062.04</v>
      </c>
      <c r="G396" s="19" t="str">
        <f aca="false">IF(N(B396)=0,"",TEXT(B396,"MM/YYYY"))</f>
        <v>10/2025</v>
      </c>
      <c r="H396" s="17" t="s">
        <v>108</v>
      </c>
    </row>
    <row r="397" customFormat="false" ht="15" hidden="false" customHeight="true" outlineLevel="0" collapsed="false">
      <c r="B397" s="15" t="n">
        <v>45931</v>
      </c>
      <c r="C397" s="16" t="s">
        <v>479</v>
      </c>
      <c r="D397" s="17" t="s">
        <v>107</v>
      </c>
      <c r="E397" s="16" t="s">
        <v>68</v>
      </c>
      <c r="F397" s="18" t="n">
        <v>555.66</v>
      </c>
      <c r="G397" s="19" t="str">
        <f aca="false">IF(N(B397)=0,"",TEXT(B397,"MM/YYYY"))</f>
        <v>10/2025</v>
      </c>
      <c r="H397" s="17" t="s">
        <v>108</v>
      </c>
    </row>
    <row r="398" customFormat="false" ht="15" hidden="false" customHeight="true" outlineLevel="0" collapsed="false">
      <c r="B398" s="15" t="n">
        <v>45931</v>
      </c>
      <c r="C398" s="16" t="s">
        <v>480</v>
      </c>
      <c r="D398" s="17" t="s">
        <v>107</v>
      </c>
      <c r="E398" s="16" t="s">
        <v>35</v>
      </c>
      <c r="F398" s="18" t="n">
        <v>5083.36</v>
      </c>
      <c r="G398" s="19" t="str">
        <f aca="false">IF(N(B398)=0,"",TEXT(B398,"MM/YYYY"))</f>
        <v>10/2025</v>
      </c>
      <c r="H398" s="17" t="s">
        <v>108</v>
      </c>
    </row>
    <row r="399" customFormat="false" ht="15" hidden="false" customHeight="true" outlineLevel="0" collapsed="false">
      <c r="B399" s="15" t="n">
        <v>45931</v>
      </c>
      <c r="C399" s="16" t="s">
        <v>481</v>
      </c>
      <c r="D399" s="17" t="s">
        <v>107</v>
      </c>
      <c r="E399" s="16" t="s">
        <v>30</v>
      </c>
      <c r="F399" s="18" t="n">
        <v>91843</v>
      </c>
      <c r="G399" s="19" t="str">
        <f aca="false">IF(N(B399)=0,"",TEXT(B399,"MM/YYYY"))</f>
        <v>10/2025</v>
      </c>
      <c r="H399" s="17" t="s">
        <v>108</v>
      </c>
    </row>
    <row r="400" customFormat="false" ht="15" hidden="false" customHeight="true" outlineLevel="0" collapsed="false">
      <c r="B400" s="15" t="n">
        <v>45931</v>
      </c>
      <c r="C400" s="16" t="s">
        <v>482</v>
      </c>
      <c r="D400" s="17" t="s">
        <v>107</v>
      </c>
      <c r="E400" s="16" t="s">
        <v>85</v>
      </c>
      <c r="F400" s="18" t="n">
        <v>3989.34</v>
      </c>
      <c r="G400" s="19" t="str">
        <f aca="false">IF(N(B400)=0,"",TEXT(B400,"MM/YYYY"))</f>
        <v>10/2025</v>
      </c>
      <c r="H400" s="17" t="s">
        <v>108</v>
      </c>
    </row>
    <row r="401" customFormat="false" ht="15" hidden="false" customHeight="true" outlineLevel="0" collapsed="false">
      <c r="B401" s="15" t="n">
        <v>45931</v>
      </c>
      <c r="C401" s="16" t="s">
        <v>483</v>
      </c>
      <c r="D401" s="17" t="s">
        <v>107</v>
      </c>
      <c r="E401" s="16" t="s">
        <v>61</v>
      </c>
      <c r="F401" s="18" t="n">
        <v>6404.98</v>
      </c>
      <c r="G401" s="19" t="str">
        <f aca="false">IF(N(B401)=0,"",TEXT(B401,"MM/YYYY"))</f>
        <v>10/2025</v>
      </c>
      <c r="H401" s="17" t="s">
        <v>108</v>
      </c>
    </row>
    <row r="402" customFormat="false" ht="15" hidden="false" customHeight="true" outlineLevel="0" collapsed="false">
      <c r="B402" s="15" t="n">
        <v>45931</v>
      </c>
      <c r="C402" s="16" t="s">
        <v>484</v>
      </c>
      <c r="D402" s="17" t="s">
        <v>107</v>
      </c>
      <c r="E402" s="16" t="s">
        <v>55</v>
      </c>
      <c r="F402" s="18" t="n">
        <v>681.34</v>
      </c>
      <c r="G402" s="19" t="str">
        <f aca="false">IF(N(B402)=0,"",TEXT(B402,"MM/YYYY"))</f>
        <v>10/2025</v>
      </c>
      <c r="H402" s="17" t="s">
        <v>108</v>
      </c>
    </row>
    <row r="403" customFormat="false" ht="15" hidden="false" customHeight="true" outlineLevel="0" collapsed="false">
      <c r="B403" s="15" t="n">
        <v>45931</v>
      </c>
      <c r="C403" s="16" t="s">
        <v>485</v>
      </c>
      <c r="D403" s="17" t="s">
        <v>107</v>
      </c>
      <c r="E403" s="16" t="s">
        <v>28</v>
      </c>
      <c r="F403" s="18" t="n">
        <v>30866</v>
      </c>
      <c r="G403" s="19" t="str">
        <f aca="false">IF(N(B403)=0,"",TEXT(B403,"MM/YYYY"))</f>
        <v>10/2025</v>
      </c>
      <c r="H403" s="17" t="s">
        <v>108</v>
      </c>
    </row>
    <row r="404" customFormat="false" ht="15" hidden="false" customHeight="true" outlineLevel="0" collapsed="false">
      <c r="B404" s="15" t="n">
        <v>45931</v>
      </c>
      <c r="C404" s="16" t="s">
        <v>486</v>
      </c>
      <c r="D404" s="17" t="s">
        <v>107</v>
      </c>
      <c r="E404" s="16" t="s">
        <v>57</v>
      </c>
      <c r="F404" s="18" t="n">
        <v>235.65</v>
      </c>
      <c r="G404" s="19" t="str">
        <f aca="false">IF(N(B404)=0,"",TEXT(B404,"MM/YYYY"))</f>
        <v>10/2025</v>
      </c>
      <c r="H404" s="17" t="s">
        <v>108</v>
      </c>
    </row>
    <row r="405" customFormat="false" ht="15" hidden="false" customHeight="true" outlineLevel="0" collapsed="false">
      <c r="B405" s="15" t="n">
        <v>45931</v>
      </c>
      <c r="C405" s="16" t="s">
        <v>487</v>
      </c>
      <c r="D405" s="17" t="s">
        <v>107</v>
      </c>
      <c r="E405" s="16" t="s">
        <v>74</v>
      </c>
      <c r="F405" s="18" t="n">
        <v>70</v>
      </c>
      <c r="G405" s="19" t="str">
        <f aca="false">IF(N(B405)=0,"",TEXT(B405,"MM/YYYY"))</f>
        <v>10/2025</v>
      </c>
      <c r="H405" s="17" t="s">
        <v>108</v>
      </c>
    </row>
    <row r="406" customFormat="false" ht="15" hidden="false" customHeight="true" outlineLevel="0" collapsed="false">
      <c r="B406" s="15" t="n">
        <v>45931</v>
      </c>
      <c r="C406" s="16" t="s">
        <v>488</v>
      </c>
      <c r="D406" s="17" t="s">
        <v>107</v>
      </c>
      <c r="E406" s="16" t="s">
        <v>67</v>
      </c>
      <c r="F406" s="18" t="n">
        <v>88.46</v>
      </c>
      <c r="G406" s="19" t="str">
        <f aca="false">IF(N(B406)=0,"",TEXT(B406,"MM/YYYY"))</f>
        <v>10/2025</v>
      </c>
      <c r="H406" s="17" t="s">
        <v>108</v>
      </c>
    </row>
    <row r="407" customFormat="false" ht="15" hidden="false" customHeight="true" outlineLevel="0" collapsed="false">
      <c r="B407" s="15" t="n">
        <v>45931</v>
      </c>
      <c r="C407" s="16" t="s">
        <v>489</v>
      </c>
      <c r="D407" s="17" t="s">
        <v>107</v>
      </c>
      <c r="E407" s="16" t="s">
        <v>83</v>
      </c>
      <c r="F407" s="18" t="n">
        <v>104.13</v>
      </c>
      <c r="G407" s="19" t="str">
        <f aca="false">IF(N(B407)=0,"",TEXT(B407,"MM/YYYY"))</f>
        <v>10/2025</v>
      </c>
      <c r="H407" s="17" t="s">
        <v>108</v>
      </c>
    </row>
    <row r="408" customFormat="false" ht="15" hidden="false" customHeight="true" outlineLevel="0" collapsed="false">
      <c r="B408" s="15" t="n">
        <v>45931</v>
      </c>
      <c r="C408" s="16" t="s">
        <v>490</v>
      </c>
      <c r="D408" s="17" t="s">
        <v>107</v>
      </c>
      <c r="E408" s="16" t="s">
        <v>80</v>
      </c>
      <c r="F408" s="18" t="n">
        <v>4910.24</v>
      </c>
      <c r="G408" s="19" t="str">
        <f aca="false">IF(N(B408)=0,"",TEXT(B408,"MM/YYYY"))</f>
        <v>10/2025</v>
      </c>
      <c r="H408" s="17" t="s">
        <v>108</v>
      </c>
    </row>
    <row r="409" customFormat="false" ht="15" hidden="false" customHeight="true" outlineLevel="0" collapsed="false">
      <c r="B409" s="15" t="n">
        <v>45931</v>
      </c>
      <c r="C409" s="16" t="s">
        <v>491</v>
      </c>
      <c r="D409" s="17" t="s">
        <v>107</v>
      </c>
      <c r="E409" s="16" t="s">
        <v>32</v>
      </c>
      <c r="F409" s="18" t="n">
        <v>165.17</v>
      </c>
      <c r="G409" s="19" t="str">
        <f aca="false">IF(N(B409)=0,"",TEXT(B409,"MM/YYYY"))</f>
        <v>10/2025</v>
      </c>
      <c r="H409" s="17" t="s">
        <v>108</v>
      </c>
    </row>
    <row r="410" customFormat="false" ht="15" hidden="false" customHeight="true" outlineLevel="0" collapsed="false">
      <c r="B410" s="15" t="n">
        <v>45931</v>
      </c>
      <c r="C410" s="16" t="s">
        <v>492</v>
      </c>
      <c r="D410" s="17" t="s">
        <v>107</v>
      </c>
      <c r="E410" s="16" t="s">
        <v>82</v>
      </c>
      <c r="F410" s="18" t="n">
        <v>2360.04</v>
      </c>
      <c r="G410" s="19" t="str">
        <f aca="false">IF(N(B410)=0,"",TEXT(B410,"MM/YYYY"))</f>
        <v>10/2025</v>
      </c>
      <c r="H410" s="17" t="s">
        <v>108</v>
      </c>
    </row>
    <row r="411" customFormat="false" ht="15" hidden="false" customHeight="true" outlineLevel="0" collapsed="false">
      <c r="B411" s="15" t="n">
        <v>45931</v>
      </c>
      <c r="C411" s="16" t="s">
        <v>493</v>
      </c>
      <c r="D411" s="17" t="s">
        <v>107</v>
      </c>
      <c r="E411" s="16" t="s">
        <v>72</v>
      </c>
      <c r="F411" s="18" t="n">
        <v>650</v>
      </c>
      <c r="G411" s="19" t="str">
        <f aca="false">IF(N(B411)=0,"",TEXT(B411,"MM/YYYY"))</f>
        <v>10/2025</v>
      </c>
      <c r="H411" s="17" t="s">
        <v>108</v>
      </c>
    </row>
    <row r="412" customFormat="false" ht="15" hidden="false" customHeight="true" outlineLevel="0" collapsed="false">
      <c r="B412" s="15" t="n">
        <v>45931</v>
      </c>
      <c r="C412" s="16" t="s">
        <v>494</v>
      </c>
      <c r="D412" s="17" t="s">
        <v>107</v>
      </c>
      <c r="E412" s="16" t="s">
        <v>50</v>
      </c>
      <c r="F412" s="18" t="n">
        <v>5643.32</v>
      </c>
      <c r="G412" s="19" t="str">
        <f aca="false">IF(N(B412)=0,"",TEXT(B412,"MM/YYYY"))</f>
        <v>10/2025</v>
      </c>
      <c r="H412" s="17" t="s">
        <v>108</v>
      </c>
    </row>
    <row r="413" customFormat="false" ht="15" hidden="false" customHeight="true" outlineLevel="0" collapsed="false">
      <c r="B413" s="15" t="n">
        <v>45931</v>
      </c>
      <c r="C413" s="16" t="s">
        <v>495</v>
      </c>
      <c r="D413" s="17" t="s">
        <v>107</v>
      </c>
      <c r="E413" s="16" t="s">
        <v>51</v>
      </c>
      <c r="F413" s="18" t="n">
        <v>23109.91</v>
      </c>
      <c r="G413" s="19" t="str">
        <f aca="false">IF(N(B413)=0,"",TEXT(B413,"MM/YYYY"))</f>
        <v>10/2025</v>
      </c>
      <c r="H413" s="17" t="s">
        <v>108</v>
      </c>
    </row>
    <row r="414" customFormat="false" ht="15" hidden="false" customHeight="true" outlineLevel="0" collapsed="false">
      <c r="B414" s="15" t="n">
        <v>45931</v>
      </c>
      <c r="C414" s="16" t="s">
        <v>496</v>
      </c>
      <c r="D414" s="17" t="s">
        <v>107</v>
      </c>
      <c r="E414" s="16" t="s">
        <v>62</v>
      </c>
      <c r="F414" s="18" t="n">
        <v>140</v>
      </c>
      <c r="G414" s="19" t="str">
        <f aca="false">IF(N(B414)=0,"",TEXT(B414,"MM/YYYY"))</f>
        <v>10/2025</v>
      </c>
      <c r="H414" s="17" t="s">
        <v>108</v>
      </c>
    </row>
    <row r="415" customFormat="false" ht="15" hidden="false" customHeight="true" outlineLevel="0" collapsed="false">
      <c r="B415" s="15" t="n">
        <v>45931</v>
      </c>
      <c r="C415" s="16" t="s">
        <v>497</v>
      </c>
      <c r="D415" s="17" t="s">
        <v>107</v>
      </c>
      <c r="E415" s="16" t="s">
        <v>64</v>
      </c>
      <c r="F415" s="18" t="n">
        <v>269.82</v>
      </c>
      <c r="G415" s="19" t="str">
        <f aca="false">IF(N(B415)=0,"",TEXT(B415,"MM/YYYY"))</f>
        <v>10/2025</v>
      </c>
      <c r="H415" s="17" t="s">
        <v>108</v>
      </c>
    </row>
    <row r="416" customFormat="false" ht="15" hidden="false" customHeight="true" outlineLevel="0" collapsed="false">
      <c r="B416" s="15"/>
      <c r="C416" s="16"/>
      <c r="D416" s="17"/>
      <c r="E416" s="16"/>
      <c r="F416" s="18"/>
      <c r="G416" s="19"/>
      <c r="H416" s="17"/>
    </row>
    <row r="417" customFormat="false" ht="15" hidden="false" customHeight="true" outlineLevel="0" collapsed="false">
      <c r="B417" s="15" t="n">
        <v>45931</v>
      </c>
      <c r="C417" s="16" t="s">
        <v>498</v>
      </c>
      <c r="D417" s="17" t="s">
        <v>107</v>
      </c>
      <c r="E417" s="16" t="s">
        <v>96</v>
      </c>
      <c r="F417" s="18" t="n">
        <v>78005.31</v>
      </c>
      <c r="G417" s="19" t="str">
        <f aca="false">IF(N(B417)=0,"",TEXT(B417,"MM/YYYY"))</f>
        <v>10/2025</v>
      </c>
      <c r="H417" s="17" t="s">
        <v>108</v>
      </c>
    </row>
    <row r="418" customFormat="false" ht="15" hidden="false" customHeight="true" outlineLevel="0" collapsed="false">
      <c r="B418" s="15" t="n">
        <v>45931</v>
      </c>
      <c r="C418" s="16" t="s">
        <v>499</v>
      </c>
      <c r="D418" s="17" t="s">
        <v>107</v>
      </c>
      <c r="E418" s="16" t="s">
        <v>26</v>
      </c>
      <c r="F418" s="18" t="n">
        <v>114010.76</v>
      </c>
      <c r="G418" s="19" t="str">
        <f aca="false">IF(N(B418)=0,"",TEXT(B418,"MM/YYYY"))</f>
        <v>10/2025</v>
      </c>
      <c r="H418" s="17" t="s">
        <v>108</v>
      </c>
    </row>
    <row r="419" customFormat="false" ht="15" hidden="false" customHeight="true" outlineLevel="0" collapsed="false">
      <c r="B419" s="15" t="n">
        <v>45931</v>
      </c>
      <c r="C419" s="16" t="s">
        <v>500</v>
      </c>
      <c r="D419" s="17" t="s">
        <v>107</v>
      </c>
      <c r="E419" s="16" t="s">
        <v>65</v>
      </c>
      <c r="F419" s="18" t="n">
        <v>120.01</v>
      </c>
      <c r="G419" s="19" t="str">
        <f aca="false">IF(N(B419)=0,"",TEXT(B419,"MM/YYYY"))</f>
        <v>10/2025</v>
      </c>
      <c r="H419" s="17" t="s">
        <v>108</v>
      </c>
    </row>
    <row r="420" customFormat="false" ht="15" hidden="false" customHeight="true" outlineLevel="0" collapsed="false">
      <c r="B420" s="15" t="n">
        <v>45931</v>
      </c>
      <c r="C420" s="16" t="s">
        <v>501</v>
      </c>
      <c r="D420" s="17" t="s">
        <v>107</v>
      </c>
      <c r="E420" s="16" t="s">
        <v>29</v>
      </c>
      <c r="F420" s="18" t="n">
        <v>6669.4</v>
      </c>
      <c r="G420" s="19" t="str">
        <f aca="false">IF(N(B420)=0,"",TEXT(B420,"MM/YYYY"))</f>
        <v>10/2025</v>
      </c>
      <c r="H420" s="17" t="s">
        <v>108</v>
      </c>
    </row>
    <row r="421" customFormat="false" ht="15" hidden="false" customHeight="true" outlineLevel="0" collapsed="false">
      <c r="B421" s="15" t="n">
        <v>45931</v>
      </c>
      <c r="C421" s="16" t="s">
        <v>502</v>
      </c>
      <c r="D421" s="17" t="s">
        <v>107</v>
      </c>
      <c r="E421" s="16" t="s">
        <v>59</v>
      </c>
      <c r="F421" s="18" t="n">
        <v>3450.01</v>
      </c>
      <c r="G421" s="19" t="str">
        <f aca="false">IF(N(B421)=0,"",TEXT(B421,"MM/YYYY"))</f>
        <v>10/2025</v>
      </c>
      <c r="H421" s="17" t="s">
        <v>108</v>
      </c>
    </row>
    <row r="422" customFormat="false" ht="15" hidden="false" customHeight="true" outlineLevel="0" collapsed="false">
      <c r="B422" s="15" t="n">
        <v>45931</v>
      </c>
      <c r="C422" s="16" t="s">
        <v>503</v>
      </c>
      <c r="D422" s="17" t="s">
        <v>107</v>
      </c>
      <c r="E422" s="16" t="s">
        <v>79</v>
      </c>
      <c r="F422" s="18" t="n">
        <v>46.2</v>
      </c>
      <c r="G422" s="19" t="str">
        <f aca="false">IF(N(B422)=0,"",TEXT(B422,"MM/YYYY"))</f>
        <v>10/2025</v>
      </c>
      <c r="H422" s="17" t="s">
        <v>108</v>
      </c>
    </row>
    <row r="423" customFormat="false" ht="15" hidden="false" customHeight="true" outlineLevel="0" collapsed="false">
      <c r="B423" s="15" t="n">
        <v>45931</v>
      </c>
      <c r="C423" s="16" t="s">
        <v>504</v>
      </c>
      <c r="D423" s="17" t="s">
        <v>107</v>
      </c>
      <c r="E423" s="16" t="s">
        <v>54</v>
      </c>
      <c r="F423" s="18" t="n">
        <v>957</v>
      </c>
      <c r="G423" s="19" t="str">
        <f aca="false">IF(N(B423)=0,"",TEXT(B423,"MM/YYYY"))</f>
        <v>10/2025</v>
      </c>
      <c r="H423" s="17" t="s">
        <v>108</v>
      </c>
    </row>
    <row r="424" customFormat="false" ht="15" hidden="false" customHeight="true" outlineLevel="0" collapsed="false">
      <c r="B424" s="15" t="n">
        <v>45931</v>
      </c>
      <c r="C424" s="16" t="s">
        <v>505</v>
      </c>
      <c r="D424" s="17" t="s">
        <v>107</v>
      </c>
      <c r="E424" s="16" t="s">
        <v>69</v>
      </c>
      <c r="F424" s="18" t="n">
        <v>606.52</v>
      </c>
      <c r="G424" s="19" t="str">
        <f aca="false">IF(N(B424)=0,"",TEXT(B424,"MM/YYYY"))</f>
        <v>10/2025</v>
      </c>
      <c r="H424" s="17" t="s">
        <v>108</v>
      </c>
    </row>
    <row r="425" customFormat="false" ht="15" hidden="false" customHeight="true" outlineLevel="0" collapsed="false">
      <c r="B425" s="15" t="n">
        <v>45962</v>
      </c>
      <c r="C425" s="16" t="s">
        <v>506</v>
      </c>
      <c r="D425" s="17" t="s">
        <v>114</v>
      </c>
      <c r="E425" s="16" t="s">
        <v>22</v>
      </c>
      <c r="F425" s="18" t="n">
        <v>689343.98</v>
      </c>
      <c r="G425" s="19" t="str">
        <f aca="false">IF(N(B425)=0,"",TEXT(B425,"MM/YYYY"))</f>
        <v>11/2025</v>
      </c>
      <c r="H425" s="17" t="s">
        <v>108</v>
      </c>
    </row>
    <row r="426" customFormat="false" ht="15" hidden="false" customHeight="true" outlineLevel="0" collapsed="false">
      <c r="B426" s="15" t="n">
        <v>45962</v>
      </c>
      <c r="C426" s="16" t="s">
        <v>507</v>
      </c>
      <c r="D426" s="17" t="s">
        <v>107</v>
      </c>
      <c r="E426" s="16" t="s">
        <v>31</v>
      </c>
      <c r="F426" s="18" t="n">
        <v>21192.7</v>
      </c>
      <c r="G426" s="19" t="str">
        <f aca="false">IF(N(B426)=0,"",TEXT(B426,"MM/YYYY"))</f>
        <v>11/2025</v>
      </c>
      <c r="H426" s="17" t="s">
        <v>108</v>
      </c>
    </row>
    <row r="427" customFormat="false" ht="15" hidden="false" customHeight="true" outlineLevel="0" collapsed="false">
      <c r="B427" s="15" t="n">
        <v>45962</v>
      </c>
      <c r="C427" s="16" t="s">
        <v>508</v>
      </c>
      <c r="D427" s="17" t="s">
        <v>107</v>
      </c>
      <c r="E427" s="16" t="s">
        <v>71</v>
      </c>
      <c r="F427" s="18" t="n">
        <v>2071.71</v>
      </c>
      <c r="G427" s="19" t="str">
        <f aca="false">IF(N(B427)=0,"",TEXT(B427,"MM/YYYY"))</f>
        <v>11/2025</v>
      </c>
      <c r="H427" s="17" t="s">
        <v>108</v>
      </c>
    </row>
    <row r="428" customFormat="false" ht="15" hidden="false" customHeight="true" outlineLevel="0" collapsed="false">
      <c r="B428" s="15" t="n">
        <v>45962</v>
      </c>
      <c r="C428" s="16" t="s">
        <v>509</v>
      </c>
      <c r="D428" s="17" t="s">
        <v>107</v>
      </c>
      <c r="E428" s="16" t="s">
        <v>84</v>
      </c>
      <c r="F428" s="18" t="n">
        <v>2500</v>
      </c>
      <c r="G428" s="19" t="str">
        <f aca="false">IF(N(B428)=0,"",TEXT(B428,"MM/YYYY"))</f>
        <v>11/2025</v>
      </c>
      <c r="H428" s="17" t="s">
        <v>108</v>
      </c>
    </row>
    <row r="429" customFormat="false" ht="15" hidden="false" customHeight="true" outlineLevel="0" collapsed="false">
      <c r="B429" s="15" t="n">
        <v>45962</v>
      </c>
      <c r="C429" s="16" t="s">
        <v>510</v>
      </c>
      <c r="D429" s="17" t="s">
        <v>107</v>
      </c>
      <c r="E429" s="16" t="s">
        <v>45</v>
      </c>
      <c r="F429" s="18" t="n">
        <v>221.52</v>
      </c>
      <c r="G429" s="19" t="str">
        <f aca="false">IF(N(B429)=0,"",TEXT(B429,"MM/YYYY"))</f>
        <v>11/2025</v>
      </c>
      <c r="H429" s="17" t="s">
        <v>108</v>
      </c>
    </row>
    <row r="430" customFormat="false" ht="15" hidden="false" customHeight="true" outlineLevel="0" collapsed="false">
      <c r="B430" s="15" t="n">
        <v>45962</v>
      </c>
      <c r="C430" s="16" t="s">
        <v>511</v>
      </c>
      <c r="D430" s="17" t="s">
        <v>107</v>
      </c>
      <c r="E430" s="16" t="s">
        <v>52</v>
      </c>
      <c r="F430" s="18" t="n">
        <v>1803.81</v>
      </c>
      <c r="G430" s="19" t="str">
        <f aca="false">IF(N(B430)=0,"",TEXT(B430,"MM/YYYY"))</f>
        <v>11/2025</v>
      </c>
      <c r="H430" s="17" t="s">
        <v>108</v>
      </c>
    </row>
    <row r="431" customFormat="false" ht="15" hidden="false" customHeight="true" outlineLevel="0" collapsed="false">
      <c r="B431" s="15" t="n">
        <v>45962</v>
      </c>
      <c r="C431" s="16" t="s">
        <v>512</v>
      </c>
      <c r="D431" s="17" t="s">
        <v>107</v>
      </c>
      <c r="E431" s="16" t="s">
        <v>81</v>
      </c>
      <c r="F431" s="18" t="n">
        <v>5000</v>
      </c>
      <c r="G431" s="19" t="str">
        <f aca="false">IF(N(B431)=0,"",TEXT(B431,"MM/YYYY"))</f>
        <v>11/2025</v>
      </c>
      <c r="H431" s="17" t="s">
        <v>108</v>
      </c>
    </row>
    <row r="432" customFormat="false" ht="15" hidden="false" customHeight="true" outlineLevel="0" collapsed="false">
      <c r="B432" s="15" t="n">
        <v>45962</v>
      </c>
      <c r="C432" s="16" t="s">
        <v>513</v>
      </c>
      <c r="D432" s="17" t="s">
        <v>107</v>
      </c>
      <c r="E432" s="16" t="s">
        <v>34</v>
      </c>
      <c r="F432" s="18" t="n">
        <v>4102.16</v>
      </c>
      <c r="G432" s="19" t="str">
        <f aca="false">IF(N(B432)=0,"",TEXT(B432,"MM/YYYY"))</f>
        <v>11/2025</v>
      </c>
      <c r="H432" s="17" t="s">
        <v>108</v>
      </c>
    </row>
    <row r="433" customFormat="false" ht="15" hidden="false" customHeight="true" outlineLevel="0" collapsed="false">
      <c r="B433" s="15" t="n">
        <v>45962</v>
      </c>
      <c r="C433" s="16" t="s">
        <v>514</v>
      </c>
      <c r="D433" s="17" t="s">
        <v>107</v>
      </c>
      <c r="E433" s="16" t="s">
        <v>43</v>
      </c>
      <c r="F433" s="18" t="n">
        <v>1386.81</v>
      </c>
      <c r="G433" s="19" t="str">
        <f aca="false">IF(N(B433)=0,"",TEXT(B433,"MM/YYYY"))</f>
        <v>11/2025</v>
      </c>
      <c r="H433" s="17" t="s">
        <v>108</v>
      </c>
    </row>
    <row r="434" customFormat="false" ht="15" hidden="false" customHeight="true" outlineLevel="0" collapsed="false">
      <c r="B434" s="15"/>
      <c r="C434" s="16"/>
      <c r="D434" s="17"/>
      <c r="E434" s="16"/>
      <c r="F434" s="18"/>
      <c r="G434" s="19"/>
      <c r="H434" s="17"/>
    </row>
    <row r="435" customFormat="false" ht="15" hidden="false" customHeight="true" outlineLevel="0" collapsed="false">
      <c r="B435" s="15"/>
      <c r="C435" s="16"/>
      <c r="D435" s="17"/>
      <c r="E435" s="16"/>
      <c r="F435" s="18"/>
      <c r="G435" s="19"/>
      <c r="H435" s="17"/>
    </row>
    <row r="436" customFormat="false" ht="15" hidden="false" customHeight="true" outlineLevel="0" collapsed="false">
      <c r="B436" s="15" t="n">
        <v>45962</v>
      </c>
      <c r="C436" s="16" t="s">
        <v>515</v>
      </c>
      <c r="D436" s="17" t="s">
        <v>107</v>
      </c>
      <c r="E436" s="16" t="s">
        <v>47</v>
      </c>
      <c r="F436" s="18" t="n">
        <v>900</v>
      </c>
      <c r="G436" s="19" t="str">
        <f aca="false">IF(N(B436)=0,"",TEXT(B436,"MM/YYYY"))</f>
        <v>11/2025</v>
      </c>
      <c r="H436" s="17" t="s">
        <v>108</v>
      </c>
    </row>
    <row r="437" customFormat="false" ht="15" hidden="false" customHeight="true" outlineLevel="0" collapsed="false">
      <c r="B437" s="15" t="n">
        <v>45962</v>
      </c>
      <c r="C437" s="16" t="s">
        <v>516</v>
      </c>
      <c r="D437" s="17" t="s">
        <v>107</v>
      </c>
      <c r="E437" s="16" t="s">
        <v>60</v>
      </c>
      <c r="F437" s="18" t="n">
        <v>334.03</v>
      </c>
      <c r="G437" s="19" t="str">
        <f aca="false">IF(N(B437)=0,"",TEXT(B437,"MM/YYYY"))</f>
        <v>11/2025</v>
      </c>
      <c r="H437" s="17" t="s">
        <v>108</v>
      </c>
    </row>
    <row r="438" customFormat="false" ht="15" hidden="false" customHeight="true" outlineLevel="0" collapsed="false">
      <c r="B438" s="15" t="n">
        <v>45962</v>
      </c>
      <c r="C438" s="16" t="s">
        <v>517</v>
      </c>
      <c r="D438" s="17" t="s">
        <v>107</v>
      </c>
      <c r="E438" s="16" t="s">
        <v>33</v>
      </c>
      <c r="F438" s="18" t="n">
        <v>8020</v>
      </c>
      <c r="G438" s="19" t="str">
        <f aca="false">IF(N(B438)=0,"",TEXT(B438,"MM/YYYY"))</f>
        <v>11/2025</v>
      </c>
      <c r="H438" s="17" t="s">
        <v>108</v>
      </c>
    </row>
    <row r="439" customFormat="false" ht="15" hidden="false" customHeight="true" outlineLevel="0" collapsed="false">
      <c r="B439" s="15" t="n">
        <v>45962</v>
      </c>
      <c r="C439" s="16" t="s">
        <v>518</v>
      </c>
      <c r="D439" s="17" t="s">
        <v>107</v>
      </c>
      <c r="E439" s="16" t="s">
        <v>53</v>
      </c>
      <c r="F439" s="18" t="n">
        <v>49.9</v>
      </c>
      <c r="G439" s="19" t="str">
        <f aca="false">IF(N(B439)=0,"",TEXT(B439,"MM/YYYY"))</f>
        <v>11/2025</v>
      </c>
      <c r="H439" s="17" t="s">
        <v>108</v>
      </c>
    </row>
    <row r="440" customFormat="false" ht="15" hidden="false" customHeight="true" outlineLevel="0" collapsed="false">
      <c r="B440" s="15" t="n">
        <v>45962</v>
      </c>
      <c r="C440" s="16" t="s">
        <v>519</v>
      </c>
      <c r="D440" s="17" t="s">
        <v>107</v>
      </c>
      <c r="E440" s="16" t="s">
        <v>37</v>
      </c>
      <c r="F440" s="18" t="n">
        <v>586.79</v>
      </c>
      <c r="G440" s="19" t="str">
        <f aca="false">IF(N(B440)=0,"",TEXT(B440,"MM/YYYY"))</f>
        <v>11/2025</v>
      </c>
      <c r="H440" s="17" t="s">
        <v>108</v>
      </c>
    </row>
    <row r="441" customFormat="false" ht="15" hidden="false" customHeight="true" outlineLevel="0" collapsed="false">
      <c r="B441" s="15" t="n">
        <v>45962</v>
      </c>
      <c r="C441" s="16" t="s">
        <v>520</v>
      </c>
      <c r="D441" s="17" t="s">
        <v>107</v>
      </c>
      <c r="E441" s="16" t="s">
        <v>58</v>
      </c>
      <c r="F441" s="18" t="n">
        <v>38312.04</v>
      </c>
      <c r="G441" s="19" t="str">
        <f aca="false">IF(N(B441)=0,"",TEXT(B441,"MM/YYYY"))</f>
        <v>11/2025</v>
      </c>
      <c r="H441" s="17" t="s">
        <v>108</v>
      </c>
    </row>
    <row r="442" customFormat="false" ht="15" hidden="false" customHeight="true" outlineLevel="0" collapsed="false">
      <c r="B442" s="15" t="n">
        <v>45962</v>
      </c>
      <c r="C442" s="16" t="s">
        <v>521</v>
      </c>
      <c r="D442" s="17" t="s">
        <v>107</v>
      </c>
      <c r="E442" s="16" t="s">
        <v>35</v>
      </c>
      <c r="F442" s="18" t="n">
        <v>796.33</v>
      </c>
      <c r="G442" s="19" t="str">
        <f aca="false">IF(N(B442)=0,"",TEXT(B442,"MM/YYYY"))</f>
        <v>11/2025</v>
      </c>
      <c r="H442" s="17" t="s">
        <v>108</v>
      </c>
    </row>
    <row r="443" customFormat="false" ht="15" hidden="false" customHeight="true" outlineLevel="0" collapsed="false">
      <c r="B443" s="15" t="n">
        <v>45962</v>
      </c>
      <c r="C443" s="16" t="s">
        <v>522</v>
      </c>
      <c r="D443" s="17" t="s">
        <v>107</v>
      </c>
      <c r="E443" s="16" t="s">
        <v>30</v>
      </c>
      <c r="F443" s="18" t="n">
        <v>59478</v>
      </c>
      <c r="G443" s="19" t="str">
        <f aca="false">IF(N(B443)=0,"",TEXT(B443,"MM/YYYY"))</f>
        <v>11/2025</v>
      </c>
      <c r="H443" s="17" t="s">
        <v>108</v>
      </c>
    </row>
    <row r="444" customFormat="false" ht="15" hidden="false" customHeight="true" outlineLevel="0" collapsed="false">
      <c r="B444" s="15" t="n">
        <v>45962</v>
      </c>
      <c r="C444" s="16" t="s">
        <v>523</v>
      </c>
      <c r="D444" s="17" t="s">
        <v>107</v>
      </c>
      <c r="E444" s="16" t="s">
        <v>85</v>
      </c>
      <c r="F444" s="18" t="n">
        <v>4696.9</v>
      </c>
      <c r="G444" s="19" t="str">
        <f aca="false">IF(N(B444)=0,"",TEXT(B444,"MM/YYYY"))</f>
        <v>11/2025</v>
      </c>
      <c r="H444" s="17" t="s">
        <v>108</v>
      </c>
    </row>
    <row r="445" customFormat="false" ht="15" hidden="false" customHeight="true" outlineLevel="0" collapsed="false">
      <c r="B445" s="15" t="n">
        <v>45962</v>
      </c>
      <c r="C445" s="16" t="s">
        <v>524</v>
      </c>
      <c r="D445" s="17" t="s">
        <v>107</v>
      </c>
      <c r="E445" s="16" t="s">
        <v>61</v>
      </c>
      <c r="F445" s="18" t="n">
        <v>5599.67</v>
      </c>
      <c r="G445" s="19" t="str">
        <f aca="false">IF(N(B445)=0,"",TEXT(B445,"MM/YYYY"))</f>
        <v>11/2025</v>
      </c>
      <c r="H445" s="17" t="s">
        <v>108</v>
      </c>
    </row>
    <row r="446" customFormat="false" ht="15" hidden="false" customHeight="true" outlineLevel="0" collapsed="false">
      <c r="B446" s="15" t="n">
        <v>45962</v>
      </c>
      <c r="C446" s="16" t="s">
        <v>525</v>
      </c>
      <c r="D446" s="17" t="s">
        <v>107</v>
      </c>
      <c r="E446" s="16" t="s">
        <v>28</v>
      </c>
      <c r="F446" s="18" t="n">
        <v>23648</v>
      </c>
      <c r="G446" s="19" t="str">
        <f aca="false">IF(N(B446)=0,"",TEXT(B446,"MM/YYYY"))</f>
        <v>11/2025</v>
      </c>
      <c r="H446" s="17" t="s">
        <v>108</v>
      </c>
    </row>
    <row r="447" customFormat="false" ht="15" hidden="false" customHeight="true" outlineLevel="0" collapsed="false">
      <c r="B447" s="15" t="n">
        <v>45962</v>
      </c>
      <c r="C447" s="16" t="s">
        <v>526</v>
      </c>
      <c r="D447" s="17" t="s">
        <v>107</v>
      </c>
      <c r="E447" s="16" t="s">
        <v>57</v>
      </c>
      <c r="F447" s="18" t="n">
        <v>30.23</v>
      </c>
      <c r="G447" s="19" t="str">
        <f aca="false">IF(N(B447)=0,"",TEXT(B447,"MM/YYYY"))</f>
        <v>11/2025</v>
      </c>
      <c r="H447" s="17" t="s">
        <v>108</v>
      </c>
    </row>
    <row r="448" customFormat="false" ht="15" hidden="false" customHeight="true" outlineLevel="0" collapsed="false">
      <c r="B448" s="15" t="n">
        <v>45962</v>
      </c>
      <c r="C448" s="16" t="s">
        <v>527</v>
      </c>
      <c r="D448" s="17" t="s">
        <v>107</v>
      </c>
      <c r="E448" s="16" t="s">
        <v>67</v>
      </c>
      <c r="F448" s="18" t="n">
        <v>175.59</v>
      </c>
      <c r="G448" s="19" t="str">
        <f aca="false">IF(N(B448)=0,"",TEXT(B448,"MM/YYYY"))</f>
        <v>11/2025</v>
      </c>
      <c r="H448" s="17" t="s">
        <v>108</v>
      </c>
    </row>
    <row r="449" customFormat="false" ht="15" hidden="false" customHeight="true" outlineLevel="0" collapsed="false">
      <c r="B449" s="15" t="n">
        <v>45962</v>
      </c>
      <c r="C449" s="16" t="s">
        <v>528</v>
      </c>
      <c r="D449" s="17" t="s">
        <v>107</v>
      </c>
      <c r="E449" s="16" t="s">
        <v>83</v>
      </c>
      <c r="F449" s="18" t="n">
        <v>2734.2</v>
      </c>
      <c r="G449" s="19" t="str">
        <f aca="false">IF(N(B449)=0,"",TEXT(B449,"MM/YYYY"))</f>
        <v>11/2025</v>
      </c>
      <c r="H449" s="17" t="s">
        <v>108</v>
      </c>
    </row>
    <row r="450" customFormat="false" ht="15" hidden="false" customHeight="true" outlineLevel="0" collapsed="false">
      <c r="B450" s="15" t="n">
        <v>45962</v>
      </c>
      <c r="C450" s="16" t="s">
        <v>529</v>
      </c>
      <c r="D450" s="17" t="s">
        <v>107</v>
      </c>
      <c r="E450" s="16" t="s">
        <v>32</v>
      </c>
      <c r="F450" s="18" t="n">
        <v>1012</v>
      </c>
      <c r="G450" s="19" t="str">
        <f aca="false">IF(N(B450)=0,"",TEXT(B450,"MM/YYYY"))</f>
        <v>11/2025</v>
      </c>
      <c r="H450" s="17" t="s">
        <v>108</v>
      </c>
    </row>
    <row r="451" customFormat="false" ht="15" hidden="false" customHeight="true" outlineLevel="0" collapsed="false">
      <c r="B451" s="15" t="n">
        <v>45962</v>
      </c>
      <c r="C451" s="16" t="s">
        <v>530</v>
      </c>
      <c r="D451" s="17" t="s">
        <v>107</v>
      </c>
      <c r="E451" s="16" t="s">
        <v>82</v>
      </c>
      <c r="F451" s="18" t="n">
        <v>2929.54</v>
      </c>
      <c r="G451" s="19" t="str">
        <f aca="false">IF(N(B451)=0,"",TEXT(B451,"MM/YYYY"))</f>
        <v>11/2025</v>
      </c>
      <c r="H451" s="17" t="s">
        <v>108</v>
      </c>
    </row>
    <row r="452" customFormat="false" ht="15" hidden="false" customHeight="true" outlineLevel="0" collapsed="false">
      <c r="B452" s="15" t="n">
        <v>45962</v>
      </c>
      <c r="C452" s="16" t="s">
        <v>531</v>
      </c>
      <c r="D452" s="17" t="s">
        <v>107</v>
      </c>
      <c r="E452" s="16" t="s">
        <v>88</v>
      </c>
      <c r="F452" s="18" t="n">
        <v>17784</v>
      </c>
      <c r="G452" s="19" t="str">
        <f aca="false">IF(N(B452)=0,"",TEXT(B452,"MM/YYYY"))</f>
        <v>11/2025</v>
      </c>
      <c r="H452" s="17" t="s">
        <v>108</v>
      </c>
    </row>
    <row r="453" customFormat="false" ht="15" hidden="false" customHeight="true" outlineLevel="0" collapsed="false">
      <c r="B453" s="15" t="n">
        <v>45962</v>
      </c>
      <c r="C453" s="16" t="s">
        <v>532</v>
      </c>
      <c r="D453" s="17" t="s">
        <v>107</v>
      </c>
      <c r="E453" s="16" t="s">
        <v>50</v>
      </c>
      <c r="F453" s="18" t="n">
        <v>5352</v>
      </c>
      <c r="G453" s="19" t="str">
        <f aca="false">IF(N(B453)=0,"",TEXT(B453,"MM/YYYY"))</f>
        <v>11/2025</v>
      </c>
      <c r="H453" s="17" t="s">
        <v>108</v>
      </c>
    </row>
    <row r="454" customFormat="false" ht="15" hidden="false" customHeight="true" outlineLevel="0" collapsed="false">
      <c r="B454" s="15" t="n">
        <v>45962</v>
      </c>
      <c r="C454" s="16" t="s">
        <v>533</v>
      </c>
      <c r="D454" s="17" t="s">
        <v>107</v>
      </c>
      <c r="E454" s="16" t="s">
        <v>51</v>
      </c>
      <c r="F454" s="18" t="n">
        <v>22036.35</v>
      </c>
      <c r="G454" s="19" t="str">
        <f aca="false">IF(N(B454)=0,"",TEXT(B454,"MM/YYYY"))</f>
        <v>11/2025</v>
      </c>
      <c r="H454" s="17" t="s">
        <v>108</v>
      </c>
    </row>
    <row r="455" customFormat="false" ht="15" hidden="false" customHeight="true" outlineLevel="0" collapsed="false">
      <c r="B455" s="15" t="n">
        <v>45962</v>
      </c>
      <c r="C455" s="16" t="s">
        <v>534</v>
      </c>
      <c r="D455" s="17" t="s">
        <v>107</v>
      </c>
      <c r="E455" s="16" t="s">
        <v>62</v>
      </c>
      <c r="F455" s="18" t="n">
        <v>940</v>
      </c>
      <c r="G455" s="19" t="str">
        <f aca="false">IF(N(B455)=0,"",TEXT(B455,"MM/YYYY"))</f>
        <v>11/2025</v>
      </c>
      <c r="H455" s="17" t="s">
        <v>108</v>
      </c>
    </row>
    <row r="456" customFormat="false" ht="15" hidden="false" customHeight="true" outlineLevel="0" collapsed="false">
      <c r="B456" s="15" t="n">
        <v>45962</v>
      </c>
      <c r="C456" s="16" t="s">
        <v>535</v>
      </c>
      <c r="D456" s="17" t="s">
        <v>107</v>
      </c>
      <c r="E456" s="16" t="s">
        <v>64</v>
      </c>
      <c r="F456" s="18" t="n">
        <v>269.82</v>
      </c>
      <c r="G456" s="19" t="str">
        <f aca="false">IF(N(B456)=0,"",TEXT(B456,"MM/YYYY"))</f>
        <v>11/2025</v>
      </c>
      <c r="H456" s="17" t="s">
        <v>108</v>
      </c>
    </row>
    <row r="457" customFormat="false" ht="15" hidden="false" customHeight="true" outlineLevel="0" collapsed="false">
      <c r="B457" s="15"/>
      <c r="C457" s="16"/>
      <c r="D457" s="17"/>
      <c r="E457" s="16"/>
      <c r="F457" s="18"/>
      <c r="G457" s="19"/>
      <c r="H457" s="17"/>
    </row>
    <row r="458" customFormat="false" ht="15" hidden="false" customHeight="true" outlineLevel="0" collapsed="false">
      <c r="B458" s="15" t="n">
        <v>45962</v>
      </c>
      <c r="C458" s="16" t="s">
        <v>536</v>
      </c>
      <c r="D458" s="17" t="s">
        <v>107</v>
      </c>
      <c r="E458" s="16" t="s">
        <v>96</v>
      </c>
      <c r="F458" s="18" t="n">
        <v>59218.26</v>
      </c>
      <c r="G458" s="19" t="str">
        <f aca="false">IF(N(B458)=0,"",TEXT(B458,"MM/YYYY"))</f>
        <v>11/2025</v>
      </c>
      <c r="H458" s="17" t="s">
        <v>108</v>
      </c>
    </row>
    <row r="459" customFormat="false" ht="15" hidden="false" customHeight="true" outlineLevel="0" collapsed="false">
      <c r="B459" s="15" t="n">
        <v>45962</v>
      </c>
      <c r="C459" s="16" t="s">
        <v>537</v>
      </c>
      <c r="D459" s="17" t="s">
        <v>107</v>
      </c>
      <c r="E459" s="16" t="s">
        <v>26</v>
      </c>
      <c r="F459" s="18" t="n">
        <v>76424.88</v>
      </c>
      <c r="G459" s="19" t="str">
        <f aca="false">IF(N(B459)=0,"",TEXT(B459,"MM/YYYY"))</f>
        <v>11/2025</v>
      </c>
      <c r="H459" s="17" t="s">
        <v>108</v>
      </c>
    </row>
    <row r="460" customFormat="false" ht="15" hidden="false" customHeight="true" outlineLevel="0" collapsed="false">
      <c r="B460" s="15" t="n">
        <v>45962</v>
      </c>
      <c r="C460" s="16" t="s">
        <v>538</v>
      </c>
      <c r="D460" s="17" t="s">
        <v>107</v>
      </c>
      <c r="E460" s="16" t="s">
        <v>29</v>
      </c>
      <c r="F460" s="18" t="n">
        <v>8937.15</v>
      </c>
      <c r="G460" s="19" t="str">
        <f aca="false">IF(N(B460)=0,"",TEXT(B460,"MM/YYYY"))</f>
        <v>11/2025</v>
      </c>
      <c r="H460" s="17" t="s">
        <v>108</v>
      </c>
    </row>
    <row r="461" customFormat="false" ht="15" hidden="false" customHeight="true" outlineLevel="0" collapsed="false">
      <c r="B461" s="15" t="n">
        <v>45962</v>
      </c>
      <c r="C461" s="16" t="s">
        <v>539</v>
      </c>
      <c r="D461" s="17" t="s">
        <v>107</v>
      </c>
      <c r="E461" s="16" t="s">
        <v>59</v>
      </c>
      <c r="F461" s="18" t="n">
        <v>3750</v>
      </c>
      <c r="G461" s="19" t="str">
        <f aca="false">IF(N(B461)=0,"",TEXT(B461,"MM/YYYY"))</f>
        <v>11/2025</v>
      </c>
      <c r="H461" s="17" t="s">
        <v>108</v>
      </c>
    </row>
    <row r="462" customFormat="false" ht="15" hidden="false" customHeight="true" outlineLevel="0" collapsed="false">
      <c r="B462" s="15" t="n">
        <v>45962</v>
      </c>
      <c r="C462" s="16" t="s">
        <v>540</v>
      </c>
      <c r="D462" s="17" t="s">
        <v>107</v>
      </c>
      <c r="E462" s="16" t="s">
        <v>79</v>
      </c>
      <c r="F462" s="18" t="n">
        <v>31.2</v>
      </c>
      <c r="G462" s="19" t="str">
        <f aca="false">IF(N(B462)=0,"",TEXT(B462,"MM/YYYY"))</f>
        <v>11/2025</v>
      </c>
      <c r="H462" s="17" t="s">
        <v>108</v>
      </c>
    </row>
    <row r="463" customFormat="false" ht="15" hidden="false" customHeight="true" outlineLevel="0" collapsed="false">
      <c r="B463" s="15" t="n">
        <v>45962</v>
      </c>
      <c r="C463" s="16" t="s">
        <v>541</v>
      </c>
      <c r="D463" s="17" t="s">
        <v>107</v>
      </c>
      <c r="E463" s="16" t="s">
        <v>54</v>
      </c>
      <c r="F463" s="18" t="n">
        <v>957</v>
      </c>
      <c r="G463" s="19" t="str">
        <f aca="false">IF(N(B463)=0,"",TEXT(B463,"MM/YYYY"))</f>
        <v>11/2025</v>
      </c>
      <c r="H463" s="17" t="s">
        <v>108</v>
      </c>
    </row>
    <row r="464" customFormat="false" ht="15" hidden="false" customHeight="true" outlineLevel="0" collapsed="false">
      <c r="B464" s="15" t="n">
        <v>45992</v>
      </c>
      <c r="C464" s="16" t="s">
        <v>542</v>
      </c>
      <c r="D464" s="17" t="s">
        <v>114</v>
      </c>
      <c r="E464" s="16" t="s">
        <v>22</v>
      </c>
      <c r="F464" s="18" t="n">
        <v>759990.9</v>
      </c>
      <c r="G464" s="19" t="str">
        <f aca="false">IF(N(B464)=0,"",TEXT(B464,"MM/YYYY"))</f>
        <v>12/2025</v>
      </c>
      <c r="H464" s="17" t="s">
        <v>108</v>
      </c>
    </row>
    <row r="465" customFormat="false" ht="15" hidden="false" customHeight="true" outlineLevel="0" collapsed="false">
      <c r="B465" s="15" t="n">
        <v>46023</v>
      </c>
      <c r="C465" s="16" t="s">
        <v>543</v>
      </c>
      <c r="D465" s="17" t="s">
        <v>114</v>
      </c>
      <c r="E465" s="16" t="s">
        <v>22</v>
      </c>
      <c r="F465" s="18" t="n">
        <v>237204.4</v>
      </c>
      <c r="G465" s="19" t="str">
        <f aca="false">IF(N(B465)=0,"",TEXT(B465,"MM/YYYY"))</f>
        <v>01/2026</v>
      </c>
      <c r="H465" s="17" t="s">
        <v>108</v>
      </c>
    </row>
    <row r="466" customFormat="false" ht="15" hidden="false" customHeight="true" outlineLevel="0" collapsed="false">
      <c r="B466" s="15" t="n">
        <v>46023</v>
      </c>
      <c r="C466" s="16" t="s">
        <v>544</v>
      </c>
      <c r="D466" s="17" t="s">
        <v>107</v>
      </c>
      <c r="E466" s="16" t="s">
        <v>31</v>
      </c>
      <c r="F466" s="18" t="n">
        <v>10799.3</v>
      </c>
      <c r="G466" s="19" t="str">
        <f aca="false">IF(N(B466)=0,"",TEXT(B466,"MM/YYYY"))</f>
        <v>01/2026</v>
      </c>
      <c r="H466" s="17" t="s">
        <v>108</v>
      </c>
    </row>
    <row r="467" customFormat="false" ht="15" hidden="false" customHeight="true" outlineLevel="0" collapsed="false">
      <c r="B467" s="15" t="n">
        <v>46023</v>
      </c>
      <c r="C467" s="16" t="s">
        <v>545</v>
      </c>
      <c r="D467" s="17" t="s">
        <v>107</v>
      </c>
      <c r="E467" s="16" t="s">
        <v>71</v>
      </c>
      <c r="F467" s="18" t="n">
        <v>30769.48</v>
      </c>
      <c r="G467" s="19" t="str">
        <f aca="false">IF(N(B467)=0,"",TEXT(B467,"MM/YYYY"))</f>
        <v>01/2026</v>
      </c>
      <c r="H467" s="17" t="s">
        <v>108</v>
      </c>
    </row>
    <row r="468" customFormat="false" ht="15" hidden="false" customHeight="true" outlineLevel="0" collapsed="false">
      <c r="B468" s="15" t="n">
        <v>46023</v>
      </c>
      <c r="C468" s="16" t="s">
        <v>546</v>
      </c>
      <c r="D468" s="17" t="s">
        <v>107</v>
      </c>
      <c r="E468" s="16" t="s">
        <v>84</v>
      </c>
      <c r="F468" s="18" t="n">
        <v>2500</v>
      </c>
      <c r="G468" s="19" t="str">
        <f aca="false">IF(N(B468)=0,"",TEXT(B468,"MM/YYYY"))</f>
        <v>01/2026</v>
      </c>
      <c r="H468" s="17" t="s">
        <v>108</v>
      </c>
    </row>
    <row r="469" customFormat="false" ht="15" hidden="false" customHeight="true" outlineLevel="0" collapsed="false">
      <c r="B469" s="15" t="n">
        <v>46023</v>
      </c>
      <c r="C469" s="16" t="s">
        <v>547</v>
      </c>
      <c r="D469" s="17" t="s">
        <v>107</v>
      </c>
      <c r="E469" s="16" t="s">
        <v>45</v>
      </c>
      <c r="F469" s="18" t="n">
        <v>102.62</v>
      </c>
      <c r="G469" s="19" t="str">
        <f aca="false">IF(N(B469)=0,"",TEXT(B469,"MM/YYYY"))</f>
        <v>01/2026</v>
      </c>
      <c r="H469" s="17" t="s">
        <v>108</v>
      </c>
    </row>
    <row r="470" customFormat="false" ht="15" hidden="false" customHeight="true" outlineLevel="0" collapsed="false">
      <c r="B470" s="15" t="n">
        <v>46023</v>
      </c>
      <c r="C470" s="16" t="s">
        <v>548</v>
      </c>
      <c r="D470" s="17" t="s">
        <v>107</v>
      </c>
      <c r="E470" s="16" t="s">
        <v>52</v>
      </c>
      <c r="F470" s="18" t="n">
        <v>7600</v>
      </c>
      <c r="G470" s="19" t="str">
        <f aca="false">IF(N(B470)=0,"",TEXT(B470,"MM/YYYY"))</f>
        <v>01/2026</v>
      </c>
      <c r="H470" s="17" t="s">
        <v>108</v>
      </c>
    </row>
    <row r="471" customFormat="false" ht="15" hidden="false" customHeight="true" outlineLevel="0" collapsed="false">
      <c r="B471" s="15" t="n">
        <v>46023</v>
      </c>
      <c r="C471" s="16" t="s">
        <v>549</v>
      </c>
      <c r="D471" s="17" t="s">
        <v>107</v>
      </c>
      <c r="E471" s="16" t="s">
        <v>81</v>
      </c>
      <c r="F471" s="18" t="n">
        <v>5000</v>
      </c>
      <c r="G471" s="19" t="str">
        <f aca="false">IF(N(B471)=0,"",TEXT(B471,"MM/YYYY"))</f>
        <v>01/2026</v>
      </c>
      <c r="H471" s="17" t="s">
        <v>108</v>
      </c>
    </row>
    <row r="472" customFormat="false" ht="15" hidden="false" customHeight="true" outlineLevel="0" collapsed="false">
      <c r="B472" s="15" t="n">
        <v>46023</v>
      </c>
      <c r="C472" s="16" t="s">
        <v>550</v>
      </c>
      <c r="D472" s="17" t="s">
        <v>107</v>
      </c>
      <c r="E472" s="16" t="s">
        <v>34</v>
      </c>
      <c r="F472" s="18" t="n">
        <v>20746.41</v>
      </c>
      <c r="G472" s="19" t="str">
        <f aca="false">IF(N(B472)=0,"",TEXT(B472,"MM/YYYY"))</f>
        <v>01/2026</v>
      </c>
      <c r="H472" s="17" t="s">
        <v>108</v>
      </c>
    </row>
    <row r="473" customFormat="false" ht="15" hidden="false" customHeight="true" outlineLevel="0" collapsed="false">
      <c r="B473" s="15" t="n">
        <v>46023</v>
      </c>
      <c r="C473" s="16" t="s">
        <v>551</v>
      </c>
      <c r="D473" s="17" t="s">
        <v>107</v>
      </c>
      <c r="E473" s="16" t="s">
        <v>43</v>
      </c>
      <c r="F473" s="18" t="n">
        <v>839.51</v>
      </c>
      <c r="G473" s="19" t="str">
        <f aca="false">IF(N(B473)=0,"",TEXT(B473,"MM/YYYY"))</f>
        <v>01/2026</v>
      </c>
      <c r="H473" s="17" t="s">
        <v>108</v>
      </c>
    </row>
    <row r="474" customFormat="false" ht="15" hidden="false" customHeight="true" outlineLevel="0" collapsed="false">
      <c r="B474" s="15"/>
      <c r="C474" s="16"/>
      <c r="D474" s="17"/>
      <c r="E474" s="16"/>
      <c r="F474" s="18"/>
      <c r="G474" s="19"/>
      <c r="H474" s="17"/>
    </row>
    <row r="475" customFormat="false" ht="15" hidden="false" customHeight="true" outlineLevel="0" collapsed="false">
      <c r="B475" s="15" t="n">
        <v>46023</v>
      </c>
      <c r="C475" s="16" t="s">
        <v>552</v>
      </c>
      <c r="D475" s="17" t="s">
        <v>107</v>
      </c>
      <c r="E475" s="16" t="s">
        <v>60</v>
      </c>
      <c r="F475" s="18" t="n">
        <v>375.5</v>
      </c>
      <c r="G475" s="19" t="str">
        <f aca="false">IF(N(B475)=0,"",TEXT(B475,"MM/YYYY"))</f>
        <v>01/2026</v>
      </c>
      <c r="H475" s="17" t="s">
        <v>108</v>
      </c>
    </row>
    <row r="476" customFormat="false" ht="15" hidden="false" customHeight="true" outlineLevel="0" collapsed="false">
      <c r="B476" s="15" t="n">
        <v>46023</v>
      </c>
      <c r="C476" s="16" t="s">
        <v>553</v>
      </c>
      <c r="D476" s="17" t="s">
        <v>107</v>
      </c>
      <c r="E476" s="16" t="s">
        <v>33</v>
      </c>
      <c r="F476" s="18" t="n">
        <v>4462</v>
      </c>
      <c r="G476" s="19" t="str">
        <f aca="false">IF(N(B476)=0,"",TEXT(B476,"MM/YYYY"))</f>
        <v>01/2026</v>
      </c>
      <c r="H476" s="17" t="s">
        <v>108</v>
      </c>
    </row>
    <row r="477" customFormat="false" ht="15" hidden="false" customHeight="true" outlineLevel="0" collapsed="false">
      <c r="B477" s="15" t="n">
        <v>46023</v>
      </c>
      <c r="C477" s="16" t="s">
        <v>554</v>
      </c>
      <c r="D477" s="17" t="s">
        <v>107</v>
      </c>
      <c r="E477" s="16" t="s">
        <v>42</v>
      </c>
      <c r="F477" s="18" t="n">
        <v>2855.89</v>
      </c>
      <c r="G477" s="19" t="str">
        <f aca="false">IF(N(B477)=0,"",TEXT(B477,"MM/YYYY"))</f>
        <v>01/2026</v>
      </c>
      <c r="H477" s="17" t="s">
        <v>108</v>
      </c>
    </row>
    <row r="478" customFormat="false" ht="15" hidden="false" customHeight="true" outlineLevel="0" collapsed="false">
      <c r="B478" s="15" t="n">
        <v>46023</v>
      </c>
      <c r="C478" s="16" t="s">
        <v>555</v>
      </c>
      <c r="D478" s="17" t="s">
        <v>107</v>
      </c>
      <c r="E478" s="16" t="s">
        <v>53</v>
      </c>
      <c r="F478" s="18" t="n">
        <v>49.9</v>
      </c>
      <c r="G478" s="19" t="str">
        <f aca="false">IF(N(B478)=0,"",TEXT(B478,"MM/YYYY"))</f>
        <v>01/2026</v>
      </c>
      <c r="H478" s="17" t="s">
        <v>108</v>
      </c>
    </row>
    <row r="479" customFormat="false" ht="15" hidden="false" customHeight="true" outlineLevel="0" collapsed="false">
      <c r="B479" s="15" t="n">
        <v>46023</v>
      </c>
      <c r="C479" s="16" t="s">
        <v>556</v>
      </c>
      <c r="D479" s="17" t="s">
        <v>107</v>
      </c>
      <c r="E479" s="16" t="s">
        <v>37</v>
      </c>
      <c r="F479" s="18" t="n">
        <v>1193</v>
      </c>
      <c r="G479" s="19" t="str">
        <f aca="false">IF(N(B479)=0,"",TEXT(B479,"MM/YYYY"))</f>
        <v>01/2026</v>
      </c>
      <c r="H479" s="17" t="s">
        <v>108</v>
      </c>
    </row>
    <row r="480" customFormat="false" ht="15" hidden="false" customHeight="true" outlineLevel="0" collapsed="false">
      <c r="B480" s="15" t="n">
        <v>46023</v>
      </c>
      <c r="C480" s="16" t="s">
        <v>557</v>
      </c>
      <c r="D480" s="17" t="s">
        <v>107</v>
      </c>
      <c r="E480" s="16" t="s">
        <v>58</v>
      </c>
      <c r="F480" s="18" t="n">
        <v>20272.94</v>
      </c>
      <c r="G480" s="19" t="str">
        <f aca="false">IF(N(B480)=0,"",TEXT(B480,"MM/YYYY"))</f>
        <v>01/2026</v>
      </c>
      <c r="H480" s="17" t="s">
        <v>108</v>
      </c>
    </row>
    <row r="481" customFormat="false" ht="15" hidden="false" customHeight="true" outlineLevel="0" collapsed="false">
      <c r="B481" s="15" t="n">
        <v>46023</v>
      </c>
      <c r="C481" s="16" t="s">
        <v>558</v>
      </c>
      <c r="D481" s="17" t="s">
        <v>107</v>
      </c>
      <c r="E481" s="16" t="s">
        <v>68</v>
      </c>
      <c r="F481" s="18" t="n">
        <v>88</v>
      </c>
      <c r="G481" s="19" t="str">
        <f aca="false">IF(N(B481)=0,"",TEXT(B481,"MM/YYYY"))</f>
        <v>01/2026</v>
      </c>
      <c r="H481" s="17" t="s">
        <v>108</v>
      </c>
    </row>
    <row r="482" customFormat="false" ht="15" hidden="false" customHeight="true" outlineLevel="0" collapsed="false">
      <c r="B482" s="15" t="n">
        <v>46023</v>
      </c>
      <c r="C482" s="16" t="s">
        <v>559</v>
      </c>
      <c r="D482" s="17" t="s">
        <v>107</v>
      </c>
      <c r="E482" s="16" t="s">
        <v>35</v>
      </c>
      <c r="F482" s="18" t="n">
        <v>796.35</v>
      </c>
      <c r="G482" s="19" t="str">
        <f aca="false">IF(N(B482)=0,"",TEXT(B482,"MM/YYYY"))</f>
        <v>01/2026</v>
      </c>
      <c r="H482" s="17" t="s">
        <v>108</v>
      </c>
    </row>
    <row r="483" customFormat="false" ht="15" hidden="false" customHeight="true" outlineLevel="0" collapsed="false">
      <c r="B483" s="15" t="n">
        <v>46023</v>
      </c>
      <c r="C483" s="16" t="s">
        <v>560</v>
      </c>
      <c r="D483" s="17" t="s">
        <v>107</v>
      </c>
      <c r="E483" s="16" t="s">
        <v>30</v>
      </c>
      <c r="F483" s="18" t="n">
        <v>40109</v>
      </c>
      <c r="G483" s="19" t="str">
        <f aca="false">IF(N(B483)=0,"",TEXT(B483,"MM/YYYY"))</f>
        <v>01/2026</v>
      </c>
      <c r="H483" s="17" t="s">
        <v>108</v>
      </c>
    </row>
    <row r="484" customFormat="false" ht="15" hidden="false" customHeight="true" outlineLevel="0" collapsed="false">
      <c r="B484" s="15" t="n">
        <v>46023</v>
      </c>
      <c r="C484" s="16" t="s">
        <v>561</v>
      </c>
      <c r="D484" s="17" t="s">
        <v>107</v>
      </c>
      <c r="E484" s="16" t="s">
        <v>85</v>
      </c>
      <c r="F484" s="18" t="n">
        <v>4545.12</v>
      </c>
      <c r="G484" s="19" t="str">
        <f aca="false">IF(N(B484)=0,"",TEXT(B484,"MM/YYYY"))</f>
        <v>01/2026</v>
      </c>
      <c r="H484" s="17" t="s">
        <v>108</v>
      </c>
    </row>
    <row r="485" customFormat="false" ht="15" hidden="false" customHeight="true" outlineLevel="0" collapsed="false">
      <c r="B485" s="15" t="n">
        <v>46023</v>
      </c>
      <c r="C485" s="16" t="s">
        <v>562</v>
      </c>
      <c r="D485" s="17" t="s">
        <v>107</v>
      </c>
      <c r="E485" s="16" t="s">
        <v>61</v>
      </c>
      <c r="F485" s="18" t="n">
        <v>1635.49</v>
      </c>
      <c r="G485" s="19" t="str">
        <f aca="false">IF(N(B485)=0,"",TEXT(B485,"MM/YYYY"))</f>
        <v>01/2026</v>
      </c>
      <c r="H485" s="17" t="s">
        <v>108</v>
      </c>
    </row>
    <row r="486" customFormat="false" ht="15" hidden="false" customHeight="true" outlineLevel="0" collapsed="false">
      <c r="B486" s="15" t="n">
        <v>46023</v>
      </c>
      <c r="C486" s="16" t="s">
        <v>563</v>
      </c>
      <c r="D486" s="17" t="s">
        <v>107</v>
      </c>
      <c r="E486" s="16" t="s">
        <v>70</v>
      </c>
      <c r="F486" s="18" t="n">
        <v>7750</v>
      </c>
      <c r="G486" s="19" t="str">
        <f aca="false">IF(N(B486)=0,"",TEXT(B486,"MM/YYYY"))</f>
        <v>01/2026</v>
      </c>
      <c r="H486" s="17" t="s">
        <v>108</v>
      </c>
    </row>
    <row r="487" customFormat="false" ht="15" hidden="false" customHeight="true" outlineLevel="0" collapsed="false">
      <c r="B487" s="15" t="n">
        <v>46023</v>
      </c>
      <c r="C487" s="16" t="s">
        <v>564</v>
      </c>
      <c r="D487" s="17" t="s">
        <v>107</v>
      </c>
      <c r="E487" s="16" t="s">
        <v>28</v>
      </c>
      <c r="F487" s="18" t="n">
        <v>22952</v>
      </c>
      <c r="G487" s="19" t="str">
        <f aca="false">IF(N(B487)=0,"",TEXT(B487,"MM/YYYY"))</f>
        <v>01/2026</v>
      </c>
      <c r="H487" s="17" t="s">
        <v>108</v>
      </c>
    </row>
    <row r="488" customFormat="false" ht="15" hidden="false" customHeight="true" outlineLevel="0" collapsed="false">
      <c r="B488" s="15" t="n">
        <v>46023</v>
      </c>
      <c r="C488" s="16" t="s">
        <v>565</v>
      </c>
      <c r="D488" s="17" t="s">
        <v>107</v>
      </c>
      <c r="E488" s="16" t="s">
        <v>90</v>
      </c>
      <c r="F488" s="18" t="n">
        <v>250</v>
      </c>
      <c r="G488" s="19" t="str">
        <f aca="false">IF(N(B488)=0,"",TEXT(B488,"MM/YYYY"))</f>
        <v>01/2026</v>
      </c>
      <c r="H488" s="17" t="s">
        <v>108</v>
      </c>
    </row>
    <row r="489" customFormat="false" ht="15" hidden="false" customHeight="true" outlineLevel="0" collapsed="false">
      <c r="B489" s="15" t="n">
        <v>46023</v>
      </c>
      <c r="C489" s="16" t="s">
        <v>566</v>
      </c>
      <c r="D489" s="17" t="s">
        <v>107</v>
      </c>
      <c r="E489" s="16" t="s">
        <v>46</v>
      </c>
      <c r="F489" s="18" t="n">
        <v>225</v>
      </c>
      <c r="G489" s="19" t="str">
        <f aca="false">IF(N(B489)=0,"",TEXT(B489,"MM/YYYY"))</f>
        <v>01/2026</v>
      </c>
      <c r="H489" s="17" t="s">
        <v>108</v>
      </c>
    </row>
    <row r="490" customFormat="false" ht="15" hidden="false" customHeight="true" outlineLevel="0" collapsed="false">
      <c r="B490" s="15" t="n">
        <v>46023</v>
      </c>
      <c r="C490" s="16" t="s">
        <v>567</v>
      </c>
      <c r="D490" s="17" t="s">
        <v>107</v>
      </c>
      <c r="E490" s="16" t="s">
        <v>57</v>
      </c>
      <c r="F490" s="18" t="n">
        <v>243</v>
      </c>
      <c r="G490" s="19" t="str">
        <f aca="false">IF(N(B490)=0,"",TEXT(B490,"MM/YYYY"))</f>
        <v>01/2026</v>
      </c>
      <c r="H490" s="17" t="s">
        <v>108</v>
      </c>
    </row>
    <row r="491" customFormat="false" ht="15" hidden="false" customHeight="true" outlineLevel="0" collapsed="false">
      <c r="B491" s="15" t="n">
        <v>46023</v>
      </c>
      <c r="C491" s="16" t="s">
        <v>568</v>
      </c>
      <c r="D491" s="17" t="s">
        <v>107</v>
      </c>
      <c r="E491" s="16" t="s">
        <v>74</v>
      </c>
      <c r="F491" s="18" t="n">
        <v>295.9</v>
      </c>
      <c r="G491" s="19" t="str">
        <f aca="false">IF(N(B491)=0,"",TEXT(B491,"MM/YYYY"))</f>
        <v>01/2026</v>
      </c>
      <c r="H491" s="17" t="s">
        <v>108</v>
      </c>
    </row>
    <row r="492" customFormat="false" ht="15" hidden="false" customHeight="true" outlineLevel="0" collapsed="false">
      <c r="B492" s="15" t="n">
        <v>46023</v>
      </c>
      <c r="C492" s="16" t="s">
        <v>569</v>
      </c>
      <c r="D492" s="17" t="s">
        <v>107</v>
      </c>
      <c r="E492" s="16" t="s">
        <v>32</v>
      </c>
      <c r="F492" s="18" t="n">
        <v>76.75</v>
      </c>
      <c r="G492" s="19" t="str">
        <f aca="false">IF(N(B492)=0,"",TEXT(B492,"MM/YYYY"))</f>
        <v>01/2026</v>
      </c>
      <c r="H492" s="17" t="s">
        <v>108</v>
      </c>
    </row>
    <row r="493" customFormat="false" ht="15" hidden="false" customHeight="true" outlineLevel="0" collapsed="false">
      <c r="B493" s="15" t="n">
        <v>46023</v>
      </c>
      <c r="C493" s="16" t="s">
        <v>570</v>
      </c>
      <c r="D493" s="17" t="s">
        <v>107</v>
      </c>
      <c r="E493" s="16" t="s">
        <v>56</v>
      </c>
      <c r="F493" s="18" t="n">
        <v>882.21</v>
      </c>
      <c r="G493" s="19" t="str">
        <f aca="false">IF(N(B493)=0,"",TEXT(B493,"MM/YYYY"))</f>
        <v>01/2026</v>
      </c>
      <c r="H493" s="17" t="s">
        <v>108</v>
      </c>
    </row>
    <row r="494" customFormat="false" ht="15" hidden="false" customHeight="true" outlineLevel="0" collapsed="false">
      <c r="B494" s="15" t="n">
        <v>46023</v>
      </c>
      <c r="C494" s="16" t="s">
        <v>571</v>
      </c>
      <c r="D494" s="17" t="s">
        <v>107</v>
      </c>
      <c r="E494" s="16" t="s">
        <v>50</v>
      </c>
      <c r="F494" s="18" t="n">
        <v>920</v>
      </c>
      <c r="G494" s="19" t="str">
        <f aca="false">IF(N(B494)=0,"",TEXT(B494,"MM/YYYY"))</f>
        <v>01/2026</v>
      </c>
      <c r="H494" s="17" t="s">
        <v>108</v>
      </c>
    </row>
    <row r="495" customFormat="false" ht="15" hidden="false" customHeight="true" outlineLevel="0" collapsed="false">
      <c r="B495" s="15" t="n">
        <v>46023</v>
      </c>
      <c r="C495" s="16" t="s">
        <v>572</v>
      </c>
      <c r="D495" s="17" t="s">
        <v>107</v>
      </c>
      <c r="E495" s="16" t="s">
        <v>51</v>
      </c>
      <c r="F495" s="18" t="n">
        <v>29124.02</v>
      </c>
      <c r="G495" s="19" t="str">
        <f aca="false">IF(N(B495)=0,"",TEXT(B495,"MM/YYYY"))</f>
        <v>01/2026</v>
      </c>
      <c r="H495" s="17" t="s">
        <v>108</v>
      </c>
    </row>
    <row r="496" customFormat="false" ht="15" hidden="false" customHeight="true" outlineLevel="0" collapsed="false">
      <c r="B496" s="15" t="n">
        <v>46023</v>
      </c>
      <c r="C496" s="16" t="s">
        <v>573</v>
      </c>
      <c r="D496" s="17" t="s">
        <v>107</v>
      </c>
      <c r="E496" s="16" t="s">
        <v>64</v>
      </c>
      <c r="F496" s="18" t="n">
        <v>265.92</v>
      </c>
      <c r="G496" s="19" t="str">
        <f aca="false">IF(N(B496)=0,"",TEXT(B496,"MM/YYYY"))</f>
        <v>01/2026</v>
      </c>
      <c r="H496" s="17" t="s">
        <v>108</v>
      </c>
    </row>
    <row r="497" customFormat="false" ht="15" hidden="false" customHeight="true" outlineLevel="0" collapsed="false">
      <c r="B497" s="15"/>
      <c r="C497" s="16"/>
      <c r="D497" s="17"/>
      <c r="E497" s="16"/>
      <c r="F497" s="18"/>
      <c r="G497" s="19"/>
      <c r="H497" s="17"/>
    </row>
    <row r="498" customFormat="false" ht="15" hidden="false" customHeight="true" outlineLevel="0" collapsed="false">
      <c r="B498" s="15" t="n">
        <v>46023</v>
      </c>
      <c r="C498" s="16" t="s">
        <v>574</v>
      </c>
      <c r="D498" s="17" t="s">
        <v>107</v>
      </c>
      <c r="E498" s="16" t="s">
        <v>26</v>
      </c>
      <c r="F498" s="18" t="n">
        <v>23433.97</v>
      </c>
      <c r="G498" s="19" t="str">
        <f aca="false">IF(N(B498)=0,"",TEXT(B498,"MM/YYYY"))</f>
        <v>01/2026</v>
      </c>
      <c r="H498" s="17" t="s">
        <v>108</v>
      </c>
    </row>
    <row r="499" customFormat="false" ht="15" hidden="false" customHeight="true" outlineLevel="0" collapsed="false">
      <c r="B499" s="15" t="n">
        <v>46023</v>
      </c>
      <c r="C499" s="16" t="s">
        <v>575</v>
      </c>
      <c r="D499" s="17" t="s">
        <v>107</v>
      </c>
      <c r="E499" s="16" t="s">
        <v>65</v>
      </c>
      <c r="F499" s="18" t="n">
        <v>126.92</v>
      </c>
      <c r="G499" s="19" t="str">
        <f aca="false">IF(N(B499)=0,"",TEXT(B499,"MM/YYYY"))</f>
        <v>01/2026</v>
      </c>
      <c r="H499" s="17" t="s">
        <v>108</v>
      </c>
    </row>
    <row r="500" customFormat="false" ht="15" hidden="false" customHeight="true" outlineLevel="0" collapsed="false">
      <c r="B500" s="15" t="n">
        <v>46023</v>
      </c>
      <c r="C500" s="16" t="s">
        <v>576</v>
      </c>
      <c r="D500" s="17" t="s">
        <v>107</v>
      </c>
      <c r="E500" s="16" t="s">
        <v>78</v>
      </c>
      <c r="F500" s="18" t="n">
        <v>90</v>
      </c>
      <c r="G500" s="19" t="str">
        <f aca="false">IF(N(B500)=0,"",TEXT(B500,"MM/YYYY"))</f>
        <v>01/2026</v>
      </c>
      <c r="H500" s="17" t="s">
        <v>108</v>
      </c>
    </row>
    <row r="501" customFormat="false" ht="15" hidden="false" customHeight="true" outlineLevel="0" collapsed="false">
      <c r="B501" s="15" t="n">
        <v>46023</v>
      </c>
      <c r="C501" s="16" t="s">
        <v>577</v>
      </c>
      <c r="D501" s="17" t="s">
        <v>107</v>
      </c>
      <c r="E501" s="16" t="s">
        <v>29</v>
      </c>
      <c r="F501" s="18" t="n">
        <v>2941</v>
      </c>
      <c r="G501" s="19" t="str">
        <f aca="false">IF(N(B501)=0,"",TEXT(B501,"MM/YYYY"))</f>
        <v>01/2026</v>
      </c>
      <c r="H501" s="17" t="s">
        <v>108</v>
      </c>
    </row>
    <row r="502" customFormat="false" ht="15" hidden="false" customHeight="true" outlineLevel="0" collapsed="false">
      <c r="B502" s="15" t="n">
        <v>46023</v>
      </c>
      <c r="C502" s="16" t="s">
        <v>578</v>
      </c>
      <c r="D502" s="17" t="s">
        <v>107</v>
      </c>
      <c r="E502" s="16" t="s">
        <v>49</v>
      </c>
      <c r="F502" s="18" t="n">
        <v>1700</v>
      </c>
      <c r="G502" s="19" t="str">
        <f aca="false">IF(N(B502)=0,"",TEXT(B502,"MM/YYYY"))</f>
        <v>01/2026</v>
      </c>
      <c r="H502" s="17" t="s">
        <v>108</v>
      </c>
    </row>
    <row r="503" customFormat="false" ht="15" hidden="false" customHeight="true" outlineLevel="0" collapsed="false">
      <c r="B503" s="15" t="n">
        <v>46023</v>
      </c>
      <c r="C503" s="16" t="s">
        <v>579</v>
      </c>
      <c r="D503" s="17" t="s">
        <v>107</v>
      </c>
      <c r="E503" s="16" t="s">
        <v>59</v>
      </c>
      <c r="F503" s="18" t="n">
        <v>3120</v>
      </c>
      <c r="G503" s="19" t="str">
        <f aca="false">IF(N(B503)=0,"",TEXT(B503,"MM/YYYY"))</f>
        <v>01/2026</v>
      </c>
      <c r="H503" s="17" t="s">
        <v>108</v>
      </c>
    </row>
    <row r="504" customFormat="false" ht="15" hidden="false" customHeight="true" outlineLevel="0" collapsed="false">
      <c r="B504" s="15" t="n">
        <v>46023</v>
      </c>
      <c r="C504" s="16" t="s">
        <v>580</v>
      </c>
      <c r="D504" s="17" t="s">
        <v>107</v>
      </c>
      <c r="E504" s="16" t="s">
        <v>79</v>
      </c>
      <c r="F504" s="18" t="n">
        <v>2611.53</v>
      </c>
      <c r="G504" s="19" t="str">
        <f aca="false">IF(N(B504)=0,"",TEXT(B504,"MM/YYYY"))</f>
        <v>01/2026</v>
      </c>
      <c r="H504" s="17" t="s">
        <v>108</v>
      </c>
    </row>
    <row r="505" customFormat="false" ht="15" hidden="false" customHeight="true" outlineLevel="0" collapsed="false">
      <c r="B505" s="15" t="n">
        <v>46023</v>
      </c>
      <c r="C505" s="16" t="s">
        <v>581</v>
      </c>
      <c r="D505" s="17" t="s">
        <v>107</v>
      </c>
      <c r="E505" s="16" t="s">
        <v>54</v>
      </c>
      <c r="F505" s="18" t="n">
        <v>957</v>
      </c>
      <c r="G505" s="19" t="str">
        <f aca="false">IF(N(B505)=0,"",TEXT(B505,"MM/YYYY"))</f>
        <v>01/2026</v>
      </c>
      <c r="H505" s="17" t="s">
        <v>108</v>
      </c>
    </row>
    <row r="506" customFormat="false" ht="15" hidden="false" customHeight="true" outlineLevel="0" collapsed="false">
      <c r="B506" s="15" t="n">
        <v>46023</v>
      </c>
      <c r="C506" s="16" t="s">
        <v>582</v>
      </c>
      <c r="D506" s="17" t="s">
        <v>107</v>
      </c>
      <c r="E506" s="16" t="s">
        <v>69</v>
      </c>
      <c r="F506" s="18" t="n">
        <v>227.27</v>
      </c>
      <c r="G506" s="19" t="str">
        <f aca="false">IF(N(B506)=0,"",TEXT(B506,"MM/YYYY"))</f>
        <v>01/2026</v>
      </c>
      <c r="H506" s="17" t="s">
        <v>108</v>
      </c>
    </row>
    <row r="507" customFormat="false" ht="15" hidden="false" customHeight="true" outlineLevel="0" collapsed="false">
      <c r="B507" s="15" t="n">
        <v>46054</v>
      </c>
      <c r="C507" s="16" t="s">
        <v>583</v>
      </c>
      <c r="D507" s="17" t="s">
        <v>114</v>
      </c>
      <c r="E507" s="16" t="s">
        <v>22</v>
      </c>
      <c r="F507" s="18" t="n">
        <v>294769.4</v>
      </c>
      <c r="G507" s="19" t="str">
        <f aca="false">IF(N(B507)=0,"",TEXT(B507,"MM/YYYY"))</f>
        <v>02/2026</v>
      </c>
      <c r="H507" s="17" t="s">
        <v>108</v>
      </c>
    </row>
    <row r="508" customFormat="false" ht="15" hidden="false" customHeight="true" outlineLevel="0" collapsed="false">
      <c r="B508" s="15" t="n">
        <v>46054</v>
      </c>
      <c r="C508" s="16" t="s">
        <v>584</v>
      </c>
      <c r="D508" s="17" t="s">
        <v>107</v>
      </c>
      <c r="E508" s="16" t="s">
        <v>31</v>
      </c>
      <c r="F508" s="18" t="n">
        <v>12229</v>
      </c>
      <c r="G508" s="19" t="str">
        <f aca="false">IF(N(B508)=0,"",TEXT(B508,"MM/YYYY"))</f>
        <v>02/2026</v>
      </c>
      <c r="H508" s="17" t="s">
        <v>108</v>
      </c>
    </row>
    <row r="509" customFormat="false" ht="15" hidden="false" customHeight="true" outlineLevel="0" collapsed="false">
      <c r="B509" s="15" t="n">
        <v>46054</v>
      </c>
      <c r="C509" s="16" t="s">
        <v>585</v>
      </c>
      <c r="D509" s="17" t="s">
        <v>107</v>
      </c>
      <c r="E509" s="16" t="s">
        <v>84</v>
      </c>
      <c r="F509" s="18" t="n">
        <v>2500</v>
      </c>
      <c r="G509" s="19" t="str">
        <f aca="false">IF(N(B509)=0,"",TEXT(B509,"MM/YYYY"))</f>
        <v>02/2026</v>
      </c>
      <c r="H509" s="17" t="s">
        <v>108</v>
      </c>
    </row>
    <row r="510" customFormat="false" ht="15" hidden="false" customHeight="true" outlineLevel="0" collapsed="false">
      <c r="B510" s="15" t="n">
        <v>46054</v>
      </c>
      <c r="C510" s="16" t="s">
        <v>586</v>
      </c>
      <c r="D510" s="17" t="s">
        <v>107</v>
      </c>
      <c r="E510" s="16" t="s">
        <v>45</v>
      </c>
      <c r="F510" s="18" t="n">
        <v>8</v>
      </c>
      <c r="G510" s="19" t="str">
        <f aca="false">IF(N(B510)=0,"",TEXT(B510,"MM/YYYY"))</f>
        <v>02/2026</v>
      </c>
      <c r="H510" s="17" t="s">
        <v>108</v>
      </c>
    </row>
    <row r="511" customFormat="false" ht="15" hidden="false" customHeight="true" outlineLevel="0" collapsed="false">
      <c r="B511" s="15" t="n">
        <v>46054</v>
      </c>
      <c r="C511" s="16" t="s">
        <v>587</v>
      </c>
      <c r="D511" s="17" t="s">
        <v>107</v>
      </c>
      <c r="E511" s="16" t="s">
        <v>52</v>
      </c>
      <c r="F511" s="18" t="n">
        <v>8100</v>
      </c>
      <c r="G511" s="19" t="str">
        <f aca="false">IF(N(B511)=0,"",TEXT(B511,"MM/YYYY"))</f>
        <v>02/2026</v>
      </c>
      <c r="H511" s="17" t="s">
        <v>108</v>
      </c>
    </row>
    <row r="512" customFormat="false" ht="15" hidden="false" customHeight="true" outlineLevel="0" collapsed="false">
      <c r="B512" s="15" t="n">
        <v>46054</v>
      </c>
      <c r="C512" s="16" t="s">
        <v>588</v>
      </c>
      <c r="D512" s="17" t="s">
        <v>107</v>
      </c>
      <c r="E512" s="16" t="s">
        <v>81</v>
      </c>
      <c r="F512" s="18" t="n">
        <v>5000</v>
      </c>
      <c r="G512" s="19" t="str">
        <f aca="false">IF(N(B512)=0,"",TEXT(B512,"MM/YYYY"))</f>
        <v>02/2026</v>
      </c>
      <c r="H512" s="17" t="s">
        <v>108</v>
      </c>
    </row>
    <row r="513" customFormat="false" ht="15" hidden="false" customHeight="true" outlineLevel="0" collapsed="false">
      <c r="B513" s="15" t="n">
        <v>46054</v>
      </c>
      <c r="C513" s="16" t="s">
        <v>589</v>
      </c>
      <c r="D513" s="17" t="s">
        <v>107</v>
      </c>
      <c r="E513" s="16" t="s">
        <v>34</v>
      </c>
      <c r="F513" s="18" t="n">
        <v>21297.34</v>
      </c>
      <c r="G513" s="19" t="str">
        <f aca="false">IF(N(B513)=0,"",TEXT(B513,"MM/YYYY"))</f>
        <v>02/2026</v>
      </c>
      <c r="H513" s="17" t="s">
        <v>108</v>
      </c>
    </row>
    <row r="514" customFormat="false" ht="15" hidden="false" customHeight="true" outlineLevel="0" collapsed="false">
      <c r="B514" s="15" t="n">
        <v>46054</v>
      </c>
      <c r="C514" s="16" t="s">
        <v>590</v>
      </c>
      <c r="D514" s="17" t="s">
        <v>107</v>
      </c>
      <c r="E514" s="16" t="s">
        <v>40</v>
      </c>
      <c r="F514" s="18" t="n">
        <v>1120</v>
      </c>
      <c r="G514" s="19" t="str">
        <f aca="false">IF(N(B514)=0,"",TEXT(B514,"MM/YYYY"))</f>
        <v>02/2026</v>
      </c>
      <c r="H514" s="17" t="s">
        <v>108</v>
      </c>
    </row>
    <row r="515" customFormat="false" ht="15" hidden="false" customHeight="true" outlineLevel="0" collapsed="false">
      <c r="B515" s="15" t="n">
        <v>46054</v>
      </c>
      <c r="C515" s="16" t="s">
        <v>591</v>
      </c>
      <c r="D515" s="17" t="s">
        <v>107</v>
      </c>
      <c r="E515" s="16" t="s">
        <v>43</v>
      </c>
      <c r="F515" s="18" t="n">
        <v>1136.03</v>
      </c>
      <c r="G515" s="19" t="str">
        <f aca="false">IF(N(B515)=0,"",TEXT(B515,"MM/YYYY"))</f>
        <v>02/2026</v>
      </c>
      <c r="H515" s="17" t="s">
        <v>108</v>
      </c>
    </row>
    <row r="516" customFormat="false" ht="15" hidden="false" customHeight="true" outlineLevel="0" collapsed="false">
      <c r="B516" s="15"/>
      <c r="C516" s="16"/>
      <c r="D516" s="17"/>
      <c r="E516" s="16"/>
      <c r="F516" s="18"/>
      <c r="G516" s="19"/>
      <c r="H516" s="17"/>
    </row>
    <row r="517" customFormat="false" ht="15" hidden="false" customHeight="true" outlineLevel="0" collapsed="false">
      <c r="B517" s="15"/>
      <c r="C517" s="16"/>
      <c r="D517" s="17"/>
      <c r="E517" s="16"/>
      <c r="F517" s="18"/>
      <c r="G517" s="19"/>
      <c r="H517" s="17"/>
    </row>
    <row r="518" customFormat="false" ht="15" hidden="false" customHeight="true" outlineLevel="0" collapsed="false">
      <c r="B518" s="15" t="n">
        <v>46054</v>
      </c>
      <c r="C518" s="16" t="s">
        <v>592</v>
      </c>
      <c r="D518" s="17" t="s">
        <v>107</v>
      </c>
      <c r="E518" s="16" t="s">
        <v>60</v>
      </c>
      <c r="F518" s="18" t="n">
        <v>327.05</v>
      </c>
      <c r="G518" s="19" t="str">
        <f aca="false">IF(N(B518)=0,"",TEXT(B518,"MM/YYYY"))</f>
        <v>02/2026</v>
      </c>
      <c r="H518" s="17" t="s">
        <v>108</v>
      </c>
    </row>
    <row r="519" customFormat="false" ht="15" hidden="false" customHeight="true" outlineLevel="0" collapsed="false">
      <c r="B519" s="15" t="n">
        <v>46054</v>
      </c>
      <c r="C519" s="16" t="s">
        <v>593</v>
      </c>
      <c r="D519" s="17" t="s">
        <v>107</v>
      </c>
      <c r="E519" s="16" t="s">
        <v>89</v>
      </c>
      <c r="F519" s="18" t="n">
        <v>1985.33</v>
      </c>
      <c r="G519" s="19" t="str">
        <f aca="false">IF(N(B519)=0,"",TEXT(B519,"MM/YYYY"))</f>
        <v>02/2026</v>
      </c>
      <c r="H519" s="17" t="s">
        <v>108</v>
      </c>
    </row>
    <row r="520" customFormat="false" ht="15" hidden="false" customHeight="true" outlineLevel="0" collapsed="false">
      <c r="B520" s="15" t="n">
        <v>46054</v>
      </c>
      <c r="C520" s="16" t="s">
        <v>594</v>
      </c>
      <c r="D520" s="17" t="s">
        <v>107</v>
      </c>
      <c r="E520" s="16" t="s">
        <v>33</v>
      </c>
      <c r="F520" s="18" t="n">
        <v>2740</v>
      </c>
      <c r="G520" s="19" t="str">
        <f aca="false">IF(N(B520)=0,"",TEXT(B520,"MM/YYYY"))</f>
        <v>02/2026</v>
      </c>
      <c r="H520" s="17" t="s">
        <v>108</v>
      </c>
    </row>
    <row r="521" customFormat="false" ht="15" hidden="false" customHeight="true" outlineLevel="0" collapsed="false">
      <c r="B521" s="15" t="n">
        <v>46054</v>
      </c>
      <c r="C521" s="16" t="s">
        <v>595</v>
      </c>
      <c r="D521" s="17" t="s">
        <v>107</v>
      </c>
      <c r="E521" s="16" t="s">
        <v>42</v>
      </c>
      <c r="F521" s="18" t="n">
        <v>8591.51</v>
      </c>
      <c r="G521" s="19" t="str">
        <f aca="false">IF(N(B521)=0,"",TEXT(B521,"MM/YYYY"))</f>
        <v>02/2026</v>
      </c>
      <c r="H521" s="17" t="s">
        <v>108</v>
      </c>
    </row>
    <row r="522" customFormat="false" ht="15" hidden="false" customHeight="true" outlineLevel="0" collapsed="false">
      <c r="B522" s="15" t="n">
        <v>46054</v>
      </c>
      <c r="C522" s="16" t="s">
        <v>596</v>
      </c>
      <c r="D522" s="17" t="s">
        <v>107</v>
      </c>
      <c r="E522" s="16" t="s">
        <v>73</v>
      </c>
      <c r="F522" s="18" t="n">
        <v>168</v>
      </c>
      <c r="G522" s="19" t="str">
        <f aca="false">IF(N(B522)=0,"",TEXT(B522,"MM/YYYY"))</f>
        <v>02/2026</v>
      </c>
      <c r="H522" s="17" t="s">
        <v>108</v>
      </c>
    </row>
    <row r="523" customFormat="false" ht="15" hidden="false" customHeight="true" outlineLevel="0" collapsed="false">
      <c r="B523" s="15" t="n">
        <v>46054</v>
      </c>
      <c r="C523" s="16" t="s">
        <v>597</v>
      </c>
      <c r="D523" s="17" t="s">
        <v>107</v>
      </c>
      <c r="E523" s="16" t="s">
        <v>37</v>
      </c>
      <c r="F523" s="18" t="n">
        <v>145.67</v>
      </c>
      <c r="G523" s="19" t="str">
        <f aca="false">IF(N(B523)=0,"",TEXT(B523,"MM/YYYY"))</f>
        <v>02/2026</v>
      </c>
      <c r="H523" s="17" t="s">
        <v>108</v>
      </c>
    </row>
    <row r="524" customFormat="false" ht="15" hidden="false" customHeight="true" outlineLevel="0" collapsed="false">
      <c r="B524" s="15" t="n">
        <v>46054</v>
      </c>
      <c r="C524" s="16" t="s">
        <v>598</v>
      </c>
      <c r="D524" s="17" t="s">
        <v>107</v>
      </c>
      <c r="E524" s="16" t="s">
        <v>58</v>
      </c>
      <c r="F524" s="18" t="n">
        <v>13922.61</v>
      </c>
      <c r="G524" s="19" t="str">
        <f aca="false">IF(N(B524)=0,"",TEXT(B524,"MM/YYYY"))</f>
        <v>02/2026</v>
      </c>
      <c r="H524" s="17" t="s">
        <v>108</v>
      </c>
    </row>
    <row r="525" customFormat="false" ht="15" hidden="false" customHeight="true" outlineLevel="0" collapsed="false">
      <c r="B525" s="15" t="n">
        <v>46054</v>
      </c>
      <c r="C525" s="16" t="s">
        <v>599</v>
      </c>
      <c r="D525" s="17" t="s">
        <v>107</v>
      </c>
      <c r="E525" s="16" t="s">
        <v>35</v>
      </c>
      <c r="F525" s="18" t="n">
        <v>259</v>
      </c>
      <c r="G525" s="19" t="str">
        <f aca="false">IF(N(B525)=0,"",TEXT(B525,"MM/YYYY"))</f>
        <v>02/2026</v>
      </c>
      <c r="H525" s="17" t="s">
        <v>108</v>
      </c>
    </row>
    <row r="526" customFormat="false" ht="15" hidden="false" customHeight="true" outlineLevel="0" collapsed="false">
      <c r="B526" s="15" t="n">
        <v>46054</v>
      </c>
      <c r="C526" s="16" t="s">
        <v>600</v>
      </c>
      <c r="D526" s="17" t="s">
        <v>107</v>
      </c>
      <c r="E526" s="16" t="s">
        <v>48</v>
      </c>
      <c r="F526" s="18" t="n">
        <v>40</v>
      </c>
      <c r="G526" s="19" t="str">
        <f aca="false">IF(N(B526)=0,"",TEXT(B526,"MM/YYYY"))</f>
        <v>02/2026</v>
      </c>
      <c r="H526" s="17" t="s">
        <v>108</v>
      </c>
    </row>
    <row r="527" customFormat="false" ht="15" hidden="false" customHeight="true" outlineLevel="0" collapsed="false">
      <c r="B527" s="15" t="n">
        <v>46054</v>
      </c>
      <c r="C527" s="16" t="s">
        <v>601</v>
      </c>
      <c r="D527" s="17" t="s">
        <v>107</v>
      </c>
      <c r="E527" s="16" t="s">
        <v>30</v>
      </c>
      <c r="F527" s="18" t="n">
        <v>35205.5</v>
      </c>
      <c r="G527" s="19" t="str">
        <f aca="false">IF(N(B527)=0,"",TEXT(B527,"MM/YYYY"))</f>
        <v>02/2026</v>
      </c>
      <c r="H527" s="17" t="s">
        <v>108</v>
      </c>
    </row>
    <row r="528" customFormat="false" ht="15" hidden="false" customHeight="true" outlineLevel="0" collapsed="false">
      <c r="B528" s="15" t="n">
        <v>46054</v>
      </c>
      <c r="C528" s="16" t="s">
        <v>602</v>
      </c>
      <c r="D528" s="17" t="s">
        <v>107</v>
      </c>
      <c r="E528" s="16" t="s">
        <v>85</v>
      </c>
      <c r="F528" s="18" t="n">
        <v>4455.12</v>
      </c>
      <c r="G528" s="19" t="str">
        <f aca="false">IF(N(B528)=0,"",TEXT(B528,"MM/YYYY"))</f>
        <v>02/2026</v>
      </c>
      <c r="H528" s="17" t="s">
        <v>108</v>
      </c>
    </row>
    <row r="529" customFormat="false" ht="15" hidden="false" customHeight="true" outlineLevel="0" collapsed="false">
      <c r="B529" s="15" t="n">
        <v>46054</v>
      </c>
      <c r="C529" s="16" t="s">
        <v>603</v>
      </c>
      <c r="D529" s="17" t="s">
        <v>107</v>
      </c>
      <c r="E529" s="16" t="s">
        <v>61</v>
      </c>
      <c r="F529" s="18" t="n">
        <v>3373.33</v>
      </c>
      <c r="G529" s="19" t="str">
        <f aca="false">IF(N(B529)=0,"",TEXT(B529,"MM/YYYY"))</f>
        <v>02/2026</v>
      </c>
      <c r="H529" s="17" t="s">
        <v>108</v>
      </c>
    </row>
    <row r="530" customFormat="false" ht="15" hidden="false" customHeight="true" outlineLevel="0" collapsed="false">
      <c r="B530" s="15" t="n">
        <v>46054</v>
      </c>
      <c r="C530" s="16" t="s">
        <v>604</v>
      </c>
      <c r="D530" s="17" t="s">
        <v>107</v>
      </c>
      <c r="E530" s="16" t="s">
        <v>87</v>
      </c>
      <c r="F530" s="18" t="n">
        <v>12475.68</v>
      </c>
      <c r="G530" s="19" t="str">
        <f aca="false">IF(N(B530)=0,"",TEXT(B530,"MM/YYYY"))</f>
        <v>02/2026</v>
      </c>
      <c r="H530" s="17" t="s">
        <v>108</v>
      </c>
    </row>
    <row r="531" customFormat="false" ht="15" hidden="false" customHeight="true" outlineLevel="0" collapsed="false">
      <c r="B531" s="15" t="n">
        <v>46054</v>
      </c>
      <c r="C531" s="16" t="s">
        <v>605</v>
      </c>
      <c r="D531" s="17" t="s">
        <v>107</v>
      </c>
      <c r="E531" s="16" t="s">
        <v>76</v>
      </c>
      <c r="F531" s="18" t="n">
        <v>1100</v>
      </c>
      <c r="G531" s="19" t="str">
        <f aca="false">IF(N(B531)=0,"",TEXT(B531,"MM/YYYY"))</f>
        <v>02/2026</v>
      </c>
      <c r="H531" s="17" t="s">
        <v>108</v>
      </c>
    </row>
    <row r="532" customFormat="false" ht="15" hidden="false" customHeight="true" outlineLevel="0" collapsed="false">
      <c r="B532" s="15" t="n">
        <v>46054</v>
      </c>
      <c r="C532" s="16" t="s">
        <v>606</v>
      </c>
      <c r="D532" s="17" t="s">
        <v>107</v>
      </c>
      <c r="E532" s="16" t="s">
        <v>28</v>
      </c>
      <c r="F532" s="18" t="n">
        <v>16008</v>
      </c>
      <c r="G532" s="19" t="str">
        <f aca="false">IF(N(B532)=0,"",TEXT(B532,"MM/YYYY"))</f>
        <v>02/2026</v>
      </c>
      <c r="H532" s="17" t="s">
        <v>108</v>
      </c>
    </row>
    <row r="533" customFormat="false" ht="15" hidden="false" customHeight="true" outlineLevel="0" collapsed="false">
      <c r="B533" s="15" t="n">
        <v>46054</v>
      </c>
      <c r="C533" s="16" t="s">
        <v>607</v>
      </c>
      <c r="D533" s="17" t="s">
        <v>107</v>
      </c>
      <c r="E533" s="16" t="s">
        <v>46</v>
      </c>
      <c r="F533" s="18" t="n">
        <v>150</v>
      </c>
      <c r="G533" s="19" t="str">
        <f aca="false">IF(N(B533)=0,"",TEXT(B533,"MM/YYYY"))</f>
        <v>02/2026</v>
      </c>
      <c r="H533" s="17" t="s">
        <v>108</v>
      </c>
    </row>
    <row r="534" customFormat="false" ht="15" hidden="false" customHeight="true" outlineLevel="0" collapsed="false">
      <c r="B534" s="15" t="n">
        <v>46054</v>
      </c>
      <c r="C534" s="16" t="s">
        <v>608</v>
      </c>
      <c r="D534" s="17" t="s">
        <v>107</v>
      </c>
      <c r="E534" s="16" t="s">
        <v>97</v>
      </c>
      <c r="F534" s="18" t="n">
        <v>500</v>
      </c>
      <c r="G534" s="19" t="str">
        <f aca="false">IF(N(B534)=0,"",TEXT(B534,"MM/YYYY"))</f>
        <v>02/2026</v>
      </c>
      <c r="H534" s="17" t="s">
        <v>108</v>
      </c>
    </row>
    <row r="535" customFormat="false" ht="15" hidden="false" customHeight="true" outlineLevel="0" collapsed="false">
      <c r="B535" s="15" t="n">
        <v>46054</v>
      </c>
      <c r="C535" s="16" t="s">
        <v>609</v>
      </c>
      <c r="D535" s="17" t="s">
        <v>107</v>
      </c>
      <c r="E535" s="16" t="s">
        <v>32</v>
      </c>
      <c r="F535" s="18" t="n">
        <v>491.98</v>
      </c>
      <c r="G535" s="19" t="str">
        <f aca="false">IF(N(B535)=0,"",TEXT(B535,"MM/YYYY"))</f>
        <v>02/2026</v>
      </c>
      <c r="H535" s="17" t="s">
        <v>108</v>
      </c>
    </row>
    <row r="536" customFormat="false" ht="15" hidden="false" customHeight="true" outlineLevel="0" collapsed="false">
      <c r="B536" s="15" t="n">
        <v>46054</v>
      </c>
      <c r="C536" s="16" t="s">
        <v>610</v>
      </c>
      <c r="D536" s="17" t="s">
        <v>107</v>
      </c>
      <c r="E536" s="16" t="s">
        <v>82</v>
      </c>
      <c r="F536" s="18" t="n">
        <v>517.08</v>
      </c>
      <c r="G536" s="19" t="str">
        <f aca="false">IF(N(B536)=0,"",TEXT(B536,"MM/YYYY"))</f>
        <v>02/2026</v>
      </c>
      <c r="H536" s="17" t="s">
        <v>108</v>
      </c>
    </row>
    <row r="537" customFormat="false" ht="15" hidden="false" customHeight="true" outlineLevel="0" collapsed="false">
      <c r="B537" s="15" t="n">
        <v>46054</v>
      </c>
      <c r="C537" s="16" t="s">
        <v>611</v>
      </c>
      <c r="D537" s="17" t="s">
        <v>107</v>
      </c>
      <c r="E537" s="16" t="s">
        <v>88</v>
      </c>
      <c r="F537" s="18" t="n">
        <v>18960</v>
      </c>
      <c r="G537" s="19" t="str">
        <f aca="false">IF(N(B537)=0,"",TEXT(B537,"MM/YYYY"))</f>
        <v>02/2026</v>
      </c>
      <c r="H537" s="17" t="s">
        <v>108</v>
      </c>
    </row>
    <row r="538" customFormat="false" ht="15" hidden="false" customHeight="true" outlineLevel="0" collapsed="false">
      <c r="B538" s="15" t="n">
        <v>46054</v>
      </c>
      <c r="C538" s="16" t="s">
        <v>612</v>
      </c>
      <c r="D538" s="17" t="s">
        <v>107</v>
      </c>
      <c r="E538" s="16" t="s">
        <v>50</v>
      </c>
      <c r="F538" s="18" t="n">
        <v>560</v>
      </c>
      <c r="G538" s="19" t="str">
        <f aca="false">IF(N(B538)=0,"",TEXT(B538,"MM/YYYY"))</f>
        <v>02/2026</v>
      </c>
      <c r="H538" s="17" t="s">
        <v>108</v>
      </c>
    </row>
    <row r="539" customFormat="false" ht="15" hidden="false" customHeight="true" outlineLevel="0" collapsed="false">
      <c r="B539" s="15" t="n">
        <v>46054</v>
      </c>
      <c r="C539" s="16" t="s">
        <v>613</v>
      </c>
      <c r="D539" s="17" t="s">
        <v>107</v>
      </c>
      <c r="E539" s="16" t="s">
        <v>51</v>
      </c>
      <c r="F539" s="18" t="n">
        <v>22754.7</v>
      </c>
      <c r="G539" s="19" t="str">
        <f aca="false">IF(N(B539)=0,"",TEXT(B539,"MM/YYYY"))</f>
        <v>02/2026</v>
      </c>
      <c r="H539" s="17" t="s">
        <v>108</v>
      </c>
    </row>
    <row r="540" customFormat="false" ht="15" hidden="false" customHeight="true" outlineLevel="0" collapsed="false">
      <c r="B540" s="15" t="n">
        <v>46054</v>
      </c>
      <c r="C540" s="16" t="s">
        <v>614</v>
      </c>
      <c r="D540" s="17" t="s">
        <v>107</v>
      </c>
      <c r="E540" s="16" t="s">
        <v>62</v>
      </c>
      <c r="F540" s="18" t="n">
        <v>510.74</v>
      </c>
      <c r="G540" s="19" t="str">
        <f aca="false">IF(N(B540)=0,"",TEXT(B540,"MM/YYYY"))</f>
        <v>02/2026</v>
      </c>
      <c r="H540" s="17" t="s">
        <v>108</v>
      </c>
    </row>
    <row r="541" customFormat="false" ht="15" hidden="false" customHeight="true" outlineLevel="0" collapsed="false">
      <c r="B541" s="15" t="n">
        <v>46054</v>
      </c>
      <c r="C541" s="16" t="s">
        <v>615</v>
      </c>
      <c r="D541" s="17" t="s">
        <v>107</v>
      </c>
      <c r="E541" s="16" t="s">
        <v>64</v>
      </c>
      <c r="F541" s="18" t="n">
        <v>267.01</v>
      </c>
      <c r="G541" s="19" t="str">
        <f aca="false">IF(N(B541)=0,"",TEXT(B541,"MM/YYYY"))</f>
        <v>02/2026</v>
      </c>
      <c r="H541" s="17" t="s">
        <v>108</v>
      </c>
    </row>
    <row r="542" customFormat="false" ht="15" hidden="false" customHeight="true" outlineLevel="0" collapsed="false">
      <c r="B542" s="15"/>
      <c r="C542" s="16"/>
      <c r="D542" s="17"/>
      <c r="E542" s="16"/>
      <c r="F542" s="18"/>
      <c r="G542" s="19"/>
      <c r="H542" s="17"/>
    </row>
    <row r="543" customFormat="false" ht="15" hidden="false" customHeight="true" outlineLevel="0" collapsed="false">
      <c r="B543" s="15" t="n">
        <v>46054</v>
      </c>
      <c r="C543" s="16" t="s">
        <v>616</v>
      </c>
      <c r="D543" s="17" t="s">
        <v>107</v>
      </c>
      <c r="E543" s="16" t="s">
        <v>26</v>
      </c>
      <c r="F543" s="18" t="n">
        <v>34761.67</v>
      </c>
      <c r="G543" s="19" t="str">
        <f aca="false">IF(N(B543)=0,"",TEXT(B543,"MM/YYYY"))</f>
        <v>02/2026</v>
      </c>
      <c r="H543" s="17" t="s">
        <v>108</v>
      </c>
    </row>
    <row r="544" customFormat="false" ht="15" hidden="false" customHeight="true" outlineLevel="0" collapsed="false">
      <c r="B544" s="15" t="n">
        <v>46054</v>
      </c>
      <c r="C544" s="16" t="s">
        <v>617</v>
      </c>
      <c r="D544" s="17" t="s">
        <v>107</v>
      </c>
      <c r="E544" s="16" t="s">
        <v>65</v>
      </c>
      <c r="F544" s="18" t="n">
        <v>130</v>
      </c>
      <c r="G544" s="19" t="str">
        <f aca="false">IF(N(B544)=0,"",TEXT(B544,"MM/YYYY"))</f>
        <v>02/2026</v>
      </c>
      <c r="H544" s="17" t="s">
        <v>108</v>
      </c>
    </row>
    <row r="545" customFormat="false" ht="15" hidden="false" customHeight="true" outlineLevel="0" collapsed="false">
      <c r="B545" s="15" t="n">
        <v>46054</v>
      </c>
      <c r="C545" s="16" t="s">
        <v>618</v>
      </c>
      <c r="D545" s="17" t="s">
        <v>107</v>
      </c>
      <c r="E545" s="16" t="s">
        <v>29</v>
      </c>
      <c r="F545" s="18" t="n">
        <v>4229</v>
      </c>
      <c r="G545" s="19" t="str">
        <f aca="false">IF(N(B545)=0,"",TEXT(B545,"MM/YYYY"))</f>
        <v>02/2026</v>
      </c>
      <c r="H545" s="17" t="s">
        <v>108</v>
      </c>
    </row>
    <row r="546" customFormat="false" ht="15" hidden="false" customHeight="true" outlineLevel="0" collapsed="false">
      <c r="B546" s="15" t="n">
        <v>46054</v>
      </c>
      <c r="C546" s="16" t="s">
        <v>619</v>
      </c>
      <c r="D546" s="17" t="s">
        <v>107</v>
      </c>
      <c r="E546" s="16" t="s">
        <v>95</v>
      </c>
      <c r="F546" s="18" t="n">
        <v>989.17</v>
      </c>
      <c r="G546" s="19" t="str">
        <f aca="false">IF(N(B546)=0,"",TEXT(B546,"MM/YYYY"))</f>
        <v>02/2026</v>
      </c>
      <c r="H546" s="17" t="s">
        <v>108</v>
      </c>
    </row>
    <row r="547" customFormat="false" ht="15" hidden="false" customHeight="true" outlineLevel="0" collapsed="false">
      <c r="B547" s="15" t="n">
        <v>46054</v>
      </c>
      <c r="C547" s="16" t="s">
        <v>620</v>
      </c>
      <c r="D547" s="17" t="s">
        <v>107</v>
      </c>
      <c r="E547" s="16" t="s">
        <v>49</v>
      </c>
      <c r="F547" s="18" t="n">
        <v>980</v>
      </c>
      <c r="G547" s="19" t="str">
        <f aca="false">IF(N(B547)=0,"",TEXT(B547,"MM/YYYY"))</f>
        <v>02/2026</v>
      </c>
      <c r="H547" s="17" t="s">
        <v>108</v>
      </c>
    </row>
    <row r="548" customFormat="false" ht="15" hidden="false" customHeight="true" outlineLevel="0" collapsed="false">
      <c r="B548" s="15" t="n">
        <v>46054</v>
      </c>
      <c r="C548" s="16" t="s">
        <v>621</v>
      </c>
      <c r="D548" s="17" t="s">
        <v>107</v>
      </c>
      <c r="E548" s="16" t="s">
        <v>59</v>
      </c>
      <c r="F548" s="18" t="n">
        <v>3250.01</v>
      </c>
      <c r="G548" s="19" t="str">
        <f aca="false">IF(N(B548)=0,"",TEXT(B548,"MM/YYYY"))</f>
        <v>02/2026</v>
      </c>
      <c r="H548" s="17" t="s">
        <v>108</v>
      </c>
    </row>
    <row r="549" customFormat="false" ht="15" hidden="false" customHeight="true" outlineLevel="0" collapsed="false">
      <c r="B549" s="15" t="n">
        <v>46054</v>
      </c>
      <c r="C549" s="16" t="s">
        <v>622</v>
      </c>
      <c r="D549" s="17" t="s">
        <v>107</v>
      </c>
      <c r="E549" s="16" t="s">
        <v>54</v>
      </c>
      <c r="F549" s="18" t="n">
        <v>978.02</v>
      </c>
      <c r="G549" s="19" t="str">
        <f aca="false">IF(N(B549)=0,"",TEXT(B549,"MM/YYYY"))</f>
        <v>02/2026</v>
      </c>
      <c r="H549" s="17" t="s">
        <v>108</v>
      </c>
    </row>
    <row r="550" customFormat="false" ht="15" hidden="false" customHeight="true" outlineLevel="0" collapsed="false">
      <c r="B550" s="15" t="n">
        <v>46082</v>
      </c>
      <c r="C550" s="16" t="s">
        <v>623</v>
      </c>
      <c r="D550" s="17" t="s">
        <v>114</v>
      </c>
      <c r="E550" s="16" t="s">
        <v>22</v>
      </c>
      <c r="F550" s="18" t="n">
        <v>407513.03</v>
      </c>
      <c r="G550" s="19" t="str">
        <f aca="false">IF(N(B550)=0,"",TEXT(B550,"MM/YYYY"))</f>
        <v>03/2026</v>
      </c>
      <c r="H550" s="17" t="s">
        <v>108</v>
      </c>
    </row>
    <row r="551" customFormat="false" ht="15" hidden="false" customHeight="true" outlineLevel="0" collapsed="false">
      <c r="B551" s="15" t="n">
        <v>46082</v>
      </c>
      <c r="C551" s="16" t="s">
        <v>624</v>
      </c>
      <c r="D551" s="17" t="s">
        <v>107</v>
      </c>
      <c r="E551" s="16" t="s">
        <v>31</v>
      </c>
      <c r="F551" s="18" t="n">
        <v>8254</v>
      </c>
      <c r="G551" s="19" t="str">
        <f aca="false">IF(N(B551)=0,"",TEXT(B551,"MM/YYYY"))</f>
        <v>03/2026</v>
      </c>
      <c r="H551" s="17" t="s">
        <v>108</v>
      </c>
    </row>
    <row r="552" customFormat="false" ht="15" hidden="false" customHeight="true" outlineLevel="0" collapsed="false">
      <c r="B552" s="15" t="n">
        <v>46082</v>
      </c>
      <c r="C552" s="16" t="s">
        <v>625</v>
      </c>
      <c r="D552" s="17" t="s">
        <v>107</v>
      </c>
      <c r="E552" s="16" t="s">
        <v>84</v>
      </c>
      <c r="F552" s="18" t="n">
        <v>2500</v>
      </c>
      <c r="G552" s="19" t="str">
        <f aca="false">IF(N(B552)=0,"",TEXT(B552,"MM/YYYY"))</f>
        <v>03/2026</v>
      </c>
      <c r="H552" s="17" t="s">
        <v>108</v>
      </c>
    </row>
    <row r="553" customFormat="false" ht="15" hidden="false" customHeight="true" outlineLevel="0" collapsed="false">
      <c r="B553" s="15" t="n">
        <v>46082</v>
      </c>
      <c r="C553" s="16" t="s">
        <v>626</v>
      </c>
      <c r="D553" s="17" t="s">
        <v>107</v>
      </c>
      <c r="E553" s="16" t="s">
        <v>45</v>
      </c>
      <c r="F553" s="18" t="n">
        <v>25</v>
      </c>
      <c r="G553" s="19" t="str">
        <f aca="false">IF(N(B553)=0,"",TEXT(B553,"MM/YYYY"))</f>
        <v>03/2026</v>
      </c>
      <c r="H553" s="17" t="s">
        <v>108</v>
      </c>
    </row>
    <row r="554" customFormat="false" ht="15" hidden="false" customHeight="true" outlineLevel="0" collapsed="false">
      <c r="B554" s="15" t="n">
        <v>46082</v>
      </c>
      <c r="C554" s="16" t="s">
        <v>627</v>
      </c>
      <c r="D554" s="17" t="s">
        <v>107</v>
      </c>
      <c r="E554" s="16" t="s">
        <v>52</v>
      </c>
      <c r="F554" s="18" t="n">
        <v>8100</v>
      </c>
      <c r="G554" s="19" t="str">
        <f aca="false">IF(N(B554)=0,"",TEXT(B554,"MM/YYYY"))</f>
        <v>03/2026</v>
      </c>
      <c r="H554" s="17" t="s">
        <v>108</v>
      </c>
    </row>
    <row r="555" customFormat="false" ht="15" hidden="false" customHeight="true" outlineLevel="0" collapsed="false">
      <c r="B555" s="15" t="n">
        <v>46082</v>
      </c>
      <c r="C555" s="16" t="s">
        <v>628</v>
      </c>
      <c r="D555" s="17" t="s">
        <v>107</v>
      </c>
      <c r="E555" s="16" t="s">
        <v>81</v>
      </c>
      <c r="F555" s="18" t="n">
        <v>3500</v>
      </c>
      <c r="G555" s="19" t="str">
        <f aca="false">IF(N(B555)=0,"",TEXT(B555,"MM/YYYY"))</f>
        <v>03/2026</v>
      </c>
      <c r="H555" s="17" t="s">
        <v>108</v>
      </c>
    </row>
    <row r="556" customFormat="false" ht="15" hidden="false" customHeight="true" outlineLevel="0" collapsed="false">
      <c r="B556" s="15" t="n">
        <v>46082</v>
      </c>
      <c r="C556" s="16" t="s">
        <v>629</v>
      </c>
      <c r="D556" s="17" t="s">
        <v>107</v>
      </c>
      <c r="E556" s="16" t="s">
        <v>34</v>
      </c>
      <c r="F556" s="18" t="n">
        <v>25549.75</v>
      </c>
      <c r="G556" s="19" t="str">
        <f aca="false">IF(N(B556)=0,"",TEXT(B556,"MM/YYYY"))</f>
        <v>03/2026</v>
      </c>
      <c r="H556" s="17" t="s">
        <v>108</v>
      </c>
    </row>
    <row r="557" customFormat="false" ht="15" hidden="false" customHeight="true" outlineLevel="0" collapsed="false">
      <c r="B557" s="15" t="n">
        <v>46082</v>
      </c>
      <c r="C557" s="16" t="s">
        <v>630</v>
      </c>
      <c r="D557" s="17" t="s">
        <v>107</v>
      </c>
      <c r="E557" s="16" t="s">
        <v>40</v>
      </c>
      <c r="F557" s="18" t="n">
        <v>1044</v>
      </c>
      <c r="G557" s="19" t="str">
        <f aca="false">IF(N(B557)=0,"",TEXT(B557,"MM/YYYY"))</f>
        <v>03/2026</v>
      </c>
      <c r="H557" s="17" t="s">
        <v>108</v>
      </c>
    </row>
    <row r="558" customFormat="false" ht="15" hidden="false" customHeight="true" outlineLevel="0" collapsed="false">
      <c r="B558" s="15" t="n">
        <v>46082</v>
      </c>
      <c r="C558" s="16" t="s">
        <v>631</v>
      </c>
      <c r="D558" s="17" t="s">
        <v>107</v>
      </c>
      <c r="E558" s="16" t="s">
        <v>43</v>
      </c>
      <c r="F558" s="18" t="n">
        <v>1421.38</v>
      </c>
      <c r="G558" s="19" t="str">
        <f aca="false">IF(N(B558)=0,"",TEXT(B558,"MM/YYYY"))</f>
        <v>03/2026</v>
      </c>
      <c r="H558" s="17" t="s">
        <v>108</v>
      </c>
    </row>
    <row r="559" customFormat="false" ht="15" hidden="false" customHeight="true" outlineLevel="0" collapsed="false">
      <c r="B559" s="15"/>
      <c r="C559" s="16"/>
      <c r="D559" s="17"/>
      <c r="E559" s="16"/>
      <c r="F559" s="18"/>
      <c r="G559" s="19"/>
      <c r="H559" s="17"/>
    </row>
    <row r="560" customFormat="false" ht="15" hidden="false" customHeight="true" outlineLevel="0" collapsed="false">
      <c r="B560" s="15"/>
      <c r="C560" s="16"/>
      <c r="D560" s="17"/>
      <c r="E560" s="16"/>
      <c r="F560" s="18"/>
      <c r="G560" s="19"/>
      <c r="H560" s="17"/>
    </row>
    <row r="561" customFormat="false" ht="15" hidden="false" customHeight="true" outlineLevel="0" collapsed="false">
      <c r="B561" s="15" t="n">
        <v>46082</v>
      </c>
      <c r="C561" s="16" t="s">
        <v>632</v>
      </c>
      <c r="D561" s="17" t="s">
        <v>107</v>
      </c>
      <c r="E561" s="16" t="s">
        <v>60</v>
      </c>
      <c r="F561" s="18" t="n">
        <v>327.05</v>
      </c>
      <c r="G561" s="19" t="str">
        <f aca="false">IF(N(B561)=0,"",TEXT(B561,"MM/YYYY"))</f>
        <v>03/2026</v>
      </c>
      <c r="H561" s="17" t="s">
        <v>108</v>
      </c>
    </row>
    <row r="562" customFormat="false" ht="15" hidden="false" customHeight="true" outlineLevel="0" collapsed="false">
      <c r="B562" s="15" t="n">
        <v>46082</v>
      </c>
      <c r="C562" s="16" t="s">
        <v>633</v>
      </c>
      <c r="D562" s="17" t="s">
        <v>107</v>
      </c>
      <c r="E562" s="16" t="s">
        <v>89</v>
      </c>
      <c r="F562" s="18" t="n">
        <v>2056</v>
      </c>
      <c r="G562" s="19" t="str">
        <f aca="false">IF(N(B562)=0,"",TEXT(B562,"MM/YYYY"))</f>
        <v>03/2026</v>
      </c>
      <c r="H562" s="17" t="s">
        <v>108</v>
      </c>
    </row>
    <row r="563" customFormat="false" ht="15" hidden="false" customHeight="true" outlineLevel="0" collapsed="false">
      <c r="B563" s="15" t="n">
        <v>46082</v>
      </c>
      <c r="C563" s="16" t="s">
        <v>634</v>
      </c>
      <c r="D563" s="17" t="s">
        <v>107</v>
      </c>
      <c r="E563" s="16" t="s">
        <v>33</v>
      </c>
      <c r="F563" s="18" t="n">
        <v>6870</v>
      </c>
      <c r="G563" s="19" t="str">
        <f aca="false">IF(N(B563)=0,"",TEXT(B563,"MM/YYYY"))</f>
        <v>03/2026</v>
      </c>
      <c r="H563" s="17" t="s">
        <v>108</v>
      </c>
    </row>
    <row r="564" customFormat="false" ht="15" hidden="false" customHeight="true" outlineLevel="0" collapsed="false">
      <c r="B564" s="15" t="n">
        <v>46082</v>
      </c>
      <c r="C564" s="16" t="s">
        <v>635</v>
      </c>
      <c r="D564" s="17" t="s">
        <v>107</v>
      </c>
      <c r="E564" s="16" t="s">
        <v>42</v>
      </c>
      <c r="F564" s="18" t="n">
        <v>1967.03</v>
      </c>
      <c r="G564" s="19" t="str">
        <f aca="false">IF(N(B564)=0,"",TEXT(B564,"MM/YYYY"))</f>
        <v>03/2026</v>
      </c>
      <c r="H564" s="17" t="s">
        <v>108</v>
      </c>
    </row>
    <row r="565" customFormat="false" ht="15" hidden="false" customHeight="true" outlineLevel="0" collapsed="false">
      <c r="B565" s="15" t="n">
        <v>46082</v>
      </c>
      <c r="C565" s="16" t="s">
        <v>636</v>
      </c>
      <c r="D565" s="17" t="s">
        <v>107</v>
      </c>
      <c r="E565" s="16" t="s">
        <v>37</v>
      </c>
      <c r="F565" s="18" t="n">
        <v>1327.44</v>
      </c>
      <c r="G565" s="19" t="str">
        <f aca="false">IF(N(B565)=0,"",TEXT(B565,"MM/YYYY"))</f>
        <v>03/2026</v>
      </c>
      <c r="H565" s="17" t="s">
        <v>108</v>
      </c>
    </row>
    <row r="566" customFormat="false" ht="15" hidden="false" customHeight="true" outlineLevel="0" collapsed="false">
      <c r="B566" s="15" t="n">
        <v>46082</v>
      </c>
      <c r="C566" s="16" t="s">
        <v>637</v>
      </c>
      <c r="D566" s="17" t="s">
        <v>107</v>
      </c>
      <c r="E566" s="16" t="s">
        <v>58</v>
      </c>
      <c r="F566" s="18" t="n">
        <v>6364.3</v>
      </c>
      <c r="G566" s="19" t="str">
        <f aca="false">IF(N(B566)=0,"",TEXT(B566,"MM/YYYY"))</f>
        <v>03/2026</v>
      </c>
      <c r="H566" s="17" t="s">
        <v>108</v>
      </c>
    </row>
    <row r="567" customFormat="false" ht="15" hidden="false" customHeight="true" outlineLevel="0" collapsed="false">
      <c r="B567" s="15" t="n">
        <v>46082</v>
      </c>
      <c r="C567" s="16" t="s">
        <v>638</v>
      </c>
      <c r="D567" s="17" t="s">
        <v>107</v>
      </c>
      <c r="E567" s="16" t="s">
        <v>68</v>
      </c>
      <c r="F567" s="18" t="n">
        <v>163.62</v>
      </c>
      <c r="G567" s="19" t="str">
        <f aca="false">IF(N(B567)=0,"",TEXT(B567,"MM/YYYY"))</f>
        <v>03/2026</v>
      </c>
      <c r="H567" s="17" t="s">
        <v>108</v>
      </c>
    </row>
    <row r="568" customFormat="false" ht="15" hidden="false" customHeight="true" outlineLevel="0" collapsed="false">
      <c r="B568" s="15" t="n">
        <v>46082</v>
      </c>
      <c r="C568" s="16" t="s">
        <v>639</v>
      </c>
      <c r="D568" s="17" t="s">
        <v>107</v>
      </c>
      <c r="E568" s="16" t="s">
        <v>35</v>
      </c>
      <c r="F568" s="18" t="n">
        <v>6489</v>
      </c>
      <c r="G568" s="19" t="str">
        <f aca="false">IF(N(B568)=0,"",TEXT(B568,"MM/YYYY"))</f>
        <v>03/2026</v>
      </c>
      <c r="H568" s="17" t="s">
        <v>108</v>
      </c>
    </row>
    <row r="569" customFormat="false" ht="15" hidden="false" customHeight="true" outlineLevel="0" collapsed="false">
      <c r="B569" s="15" t="n">
        <v>46082</v>
      </c>
      <c r="C569" s="16" t="s">
        <v>640</v>
      </c>
      <c r="D569" s="17" t="s">
        <v>107</v>
      </c>
      <c r="E569" s="16" t="s">
        <v>30</v>
      </c>
      <c r="F569" s="18" t="n">
        <v>86202.5</v>
      </c>
      <c r="G569" s="19" t="str">
        <f aca="false">IF(N(B569)=0,"",TEXT(B569,"MM/YYYY"))</f>
        <v>03/2026</v>
      </c>
      <c r="H569" s="17" t="s">
        <v>108</v>
      </c>
    </row>
    <row r="570" customFormat="false" ht="15" hidden="false" customHeight="true" outlineLevel="0" collapsed="false">
      <c r="B570" s="15" t="n">
        <v>46082</v>
      </c>
      <c r="C570" s="16" t="s">
        <v>641</v>
      </c>
      <c r="D570" s="17" t="s">
        <v>107</v>
      </c>
      <c r="E570" s="16" t="s">
        <v>85</v>
      </c>
      <c r="F570" s="18" t="n">
        <v>3373.29</v>
      </c>
      <c r="G570" s="19" t="str">
        <f aca="false">IF(N(B570)=0,"",TEXT(B570,"MM/YYYY"))</f>
        <v>03/2026</v>
      </c>
      <c r="H570" s="17" t="s">
        <v>108</v>
      </c>
    </row>
    <row r="571" customFormat="false" ht="15" hidden="false" customHeight="true" outlineLevel="0" collapsed="false">
      <c r="B571" s="15" t="n">
        <v>46082</v>
      </c>
      <c r="C571" s="16" t="s">
        <v>642</v>
      </c>
      <c r="D571" s="17" t="s">
        <v>107</v>
      </c>
      <c r="E571" s="16" t="s">
        <v>61</v>
      </c>
      <c r="F571" s="18" t="n">
        <v>5837.18</v>
      </c>
      <c r="G571" s="19" t="str">
        <f aca="false">IF(N(B571)=0,"",TEXT(B571,"MM/YYYY"))</f>
        <v>03/2026</v>
      </c>
      <c r="H571" s="17" t="s">
        <v>108</v>
      </c>
    </row>
    <row r="572" customFormat="false" ht="15" hidden="false" customHeight="true" outlineLevel="0" collapsed="false">
      <c r="B572" s="15" t="n">
        <v>46082</v>
      </c>
      <c r="C572" s="16" t="s">
        <v>643</v>
      </c>
      <c r="D572" s="17" t="s">
        <v>107</v>
      </c>
      <c r="E572" s="16" t="s">
        <v>87</v>
      </c>
      <c r="F572" s="18" t="n">
        <v>4763.35</v>
      </c>
      <c r="G572" s="19" t="str">
        <f aca="false">IF(N(B572)=0,"",TEXT(B572,"MM/YYYY"))</f>
        <v>03/2026</v>
      </c>
      <c r="H572" s="17" t="s">
        <v>108</v>
      </c>
    </row>
    <row r="573" customFormat="false" ht="15" hidden="false" customHeight="true" outlineLevel="0" collapsed="false">
      <c r="B573" s="15" t="n">
        <v>46082</v>
      </c>
      <c r="C573" s="16" t="s">
        <v>644</v>
      </c>
      <c r="D573" s="17" t="s">
        <v>107</v>
      </c>
      <c r="E573" s="16" t="s">
        <v>70</v>
      </c>
      <c r="F573" s="18" t="n">
        <v>7750</v>
      </c>
      <c r="G573" s="19" t="str">
        <f aca="false">IF(N(B573)=0,"",TEXT(B573,"MM/YYYY"))</f>
        <v>03/2026</v>
      </c>
      <c r="H573" s="17" t="s">
        <v>108</v>
      </c>
    </row>
    <row r="574" customFormat="false" ht="15" hidden="false" customHeight="true" outlineLevel="0" collapsed="false">
      <c r="B574" s="15" t="n">
        <v>46082</v>
      </c>
      <c r="C574" s="16" t="s">
        <v>645</v>
      </c>
      <c r="D574" s="17" t="s">
        <v>107</v>
      </c>
      <c r="E574" s="16" t="s">
        <v>28</v>
      </c>
      <c r="F574" s="18" t="n">
        <v>28369</v>
      </c>
      <c r="G574" s="19" t="str">
        <f aca="false">IF(N(B574)=0,"",TEXT(B574,"MM/YYYY"))</f>
        <v>03/2026</v>
      </c>
      <c r="H574" s="17" t="s">
        <v>108</v>
      </c>
    </row>
    <row r="575" customFormat="false" ht="15" hidden="false" customHeight="true" outlineLevel="0" collapsed="false">
      <c r="B575" s="15" t="n">
        <v>46082</v>
      </c>
      <c r="C575" s="16" t="s">
        <v>646</v>
      </c>
      <c r="D575" s="17" t="s">
        <v>107</v>
      </c>
      <c r="E575" s="16" t="s">
        <v>90</v>
      </c>
      <c r="F575" s="18" t="n">
        <v>905</v>
      </c>
      <c r="G575" s="19" t="str">
        <f aca="false">IF(N(B575)=0,"",TEXT(B575,"MM/YYYY"))</f>
        <v>03/2026</v>
      </c>
      <c r="H575" s="17" t="s">
        <v>108</v>
      </c>
    </row>
    <row r="576" customFormat="false" ht="15" hidden="false" customHeight="true" outlineLevel="0" collapsed="false">
      <c r="B576" s="15" t="n">
        <v>46082</v>
      </c>
      <c r="C576" s="16" t="s">
        <v>647</v>
      </c>
      <c r="D576" s="17" t="s">
        <v>107</v>
      </c>
      <c r="E576" s="16" t="s">
        <v>46</v>
      </c>
      <c r="F576" s="18" t="n">
        <v>140</v>
      </c>
      <c r="G576" s="19" t="str">
        <f aca="false">IF(N(B576)=0,"",TEXT(B576,"MM/YYYY"))</f>
        <v>03/2026</v>
      </c>
      <c r="H576" s="17" t="s">
        <v>108</v>
      </c>
    </row>
    <row r="577" customFormat="false" ht="15" hidden="false" customHeight="true" outlineLevel="0" collapsed="false">
      <c r="B577" s="15" t="n">
        <v>46082</v>
      </c>
      <c r="C577" s="16" t="s">
        <v>648</v>
      </c>
      <c r="D577" s="17" t="s">
        <v>107</v>
      </c>
      <c r="E577" s="16" t="s">
        <v>57</v>
      </c>
      <c r="F577" s="18" t="n">
        <v>28</v>
      </c>
      <c r="G577" s="19" t="str">
        <f aca="false">IF(N(B577)=0,"",TEXT(B577,"MM/YYYY"))</f>
        <v>03/2026</v>
      </c>
      <c r="H577" s="17" t="s">
        <v>108</v>
      </c>
    </row>
    <row r="578" customFormat="false" ht="15" hidden="false" customHeight="true" outlineLevel="0" collapsed="false">
      <c r="B578" s="15" t="n">
        <v>46082</v>
      </c>
      <c r="C578" s="16" t="s">
        <v>649</v>
      </c>
      <c r="D578" s="17" t="s">
        <v>107</v>
      </c>
      <c r="E578" s="16" t="s">
        <v>82</v>
      </c>
      <c r="F578" s="18" t="n">
        <v>22</v>
      </c>
      <c r="G578" s="19" t="str">
        <f aca="false">IF(N(B578)=0,"",TEXT(B578,"MM/YYYY"))</f>
        <v>03/2026</v>
      </c>
      <c r="H578" s="17" t="s">
        <v>108</v>
      </c>
    </row>
    <row r="579" customFormat="false" ht="15" hidden="false" customHeight="true" outlineLevel="0" collapsed="false">
      <c r="B579" s="15" t="n">
        <v>46082</v>
      </c>
      <c r="C579" s="16" t="s">
        <v>650</v>
      </c>
      <c r="D579" s="17" t="s">
        <v>107</v>
      </c>
      <c r="E579" s="16" t="s">
        <v>72</v>
      </c>
      <c r="F579" s="18" t="n">
        <v>1508.5</v>
      </c>
      <c r="G579" s="19" t="str">
        <f aca="false">IF(N(B579)=0,"",TEXT(B579,"MM/YYYY"))</f>
        <v>03/2026</v>
      </c>
      <c r="H579" s="17" t="s">
        <v>108</v>
      </c>
    </row>
    <row r="580" customFormat="false" ht="15" hidden="false" customHeight="true" outlineLevel="0" collapsed="false">
      <c r="B580" s="15" t="n">
        <v>46082</v>
      </c>
      <c r="C580" s="16" t="s">
        <v>651</v>
      </c>
      <c r="D580" s="17" t="s">
        <v>107</v>
      </c>
      <c r="E580" s="16" t="s">
        <v>88</v>
      </c>
      <c r="F580" s="18" t="n">
        <v>16133</v>
      </c>
      <c r="G580" s="19" t="str">
        <f aca="false">IF(N(B580)=0,"",TEXT(B580,"MM/YYYY"))</f>
        <v>03/2026</v>
      </c>
      <c r="H580" s="17" t="s">
        <v>108</v>
      </c>
    </row>
    <row r="581" customFormat="false" ht="15" hidden="false" customHeight="true" outlineLevel="0" collapsed="false">
      <c r="B581" s="15" t="n">
        <v>46082</v>
      </c>
      <c r="C581" s="16" t="s">
        <v>652</v>
      </c>
      <c r="D581" s="17" t="s">
        <v>107</v>
      </c>
      <c r="E581" s="16" t="s">
        <v>50</v>
      </c>
      <c r="F581" s="18" t="n">
        <v>3950</v>
      </c>
      <c r="G581" s="19" t="str">
        <f aca="false">IF(N(B581)=0,"",TEXT(B581,"MM/YYYY"))</f>
        <v>03/2026</v>
      </c>
      <c r="H581" s="17" t="s">
        <v>108</v>
      </c>
    </row>
    <row r="582" customFormat="false" ht="15" hidden="false" customHeight="true" outlineLevel="0" collapsed="false">
      <c r="B582" s="15" t="n">
        <v>46082</v>
      </c>
      <c r="C582" s="16" t="s">
        <v>653</v>
      </c>
      <c r="D582" s="17" t="s">
        <v>107</v>
      </c>
      <c r="E582" s="16" t="s">
        <v>51</v>
      </c>
      <c r="F582" s="18" t="n">
        <v>29875.95</v>
      </c>
      <c r="G582" s="19" t="str">
        <f aca="false">IF(N(B582)=0,"",TEXT(B582,"MM/YYYY"))</f>
        <v>03/2026</v>
      </c>
      <c r="H582" s="17" t="s">
        <v>108</v>
      </c>
    </row>
    <row r="583" customFormat="false" ht="15" hidden="false" customHeight="true" outlineLevel="0" collapsed="false">
      <c r="B583" s="15" t="n">
        <v>46082</v>
      </c>
      <c r="C583" s="16" t="s">
        <v>654</v>
      </c>
      <c r="D583" s="17" t="s">
        <v>107</v>
      </c>
      <c r="E583" s="16" t="s">
        <v>62</v>
      </c>
      <c r="F583" s="18" t="n">
        <v>770.74</v>
      </c>
      <c r="G583" s="19" t="str">
        <f aca="false">IF(N(B583)=0,"",TEXT(B583,"MM/YYYY"))</f>
        <v>03/2026</v>
      </c>
      <c r="H583" s="17" t="s">
        <v>108</v>
      </c>
    </row>
    <row r="584" customFormat="false" ht="15" hidden="false" customHeight="true" outlineLevel="0" collapsed="false">
      <c r="B584" s="15" t="n">
        <v>46082</v>
      </c>
      <c r="C584" s="16" t="s">
        <v>655</v>
      </c>
      <c r="D584" s="17" t="s">
        <v>107</v>
      </c>
      <c r="E584" s="16" t="s">
        <v>64</v>
      </c>
      <c r="F584" s="18" t="n">
        <v>928.23</v>
      </c>
      <c r="G584" s="19" t="str">
        <f aca="false">IF(N(B584)=0,"",TEXT(B584,"MM/YYYY"))</f>
        <v>03/2026</v>
      </c>
      <c r="H584" s="17" t="s">
        <v>108</v>
      </c>
    </row>
    <row r="585" customFormat="false" ht="15" hidden="false" customHeight="true" outlineLevel="0" collapsed="false">
      <c r="B585" s="15"/>
      <c r="C585" s="16"/>
      <c r="D585" s="17"/>
      <c r="E585" s="16"/>
      <c r="F585" s="18"/>
      <c r="G585" s="19"/>
      <c r="H585" s="17"/>
    </row>
    <row r="586" customFormat="false" ht="15" hidden="false" customHeight="true" outlineLevel="0" collapsed="false">
      <c r="B586" s="15" t="n">
        <v>46082</v>
      </c>
      <c r="C586" s="16" t="s">
        <v>656</v>
      </c>
      <c r="D586" s="17" t="s">
        <v>107</v>
      </c>
      <c r="E586" s="16" t="s">
        <v>26</v>
      </c>
      <c r="F586" s="18" t="n">
        <v>55014.45</v>
      </c>
      <c r="G586" s="19" t="str">
        <f aca="false">IF(N(B586)=0,"",TEXT(B586,"MM/YYYY"))</f>
        <v>03/2026</v>
      </c>
      <c r="H586" s="17" t="s">
        <v>108</v>
      </c>
    </row>
    <row r="587" customFormat="false" ht="15" hidden="false" customHeight="true" outlineLevel="0" collapsed="false">
      <c r="B587" s="15" t="n">
        <v>46082</v>
      </c>
      <c r="C587" s="16" t="s">
        <v>657</v>
      </c>
      <c r="D587" s="17" t="s">
        <v>107</v>
      </c>
      <c r="E587" s="16" t="s">
        <v>65</v>
      </c>
      <c r="F587" s="18" t="n">
        <v>126.97</v>
      </c>
      <c r="G587" s="19" t="str">
        <f aca="false">IF(N(B587)=0,"",TEXT(B587,"MM/YYYY"))</f>
        <v>03/2026</v>
      </c>
      <c r="H587" s="17" t="s">
        <v>108</v>
      </c>
    </row>
    <row r="588" customFormat="false" ht="15" hidden="false" customHeight="true" outlineLevel="0" collapsed="false">
      <c r="B588" s="15" t="n">
        <v>46082</v>
      </c>
      <c r="C588" s="16" t="s">
        <v>658</v>
      </c>
      <c r="D588" s="17" t="s">
        <v>107</v>
      </c>
      <c r="E588" s="16" t="s">
        <v>29</v>
      </c>
      <c r="F588" s="18" t="n">
        <v>7756.6</v>
      </c>
      <c r="G588" s="19" t="str">
        <f aca="false">IF(N(B588)=0,"",TEXT(B588,"MM/YYYY"))</f>
        <v>03/2026</v>
      </c>
      <c r="H588" s="17" t="s">
        <v>108</v>
      </c>
    </row>
    <row r="589" customFormat="false" ht="15" hidden="false" customHeight="true" outlineLevel="0" collapsed="false">
      <c r="B589" s="15" t="n">
        <v>46082</v>
      </c>
      <c r="C589" s="16" t="s">
        <v>659</v>
      </c>
      <c r="D589" s="17" t="s">
        <v>107</v>
      </c>
      <c r="E589" s="16" t="s">
        <v>95</v>
      </c>
      <c r="F589" s="18" t="n">
        <v>1677.63</v>
      </c>
      <c r="G589" s="19" t="str">
        <f aca="false">IF(N(B589)=0,"",TEXT(B589,"MM/YYYY"))</f>
        <v>03/2026</v>
      </c>
      <c r="H589" s="17" t="s">
        <v>108</v>
      </c>
    </row>
    <row r="590" customFormat="false" ht="15" hidden="false" customHeight="true" outlineLevel="0" collapsed="false">
      <c r="B590" s="15" t="n">
        <v>46082</v>
      </c>
      <c r="C590" s="16" t="s">
        <v>660</v>
      </c>
      <c r="D590" s="17" t="s">
        <v>107</v>
      </c>
      <c r="E590" s="16" t="s">
        <v>49</v>
      </c>
      <c r="F590" s="18" t="n">
        <v>2400</v>
      </c>
      <c r="G590" s="19" t="str">
        <f aca="false">IF(N(B590)=0,"",TEXT(B590,"MM/YYYY"))</f>
        <v>03/2026</v>
      </c>
      <c r="H590" s="17" t="s">
        <v>108</v>
      </c>
    </row>
    <row r="591" customFormat="false" ht="15" hidden="false" customHeight="true" outlineLevel="0" collapsed="false">
      <c r="B591" s="15" t="n">
        <v>46082</v>
      </c>
      <c r="C591" s="16" t="s">
        <v>661</v>
      </c>
      <c r="D591" s="17" t="s">
        <v>107</v>
      </c>
      <c r="E591" s="16" t="s">
        <v>59</v>
      </c>
      <c r="F591" s="18" t="n">
        <v>3750.01</v>
      </c>
      <c r="G591" s="19" t="str">
        <f aca="false">IF(N(B591)=0,"",TEXT(B591,"MM/YYYY"))</f>
        <v>03/2026</v>
      </c>
      <c r="H591" s="17" t="s">
        <v>108</v>
      </c>
    </row>
    <row r="592" customFormat="false" ht="15" hidden="false" customHeight="true" outlineLevel="0" collapsed="false">
      <c r="B592" s="15" t="n">
        <v>46082</v>
      </c>
      <c r="C592" s="16" t="s">
        <v>662</v>
      </c>
      <c r="D592" s="17" t="s">
        <v>107</v>
      </c>
      <c r="E592" s="16" t="s">
        <v>54</v>
      </c>
      <c r="F592" s="18" t="n">
        <v>1085</v>
      </c>
      <c r="G592" s="19" t="str">
        <f aca="false">IF(N(B592)=0,"",TEXT(B592,"MM/YYYY"))</f>
        <v>03/2026</v>
      </c>
      <c r="H592" s="17" t="s">
        <v>108</v>
      </c>
    </row>
    <row r="593" customFormat="false" ht="15" hidden="false" customHeight="true" outlineLevel="0" collapsed="false">
      <c r="B593" s="15" t="n">
        <v>46082</v>
      </c>
      <c r="C593" s="16" t="s">
        <v>663</v>
      </c>
      <c r="D593" s="17" t="s">
        <v>107</v>
      </c>
      <c r="E593" s="16" t="s">
        <v>69</v>
      </c>
      <c r="F593" s="18" t="n">
        <v>203.75</v>
      </c>
      <c r="G593" s="19" t="str">
        <f aca="false">IF(N(B593)=0,"",TEXT(B593,"MM/YYYY"))</f>
        <v>03/2026</v>
      </c>
      <c r="H593" s="17" t="s">
        <v>108</v>
      </c>
    </row>
    <row r="594" customFormat="false" ht="15" hidden="false" customHeight="true" outlineLevel="0" collapsed="false">
      <c r="B594" s="15" t="n">
        <v>46113</v>
      </c>
      <c r="C594" s="16" t="s">
        <v>664</v>
      </c>
      <c r="D594" s="17" t="s">
        <v>114</v>
      </c>
      <c r="E594" s="16" t="s">
        <v>22</v>
      </c>
      <c r="F594" s="18" t="n">
        <v>443962.3</v>
      </c>
      <c r="G594" s="19" t="str">
        <f aca="false">IF(N(B594)=0,"",TEXT(B594,"MM/YYYY"))</f>
        <v>04/2026</v>
      </c>
      <c r="H594" s="17" t="s">
        <v>108</v>
      </c>
    </row>
    <row r="595" customFormat="false" ht="15" hidden="false" customHeight="true" outlineLevel="0" collapsed="false">
      <c r="B595" s="15" t="n">
        <v>46113</v>
      </c>
      <c r="C595" s="16" t="s">
        <v>665</v>
      </c>
      <c r="D595" s="17" t="s">
        <v>107</v>
      </c>
      <c r="E595" s="16" t="s">
        <v>31</v>
      </c>
      <c r="F595" s="18" t="n">
        <v>14765.1</v>
      </c>
      <c r="G595" s="19" t="str">
        <f aca="false">IF(N(B595)=0,"",TEXT(B595,"MM/YYYY"))</f>
        <v>04/2026</v>
      </c>
      <c r="H595" s="17" t="s">
        <v>108</v>
      </c>
    </row>
    <row r="596" customFormat="false" ht="15" hidden="false" customHeight="true" outlineLevel="0" collapsed="false">
      <c r="B596" s="15" t="n">
        <v>46113</v>
      </c>
      <c r="C596" s="16" t="s">
        <v>666</v>
      </c>
      <c r="D596" s="17" t="s">
        <v>107</v>
      </c>
      <c r="E596" s="16" t="s">
        <v>84</v>
      </c>
      <c r="F596" s="18" t="n">
        <v>2500</v>
      </c>
      <c r="G596" s="19" t="str">
        <f aca="false">IF(N(B596)=0,"",TEXT(B596,"MM/YYYY"))</f>
        <v>04/2026</v>
      </c>
      <c r="H596" s="17" t="s">
        <v>108</v>
      </c>
    </row>
    <row r="597" customFormat="false" ht="15" hidden="false" customHeight="true" outlineLevel="0" collapsed="false">
      <c r="B597" s="15" t="n">
        <v>46113</v>
      </c>
      <c r="C597" s="16" t="s">
        <v>667</v>
      </c>
      <c r="D597" s="17" t="s">
        <v>107</v>
      </c>
      <c r="E597" s="16" t="s">
        <v>52</v>
      </c>
      <c r="F597" s="18" t="n">
        <v>8100</v>
      </c>
      <c r="G597" s="19" t="str">
        <f aca="false">IF(N(B597)=0,"",TEXT(B597,"MM/YYYY"))</f>
        <v>04/2026</v>
      </c>
      <c r="H597" s="17" t="s">
        <v>108</v>
      </c>
    </row>
    <row r="598" customFormat="false" ht="15" hidden="false" customHeight="true" outlineLevel="0" collapsed="false">
      <c r="B598" s="15" t="n">
        <v>46113</v>
      </c>
      <c r="C598" s="16" t="s">
        <v>668</v>
      </c>
      <c r="D598" s="17" t="s">
        <v>107</v>
      </c>
      <c r="E598" s="16" t="s">
        <v>81</v>
      </c>
      <c r="F598" s="18" t="n">
        <v>3500</v>
      </c>
      <c r="G598" s="19" t="str">
        <f aca="false">IF(N(B598)=0,"",TEXT(B598,"MM/YYYY"))</f>
        <v>04/2026</v>
      </c>
      <c r="H598" s="17" t="s">
        <v>108</v>
      </c>
    </row>
    <row r="599" customFormat="false" ht="15" hidden="false" customHeight="true" outlineLevel="0" collapsed="false">
      <c r="B599" s="15" t="n">
        <v>46113</v>
      </c>
      <c r="C599" s="16" t="s">
        <v>669</v>
      </c>
      <c r="D599" s="17" t="s">
        <v>107</v>
      </c>
      <c r="E599" s="16" t="s">
        <v>34</v>
      </c>
      <c r="F599" s="18" t="n">
        <v>8269.79</v>
      </c>
      <c r="G599" s="19" t="str">
        <f aca="false">IF(N(B599)=0,"",TEXT(B599,"MM/YYYY"))</f>
        <v>04/2026</v>
      </c>
      <c r="H599" s="17" t="s">
        <v>108</v>
      </c>
    </row>
    <row r="600" customFormat="false" ht="15" hidden="false" customHeight="true" outlineLevel="0" collapsed="false">
      <c r="B600" s="15" t="n">
        <v>46113</v>
      </c>
      <c r="C600" s="16" t="s">
        <v>670</v>
      </c>
      <c r="D600" s="17" t="s">
        <v>107</v>
      </c>
      <c r="E600" s="16" t="s">
        <v>40</v>
      </c>
      <c r="F600" s="18" t="n">
        <v>1190</v>
      </c>
      <c r="G600" s="19" t="str">
        <f aca="false">IF(N(B600)=0,"",TEXT(B600,"MM/YYYY"))</f>
        <v>04/2026</v>
      </c>
      <c r="H600" s="17" t="s">
        <v>108</v>
      </c>
    </row>
    <row r="601" customFormat="false" ht="15" hidden="false" customHeight="true" outlineLevel="0" collapsed="false">
      <c r="B601" s="15" t="n">
        <v>46113</v>
      </c>
      <c r="C601" s="16" t="s">
        <v>671</v>
      </c>
      <c r="D601" s="17" t="s">
        <v>107</v>
      </c>
      <c r="E601" s="16" t="s">
        <v>43</v>
      </c>
      <c r="F601" s="18" t="n">
        <v>1349.31</v>
      </c>
      <c r="G601" s="19" t="str">
        <f aca="false">IF(N(B601)=0,"",TEXT(B601,"MM/YYYY"))</f>
        <v>04/2026</v>
      </c>
      <c r="H601" s="17" t="s">
        <v>108</v>
      </c>
    </row>
    <row r="602" customFormat="false" ht="15" hidden="false" customHeight="true" outlineLevel="0" collapsed="false">
      <c r="B602" s="15"/>
      <c r="C602" s="16"/>
      <c r="D602" s="17"/>
      <c r="E602" s="16"/>
      <c r="F602" s="18"/>
      <c r="G602" s="19"/>
      <c r="H602" s="17"/>
    </row>
    <row r="603" customFormat="false" ht="15" hidden="false" customHeight="true" outlineLevel="0" collapsed="false">
      <c r="B603" s="15" t="n">
        <v>46113</v>
      </c>
      <c r="C603" s="16" t="s">
        <v>672</v>
      </c>
      <c r="D603" s="17" t="s">
        <v>107</v>
      </c>
      <c r="E603" s="16" t="s">
        <v>60</v>
      </c>
      <c r="F603" s="18" t="n">
        <v>327.05</v>
      </c>
      <c r="G603" s="19" t="str">
        <f aca="false">IF(N(B603)=0,"",TEXT(B603,"MM/YYYY"))</f>
        <v>04/2026</v>
      </c>
      <c r="H603" s="17" t="s">
        <v>108</v>
      </c>
    </row>
    <row r="604" customFormat="false" ht="15" hidden="false" customHeight="true" outlineLevel="0" collapsed="false">
      <c r="B604" s="15" t="n">
        <v>46113</v>
      </c>
      <c r="C604" s="16" t="s">
        <v>673</v>
      </c>
      <c r="D604" s="17" t="s">
        <v>107</v>
      </c>
      <c r="E604" s="16" t="s">
        <v>89</v>
      </c>
      <c r="F604" s="18" t="n">
        <v>2055.6</v>
      </c>
      <c r="G604" s="19" t="str">
        <f aca="false">IF(N(B604)=0,"",TEXT(B604,"MM/YYYY"))</f>
        <v>04/2026</v>
      </c>
      <c r="H604" s="17" t="s">
        <v>108</v>
      </c>
    </row>
    <row r="605" customFormat="false" ht="15" hidden="false" customHeight="true" outlineLevel="0" collapsed="false">
      <c r="B605" s="15" t="n">
        <v>46113</v>
      </c>
      <c r="C605" s="16" t="s">
        <v>674</v>
      </c>
      <c r="D605" s="17" t="s">
        <v>107</v>
      </c>
      <c r="E605" s="16" t="s">
        <v>33</v>
      </c>
      <c r="F605" s="18" t="n">
        <v>5960</v>
      </c>
      <c r="G605" s="19" t="str">
        <f aca="false">IF(N(B605)=0,"",TEXT(B605,"MM/YYYY"))</f>
        <v>04/2026</v>
      </c>
      <c r="H605" s="17" t="s">
        <v>108</v>
      </c>
    </row>
    <row r="606" customFormat="false" ht="15" hidden="false" customHeight="true" outlineLevel="0" collapsed="false">
      <c r="B606" s="15" t="n">
        <v>46113</v>
      </c>
      <c r="C606" s="16" t="s">
        <v>675</v>
      </c>
      <c r="D606" s="17" t="s">
        <v>107</v>
      </c>
      <c r="E606" s="16" t="s">
        <v>42</v>
      </c>
      <c r="F606" s="18" t="n">
        <v>1927.86</v>
      </c>
      <c r="G606" s="19" t="str">
        <f aca="false">IF(N(B606)=0,"",TEXT(B606,"MM/YYYY"))</f>
        <v>04/2026</v>
      </c>
      <c r="H606" s="17" t="s">
        <v>108</v>
      </c>
    </row>
    <row r="607" customFormat="false" ht="15" hidden="false" customHeight="true" outlineLevel="0" collapsed="false">
      <c r="B607" s="15" t="n">
        <v>46113</v>
      </c>
      <c r="C607" s="16" t="s">
        <v>676</v>
      </c>
      <c r="D607" s="17" t="s">
        <v>107</v>
      </c>
      <c r="E607" s="16" t="s">
        <v>37</v>
      </c>
      <c r="F607" s="18" t="n">
        <v>942</v>
      </c>
      <c r="G607" s="19" t="str">
        <f aca="false">IF(N(B607)=0,"",TEXT(B607,"MM/YYYY"))</f>
        <v>04/2026</v>
      </c>
      <c r="H607" s="17" t="s">
        <v>108</v>
      </c>
    </row>
    <row r="608" customFormat="false" ht="15" hidden="false" customHeight="true" outlineLevel="0" collapsed="false">
      <c r="B608" s="15" t="n">
        <v>46113</v>
      </c>
      <c r="C608" s="16" t="s">
        <v>677</v>
      </c>
      <c r="D608" s="17" t="s">
        <v>107</v>
      </c>
      <c r="E608" s="16" t="s">
        <v>58</v>
      </c>
      <c r="F608" s="18" t="n">
        <v>6309</v>
      </c>
      <c r="G608" s="19" t="str">
        <f aca="false">IF(N(B608)=0,"",TEXT(B608,"MM/YYYY"))</f>
        <v>04/2026</v>
      </c>
      <c r="H608" s="17" t="s">
        <v>108</v>
      </c>
    </row>
    <row r="609" customFormat="false" ht="15" hidden="false" customHeight="true" outlineLevel="0" collapsed="false">
      <c r="B609" s="15" t="n">
        <v>46113</v>
      </c>
      <c r="C609" s="16" t="s">
        <v>678</v>
      </c>
      <c r="D609" s="17" t="s">
        <v>107</v>
      </c>
      <c r="E609" s="16" t="s">
        <v>35</v>
      </c>
      <c r="F609" s="18" t="n">
        <v>65</v>
      </c>
      <c r="G609" s="19" t="str">
        <f aca="false">IF(N(B609)=0,"",TEXT(B609,"MM/YYYY"))</f>
        <v>04/2026</v>
      </c>
      <c r="H609" s="17" t="s">
        <v>108</v>
      </c>
    </row>
    <row r="610" customFormat="false" ht="15" hidden="false" customHeight="true" outlineLevel="0" collapsed="false">
      <c r="B610" s="15" t="n">
        <v>46113</v>
      </c>
      <c r="C610" s="16" t="s">
        <v>679</v>
      </c>
      <c r="D610" s="17" t="s">
        <v>107</v>
      </c>
      <c r="E610" s="16" t="s">
        <v>30</v>
      </c>
      <c r="F610" s="18" t="n">
        <v>45358.5</v>
      </c>
      <c r="G610" s="19" t="str">
        <f aca="false">IF(N(B610)=0,"",TEXT(B610,"MM/YYYY"))</f>
        <v>04/2026</v>
      </c>
      <c r="H610" s="17" t="s">
        <v>108</v>
      </c>
    </row>
    <row r="611" customFormat="false" ht="15" hidden="false" customHeight="true" outlineLevel="0" collapsed="false">
      <c r="B611" s="15" t="n">
        <v>46113</v>
      </c>
      <c r="C611" s="16" t="s">
        <v>680</v>
      </c>
      <c r="D611" s="17" t="s">
        <v>107</v>
      </c>
      <c r="E611" s="16" t="s">
        <v>85</v>
      </c>
      <c r="F611" s="18" t="n">
        <v>3216.94</v>
      </c>
      <c r="G611" s="19" t="str">
        <f aca="false">IF(N(B611)=0,"",TEXT(B611,"MM/YYYY"))</f>
        <v>04/2026</v>
      </c>
      <c r="H611" s="17" t="s">
        <v>108</v>
      </c>
    </row>
    <row r="612" customFormat="false" ht="15" hidden="false" customHeight="true" outlineLevel="0" collapsed="false">
      <c r="B612" s="15" t="n">
        <v>46113</v>
      </c>
      <c r="C612" s="16" t="s">
        <v>681</v>
      </c>
      <c r="D612" s="17" t="s">
        <v>107</v>
      </c>
      <c r="E612" s="16" t="s">
        <v>61</v>
      </c>
      <c r="F612" s="18" t="n">
        <v>6258.05</v>
      </c>
      <c r="G612" s="19" t="str">
        <f aca="false">IF(N(B612)=0,"",TEXT(B612,"MM/YYYY"))</f>
        <v>04/2026</v>
      </c>
      <c r="H612" s="17" t="s">
        <v>108</v>
      </c>
    </row>
    <row r="613" customFormat="false" ht="15" hidden="false" customHeight="true" outlineLevel="0" collapsed="false">
      <c r="B613" s="15" t="n">
        <v>46113</v>
      </c>
      <c r="C613" s="16" t="s">
        <v>682</v>
      </c>
      <c r="D613" s="17" t="s">
        <v>107</v>
      </c>
      <c r="E613" s="16" t="s">
        <v>87</v>
      </c>
      <c r="F613" s="18" t="n">
        <v>2623.23</v>
      </c>
      <c r="G613" s="19" t="str">
        <f aca="false">IF(N(B613)=0,"",TEXT(B613,"MM/YYYY"))</f>
        <v>04/2026</v>
      </c>
      <c r="H613" s="17" t="s">
        <v>108</v>
      </c>
    </row>
    <row r="614" customFormat="false" ht="15" hidden="false" customHeight="true" outlineLevel="0" collapsed="false">
      <c r="B614" s="15" t="n">
        <v>46113</v>
      </c>
      <c r="C614" s="16" t="s">
        <v>683</v>
      </c>
      <c r="D614" s="17" t="s">
        <v>107</v>
      </c>
      <c r="E614" s="16" t="s">
        <v>28</v>
      </c>
      <c r="F614" s="18" t="n">
        <v>21335.8</v>
      </c>
      <c r="G614" s="19" t="str">
        <f aca="false">IF(N(B614)=0,"",TEXT(B614,"MM/YYYY"))</f>
        <v>04/2026</v>
      </c>
      <c r="H614" s="17" t="s">
        <v>108</v>
      </c>
    </row>
    <row r="615" customFormat="false" ht="15" hidden="false" customHeight="true" outlineLevel="0" collapsed="false">
      <c r="B615" s="15" t="n">
        <v>46113</v>
      </c>
      <c r="C615" s="16" t="s">
        <v>684</v>
      </c>
      <c r="D615" s="17" t="s">
        <v>107</v>
      </c>
      <c r="E615" s="16" t="s">
        <v>90</v>
      </c>
      <c r="F615" s="18" t="n">
        <v>28.5</v>
      </c>
      <c r="G615" s="19" t="str">
        <f aca="false">IF(N(B615)=0,"",TEXT(B615,"MM/YYYY"))</f>
        <v>04/2026</v>
      </c>
      <c r="H615" s="17" t="s">
        <v>108</v>
      </c>
    </row>
    <row r="616" customFormat="false" ht="15" hidden="false" customHeight="true" outlineLevel="0" collapsed="false">
      <c r="B616" s="15" t="n">
        <v>46113</v>
      </c>
      <c r="C616" s="16" t="s">
        <v>685</v>
      </c>
      <c r="D616" s="17" t="s">
        <v>107</v>
      </c>
      <c r="E616" s="16" t="s">
        <v>46</v>
      </c>
      <c r="F616" s="18" t="n">
        <v>150</v>
      </c>
      <c r="G616" s="19" t="str">
        <f aca="false">IF(N(B616)=0,"",TEXT(B616,"MM/YYYY"))</f>
        <v>04/2026</v>
      </c>
      <c r="H616" s="17" t="s">
        <v>108</v>
      </c>
    </row>
    <row r="617" customFormat="false" ht="15" hidden="false" customHeight="true" outlineLevel="0" collapsed="false">
      <c r="B617" s="15" t="n">
        <v>46113</v>
      </c>
      <c r="C617" s="16" t="s">
        <v>686</v>
      </c>
      <c r="D617" s="17" t="s">
        <v>107</v>
      </c>
      <c r="E617" s="16" t="s">
        <v>57</v>
      </c>
      <c r="F617" s="18" t="n">
        <v>13.74</v>
      </c>
      <c r="G617" s="19" t="str">
        <f aca="false">IF(N(B617)=0,"",TEXT(B617,"MM/YYYY"))</f>
        <v>04/2026</v>
      </c>
      <c r="H617" s="17" t="s">
        <v>108</v>
      </c>
    </row>
    <row r="618" customFormat="false" ht="15" hidden="false" customHeight="true" outlineLevel="0" collapsed="false">
      <c r="B618" s="15" t="n">
        <v>46113</v>
      </c>
      <c r="C618" s="16" t="s">
        <v>687</v>
      </c>
      <c r="D618" s="17" t="s">
        <v>107</v>
      </c>
      <c r="E618" s="16" t="s">
        <v>67</v>
      </c>
      <c r="F618" s="18" t="n">
        <v>168.44</v>
      </c>
      <c r="G618" s="19" t="str">
        <f aca="false">IF(N(B618)=0,"",TEXT(B618,"MM/YYYY"))</f>
        <v>04/2026</v>
      </c>
      <c r="H618" s="17" t="s">
        <v>108</v>
      </c>
    </row>
    <row r="619" customFormat="false" ht="15" hidden="false" customHeight="true" outlineLevel="0" collapsed="false">
      <c r="B619" s="15" t="n">
        <v>46113</v>
      </c>
      <c r="C619" s="16" t="s">
        <v>688</v>
      </c>
      <c r="D619" s="17" t="s">
        <v>107</v>
      </c>
      <c r="E619" s="16" t="s">
        <v>82</v>
      </c>
      <c r="F619" s="18" t="n">
        <v>89.29</v>
      </c>
      <c r="G619" s="19" t="str">
        <f aca="false">IF(N(B619)=0,"",TEXT(B619,"MM/YYYY"))</f>
        <v>04/2026</v>
      </c>
      <c r="H619" s="17" t="s">
        <v>108</v>
      </c>
    </row>
    <row r="620" customFormat="false" ht="15" hidden="false" customHeight="true" outlineLevel="0" collapsed="false">
      <c r="B620" s="15" t="n">
        <v>46113</v>
      </c>
      <c r="C620" s="16" t="s">
        <v>689</v>
      </c>
      <c r="D620" s="17" t="s">
        <v>107</v>
      </c>
      <c r="E620" s="16" t="s">
        <v>51</v>
      </c>
      <c r="F620" s="18" t="n">
        <v>30658.57</v>
      </c>
      <c r="G620" s="19" t="str">
        <f aca="false">IF(N(B620)=0,"",TEXT(B620,"MM/YYYY"))</f>
        <v>04/2026</v>
      </c>
      <c r="H620" s="17" t="s">
        <v>108</v>
      </c>
    </row>
    <row r="621" customFormat="false" ht="15" hidden="false" customHeight="true" outlineLevel="0" collapsed="false">
      <c r="B621" s="15" t="n">
        <v>46113</v>
      </c>
      <c r="C621" s="16" t="s">
        <v>690</v>
      </c>
      <c r="D621" s="17" t="s">
        <v>107</v>
      </c>
      <c r="E621" s="16" t="s">
        <v>62</v>
      </c>
      <c r="F621" s="18" t="n">
        <v>508.74</v>
      </c>
      <c r="G621" s="19" t="str">
        <f aca="false">IF(N(B621)=0,"",TEXT(B621,"MM/YYYY"))</f>
        <v>04/2026</v>
      </c>
      <c r="H621" s="17" t="s">
        <v>108</v>
      </c>
    </row>
    <row r="622" customFormat="false" ht="15" hidden="false" customHeight="true" outlineLevel="0" collapsed="false">
      <c r="B622" s="15" t="n">
        <v>46113</v>
      </c>
      <c r="C622" s="16" t="s">
        <v>691</v>
      </c>
      <c r="D622" s="17" t="s">
        <v>107</v>
      </c>
      <c r="E622" s="16" t="s">
        <v>64</v>
      </c>
      <c r="F622" s="18" t="n">
        <v>1198.14</v>
      </c>
      <c r="G622" s="19" t="str">
        <f aca="false">IF(N(B622)=0,"",TEXT(B622,"MM/YYYY"))</f>
        <v>04/2026</v>
      </c>
      <c r="H622" s="17" t="s">
        <v>108</v>
      </c>
    </row>
    <row r="623" customFormat="false" ht="15" hidden="false" customHeight="true" outlineLevel="0" collapsed="false">
      <c r="B623" s="15"/>
      <c r="C623" s="16"/>
      <c r="D623" s="17"/>
      <c r="E623" s="16"/>
      <c r="F623" s="18"/>
      <c r="G623" s="19"/>
      <c r="H623" s="17"/>
    </row>
    <row r="624" customFormat="false" ht="15" hidden="false" customHeight="true" outlineLevel="0" collapsed="false">
      <c r="B624" s="15" t="n">
        <v>46113</v>
      </c>
      <c r="C624" s="16" t="s">
        <v>692</v>
      </c>
      <c r="D624" s="17" t="s">
        <v>107</v>
      </c>
      <c r="E624" s="16" t="s">
        <v>26</v>
      </c>
      <c r="F624" s="18" t="n">
        <v>48196.17</v>
      </c>
      <c r="G624" s="19" t="str">
        <f aca="false">IF(N(B624)=0,"",TEXT(B624,"MM/YYYY"))</f>
        <v>04/2026</v>
      </c>
      <c r="H624" s="17" t="s">
        <v>108</v>
      </c>
    </row>
    <row r="625" customFormat="false" ht="15" hidden="false" customHeight="true" outlineLevel="0" collapsed="false">
      <c r="B625" s="15" t="n">
        <v>46113</v>
      </c>
      <c r="C625" s="16" t="s">
        <v>693</v>
      </c>
      <c r="D625" s="17" t="s">
        <v>107</v>
      </c>
      <c r="E625" s="16" t="s">
        <v>65</v>
      </c>
      <c r="F625" s="18" t="n">
        <v>130</v>
      </c>
      <c r="G625" s="19" t="str">
        <f aca="false">IF(N(B625)=0,"",TEXT(B625,"MM/YYYY"))</f>
        <v>04/2026</v>
      </c>
      <c r="H625" s="17" t="s">
        <v>108</v>
      </c>
    </row>
    <row r="626" customFormat="false" ht="15" hidden="false" customHeight="true" outlineLevel="0" collapsed="false">
      <c r="B626" s="15" t="n">
        <v>46113</v>
      </c>
      <c r="C626" s="16" t="s">
        <v>694</v>
      </c>
      <c r="D626" s="17" t="s">
        <v>107</v>
      </c>
      <c r="E626" s="16" t="s">
        <v>29</v>
      </c>
      <c r="F626" s="18" t="n">
        <v>5834.3</v>
      </c>
      <c r="G626" s="19" t="str">
        <f aca="false">IF(N(B626)=0,"",TEXT(B626,"MM/YYYY"))</f>
        <v>04/2026</v>
      </c>
      <c r="H626" s="17" t="s">
        <v>108</v>
      </c>
    </row>
    <row r="627" customFormat="false" ht="15" hidden="false" customHeight="true" outlineLevel="0" collapsed="false">
      <c r="B627" s="15" t="n">
        <v>46113</v>
      </c>
      <c r="C627" s="16" t="s">
        <v>695</v>
      </c>
      <c r="D627" s="17" t="s">
        <v>107</v>
      </c>
      <c r="E627" s="16" t="s">
        <v>95</v>
      </c>
      <c r="F627" s="18" t="n">
        <v>2147</v>
      </c>
      <c r="G627" s="19" t="str">
        <f aca="false">IF(N(B627)=0,"",TEXT(B627,"MM/YYYY"))</f>
        <v>04/2026</v>
      </c>
      <c r="H627" s="17" t="s">
        <v>108</v>
      </c>
    </row>
    <row r="628" customFormat="false" ht="15" hidden="false" customHeight="true" outlineLevel="0" collapsed="false">
      <c r="B628" s="15" t="n">
        <v>46113</v>
      </c>
      <c r="C628" s="16" t="s">
        <v>696</v>
      </c>
      <c r="D628" s="17" t="s">
        <v>107</v>
      </c>
      <c r="E628" s="16" t="s">
        <v>49</v>
      </c>
      <c r="F628" s="18" t="n">
        <v>1640</v>
      </c>
      <c r="G628" s="19" t="str">
        <f aca="false">IF(N(B628)=0,"",TEXT(B628,"MM/YYYY"))</f>
        <v>04/2026</v>
      </c>
      <c r="H628" s="17" t="s">
        <v>108</v>
      </c>
    </row>
    <row r="629" customFormat="false" ht="15" hidden="false" customHeight="true" outlineLevel="0" collapsed="false">
      <c r="B629" s="15" t="n">
        <v>46113</v>
      </c>
      <c r="C629" s="16" t="s">
        <v>697</v>
      </c>
      <c r="D629" s="17" t="s">
        <v>107</v>
      </c>
      <c r="E629" s="16" t="s">
        <v>59</v>
      </c>
      <c r="F629" s="18" t="n">
        <v>3650</v>
      </c>
      <c r="G629" s="19" t="str">
        <f aca="false">IF(N(B629)=0,"",TEXT(B629,"MM/YYYY"))</f>
        <v>04/2026</v>
      </c>
      <c r="H629" s="17" t="s">
        <v>108</v>
      </c>
    </row>
    <row r="630" customFormat="false" ht="15" hidden="false" customHeight="true" outlineLevel="0" collapsed="false">
      <c r="B630" s="15" t="n">
        <v>46113</v>
      </c>
      <c r="C630" s="16" t="s">
        <v>698</v>
      </c>
      <c r="D630" s="17" t="s">
        <v>107</v>
      </c>
      <c r="E630" s="16" t="s">
        <v>54</v>
      </c>
      <c r="F630" s="18" t="n">
        <v>957</v>
      </c>
      <c r="G630" s="19" t="str">
        <f aca="false">IF(N(B630)=0,"",TEXT(B630,"MM/YYYY"))</f>
        <v>04/2026</v>
      </c>
      <c r="H630" s="17" t="s">
        <v>108</v>
      </c>
    </row>
    <row r="631" customFormat="false" ht="15" hidden="false" customHeight="true" outlineLevel="0" collapsed="false">
      <c r="B631" s="15" t="n">
        <v>46143</v>
      </c>
      <c r="C631" s="16" t="s">
        <v>699</v>
      </c>
      <c r="D631" s="17" t="s">
        <v>114</v>
      </c>
      <c r="E631" s="16" t="s">
        <v>22</v>
      </c>
      <c r="F631" s="18" t="n">
        <v>550000</v>
      </c>
      <c r="G631" s="19" t="str">
        <f aca="false">IF(N(B631)=0,"",TEXT(B631,"MM/YYYY"))</f>
        <v>05/2026</v>
      </c>
      <c r="H631" s="17" t="s">
        <v>108</v>
      </c>
    </row>
    <row r="632" customFormat="false" ht="15" hidden="false" customHeight="true" outlineLevel="0" collapsed="false">
      <c r="B632" s="15" t="n">
        <v>46143</v>
      </c>
      <c r="C632" s="16" t="s">
        <v>700</v>
      </c>
      <c r="D632" s="17" t="s">
        <v>107</v>
      </c>
      <c r="E632" s="16" t="s">
        <v>34</v>
      </c>
      <c r="F632" s="18" t="n">
        <v>4500</v>
      </c>
      <c r="G632" s="19" t="str">
        <f aca="false">IF(N(B632)=0,"",TEXT(B632,"MM/YYYY"))</f>
        <v>05/2026</v>
      </c>
      <c r="H632" s="17" t="s">
        <v>108</v>
      </c>
    </row>
    <row r="633" customFormat="false" ht="15" hidden="false" customHeight="true" outlineLevel="0" collapsed="false">
      <c r="B633" s="15" t="n">
        <v>46143</v>
      </c>
      <c r="C633" s="16" t="s">
        <v>701</v>
      </c>
      <c r="D633" s="17" t="s">
        <v>107</v>
      </c>
      <c r="E633" s="16" t="s">
        <v>68</v>
      </c>
      <c r="F633" s="18" t="n">
        <v>151.96</v>
      </c>
      <c r="G633" s="19" t="str">
        <f aca="false">IF(N(B633)=0,"",TEXT(B633,"MM/YYYY"))</f>
        <v>05/2026</v>
      </c>
      <c r="H633" s="17" t="s">
        <v>108</v>
      </c>
    </row>
    <row r="634" customFormat="false" ht="15" hidden="false" customHeight="true" outlineLevel="0" collapsed="false">
      <c r="B634" s="15" t="n">
        <v>46143</v>
      </c>
      <c r="C634" s="16" t="s">
        <v>702</v>
      </c>
      <c r="D634" s="17" t="s">
        <v>107</v>
      </c>
      <c r="E634" s="16" t="s">
        <v>35</v>
      </c>
      <c r="F634" s="18" t="n">
        <v>5200</v>
      </c>
      <c r="G634" s="19" t="str">
        <f aca="false">IF(N(B634)=0,"",TEXT(B634,"MM/YYYY"))</f>
        <v>05/2026</v>
      </c>
      <c r="H634" s="17" t="s">
        <v>108</v>
      </c>
    </row>
    <row r="635" customFormat="false" ht="15" hidden="false" customHeight="true" outlineLevel="0" collapsed="false">
      <c r="B635" s="15" t="n">
        <v>46143</v>
      </c>
      <c r="C635" s="16" t="s">
        <v>703</v>
      </c>
      <c r="D635" s="17" t="s">
        <v>107</v>
      </c>
      <c r="E635" s="16" t="s">
        <v>30</v>
      </c>
      <c r="F635" s="18" t="n">
        <v>5751.5</v>
      </c>
      <c r="G635" s="19" t="str">
        <f aca="false">IF(N(B635)=0,"",TEXT(B635,"MM/YYYY"))</f>
        <v>05/2026</v>
      </c>
      <c r="H635" s="17" t="s">
        <v>108</v>
      </c>
    </row>
    <row r="636" customFormat="false" ht="15" hidden="false" customHeight="true" outlineLevel="0" collapsed="false">
      <c r="B636" s="15" t="n">
        <v>46143</v>
      </c>
      <c r="C636" s="16" t="s">
        <v>704</v>
      </c>
      <c r="D636" s="17" t="s">
        <v>107</v>
      </c>
      <c r="E636" s="16" t="s">
        <v>28</v>
      </c>
      <c r="F636" s="18" t="n">
        <v>3602</v>
      </c>
      <c r="G636" s="19" t="str">
        <f aca="false">IF(N(B636)=0,"",TEXT(B636,"MM/YYYY"))</f>
        <v>05/2026</v>
      </c>
      <c r="H636" s="17" t="s">
        <v>108</v>
      </c>
    </row>
    <row r="637" customFormat="false" ht="15" hidden="false" customHeight="true" outlineLevel="0" collapsed="false">
      <c r="B637" s="15" t="n">
        <v>46143</v>
      </c>
      <c r="C637" s="16" t="s">
        <v>705</v>
      </c>
      <c r="D637" s="17" t="s">
        <v>107</v>
      </c>
      <c r="E637" s="16" t="s">
        <v>26</v>
      </c>
      <c r="F637" s="18" t="n">
        <v>7328</v>
      </c>
      <c r="G637" s="19" t="str">
        <f aca="false">IF(N(B637)=0,"",TEXT(B637,"MM/YYYY"))</f>
        <v>05/2026</v>
      </c>
      <c r="H637" s="17" t="s">
        <v>108</v>
      </c>
    </row>
    <row r="638" customFormat="false" ht="15" hidden="false" customHeight="true" outlineLevel="0" collapsed="false">
      <c r="B638" s="15" t="n">
        <v>46143</v>
      </c>
      <c r="C638" s="16" t="s">
        <v>706</v>
      </c>
      <c r="D638" s="17" t="s">
        <v>107</v>
      </c>
      <c r="E638" s="16" t="s">
        <v>69</v>
      </c>
      <c r="F638" s="18" t="n">
        <v>261.86</v>
      </c>
      <c r="G638" s="19" t="str">
        <f aca="false">IF(N(B638)=0,"",TEXT(B638,"MM/YYYY"))</f>
        <v>05/2026</v>
      </c>
      <c r="H638" s="17" t="s">
        <v>108</v>
      </c>
    </row>
    <row r="639" customFormat="false" ht="15" hidden="false" customHeight="true" outlineLevel="0" collapsed="false">
      <c r="B639" s="15" t="n">
        <v>46174</v>
      </c>
      <c r="C639" s="16" t="s">
        <v>707</v>
      </c>
      <c r="D639" s="17" t="s">
        <v>114</v>
      </c>
      <c r="E639" s="16" t="s">
        <v>22</v>
      </c>
      <c r="F639" s="18" t="n">
        <v>640000</v>
      </c>
      <c r="G639" s="19" t="str">
        <f aca="false">IF(N(B639)=0,"",TEXT(B639,"MM/YYYY"))</f>
        <v>06/2026</v>
      </c>
      <c r="H639" s="17" t="s">
        <v>108</v>
      </c>
    </row>
    <row r="640" customFormat="false" ht="15" hidden="false" customHeight="true" outlineLevel="0" collapsed="false">
      <c r="B640" s="15" t="n">
        <v>45658</v>
      </c>
      <c r="C640" s="16" t="s">
        <v>708</v>
      </c>
      <c r="D640" s="17" t="s">
        <v>107</v>
      </c>
      <c r="E640" s="16" t="s">
        <v>24</v>
      </c>
      <c r="F640" s="18" t="n">
        <v>137102.37</v>
      </c>
      <c r="G640" s="19" t="str">
        <f aca="false">IF(N(B640)=0,"",TEXT(B640,"MM/YYYY"))</f>
        <v>01/2025</v>
      </c>
      <c r="H640" s="17" t="s">
        <v>108</v>
      </c>
    </row>
    <row r="641" customFormat="false" ht="15" hidden="false" customHeight="true" outlineLevel="0" collapsed="false">
      <c r="B641" s="15" t="n">
        <v>45689</v>
      </c>
      <c r="C641" s="16" t="s">
        <v>709</v>
      </c>
      <c r="D641" s="17" t="s">
        <v>107</v>
      </c>
      <c r="E641" s="16" t="s">
        <v>24</v>
      </c>
      <c r="F641" s="18" t="n">
        <v>225127.02</v>
      </c>
      <c r="G641" s="19" t="str">
        <f aca="false">IF(N(B641)=0,"",TEXT(B641,"MM/YYYY"))</f>
        <v>02/2025</v>
      </c>
      <c r="H641" s="17" t="s">
        <v>108</v>
      </c>
    </row>
    <row r="642" customFormat="false" ht="15" hidden="false" customHeight="true" outlineLevel="0" collapsed="false">
      <c r="B642" s="15" t="n">
        <v>45717</v>
      </c>
      <c r="C642" s="16" t="s">
        <v>710</v>
      </c>
      <c r="D642" s="17" t="s">
        <v>107</v>
      </c>
      <c r="E642" s="16" t="s">
        <v>24</v>
      </c>
      <c r="F642" s="18" t="n">
        <v>215036.99</v>
      </c>
      <c r="G642" s="19" t="str">
        <f aca="false">IF(N(B642)=0,"",TEXT(B642,"MM/YYYY"))</f>
        <v>03/2025</v>
      </c>
      <c r="H642" s="17" t="s">
        <v>108</v>
      </c>
    </row>
    <row r="643" customFormat="false" ht="15" hidden="false" customHeight="true" outlineLevel="0" collapsed="false">
      <c r="B643" s="15" t="n">
        <v>45748</v>
      </c>
      <c r="C643" s="16" t="s">
        <v>711</v>
      </c>
      <c r="D643" s="17" t="s">
        <v>107</v>
      </c>
      <c r="E643" s="16" t="s">
        <v>24</v>
      </c>
      <c r="F643" s="18" t="n">
        <v>291300.58</v>
      </c>
      <c r="G643" s="19" t="str">
        <f aca="false">IF(N(B643)=0,"",TEXT(B643,"MM/YYYY"))</f>
        <v>04/2025</v>
      </c>
      <c r="H643" s="17" t="s">
        <v>108</v>
      </c>
    </row>
    <row r="644" customFormat="false" ht="15" hidden="false" customHeight="true" outlineLevel="0" collapsed="false">
      <c r="B644" s="15" t="n">
        <v>45778</v>
      </c>
      <c r="C644" s="16" t="s">
        <v>712</v>
      </c>
      <c r="D644" s="17" t="s">
        <v>107</v>
      </c>
      <c r="E644" s="16" t="s">
        <v>24</v>
      </c>
      <c r="F644" s="18" t="n">
        <v>343316.08</v>
      </c>
      <c r="G644" s="19" t="str">
        <f aca="false">IF(N(B644)=0,"",TEXT(B644,"MM/YYYY"))</f>
        <v>05/2025</v>
      </c>
      <c r="H644" s="17" t="s">
        <v>108</v>
      </c>
    </row>
    <row r="645" customFormat="false" ht="15" hidden="false" customHeight="true" outlineLevel="0" collapsed="false">
      <c r="B645" s="15" t="n">
        <v>45809</v>
      </c>
      <c r="C645" s="16" t="s">
        <v>713</v>
      </c>
      <c r="D645" s="17" t="s">
        <v>107</v>
      </c>
      <c r="E645" s="16" t="s">
        <v>24</v>
      </c>
      <c r="F645" s="18" t="n">
        <v>402450.79</v>
      </c>
      <c r="G645" s="19" t="str">
        <f aca="false">IF(N(B645)=0,"",TEXT(B645,"MM/YYYY"))</f>
        <v>06/2025</v>
      </c>
      <c r="H645" s="17" t="s">
        <v>108</v>
      </c>
    </row>
    <row r="646" customFormat="false" ht="15" hidden="false" customHeight="true" outlineLevel="0" collapsed="false">
      <c r="B646" s="15" t="n">
        <v>45839</v>
      </c>
      <c r="C646" s="16" t="s">
        <v>714</v>
      </c>
      <c r="D646" s="17" t="s">
        <v>107</v>
      </c>
      <c r="E646" s="16" t="s">
        <v>24</v>
      </c>
      <c r="F646" s="18" t="n">
        <v>316241.94</v>
      </c>
      <c r="G646" s="19" t="str">
        <f aca="false">IF(N(B646)=0,"",TEXT(B646,"MM/YYYY"))</f>
        <v>07/2025</v>
      </c>
      <c r="H646" s="17" t="s">
        <v>108</v>
      </c>
    </row>
    <row r="647" customFormat="false" ht="15" hidden="false" customHeight="true" outlineLevel="0" collapsed="false">
      <c r="B647" s="15" t="n">
        <v>45870</v>
      </c>
      <c r="C647" s="16" t="s">
        <v>715</v>
      </c>
      <c r="D647" s="17" t="s">
        <v>107</v>
      </c>
      <c r="E647" s="16" t="s">
        <v>24</v>
      </c>
      <c r="F647" s="18" t="n">
        <v>379079.51</v>
      </c>
      <c r="G647" s="19" t="str">
        <f aca="false">IF(N(B647)=0,"",TEXT(B647,"MM/YYYY"))</f>
        <v>08/2025</v>
      </c>
      <c r="H647" s="17" t="s">
        <v>108</v>
      </c>
    </row>
    <row r="648" customFormat="false" ht="15" hidden="false" customHeight="true" outlineLevel="0" collapsed="false">
      <c r="B648" s="15" t="n">
        <v>45901</v>
      </c>
      <c r="C648" s="16" t="s">
        <v>716</v>
      </c>
      <c r="D648" s="17" t="s">
        <v>107</v>
      </c>
      <c r="E648" s="16" t="s">
        <v>24</v>
      </c>
      <c r="F648" s="18" t="n">
        <v>334766.19</v>
      </c>
      <c r="G648" s="19" t="str">
        <f aca="false">IF(N(B648)=0,"",TEXT(B648,"MM/YYYY"))</f>
        <v>09/2025</v>
      </c>
      <c r="H648" s="17" t="s">
        <v>108</v>
      </c>
    </row>
    <row r="649" customFormat="false" ht="15" hidden="false" customHeight="true" outlineLevel="0" collapsed="false">
      <c r="B649" s="15" t="n">
        <v>45931</v>
      </c>
      <c r="C649" s="16" t="s">
        <v>717</v>
      </c>
      <c r="D649" s="17" t="s">
        <v>107</v>
      </c>
      <c r="E649" s="16" t="s">
        <v>24</v>
      </c>
      <c r="F649" s="18" t="n">
        <v>484305.21</v>
      </c>
      <c r="G649" s="19" t="str">
        <f aca="false">IF(N(B649)=0,"",TEXT(B649,"MM/YYYY"))</f>
        <v>10/2025</v>
      </c>
      <c r="H649" s="17" t="s">
        <v>108</v>
      </c>
    </row>
    <row r="650" customFormat="false" ht="15" hidden="false" customHeight="true" outlineLevel="0" collapsed="false">
      <c r="B650" s="15" t="n">
        <v>45962</v>
      </c>
      <c r="C650" s="16" t="s">
        <v>718</v>
      </c>
      <c r="D650" s="17" t="s">
        <v>107</v>
      </c>
      <c r="E650" s="16" t="s">
        <v>24</v>
      </c>
      <c r="F650" s="18" t="n">
        <v>448073.59</v>
      </c>
      <c r="G650" s="19" t="str">
        <f aca="false">IF(N(B650)=0,"",TEXT(B650,"MM/YYYY"))</f>
        <v>11/2025</v>
      </c>
      <c r="H650" s="17" t="s">
        <v>108</v>
      </c>
    </row>
    <row r="651" customFormat="false" ht="15" hidden="false" customHeight="true" outlineLevel="0" collapsed="false">
      <c r="B651" s="15" t="n">
        <v>45992</v>
      </c>
      <c r="C651" s="16" t="s">
        <v>719</v>
      </c>
      <c r="D651" s="17" t="s">
        <v>107</v>
      </c>
      <c r="E651" s="16" t="s">
        <v>24</v>
      </c>
      <c r="F651" s="18" t="n">
        <v>493994.09</v>
      </c>
      <c r="G651" s="19" t="str">
        <f aca="false">IF(N(B651)=0,"",TEXT(B651,"MM/YYYY"))</f>
        <v>12/2025</v>
      </c>
      <c r="H651" s="17" t="s">
        <v>108</v>
      </c>
    </row>
    <row r="652" customFormat="false" ht="15" hidden="false" customHeight="true" outlineLevel="0" collapsed="false">
      <c r="B652" s="15" t="n">
        <v>46023</v>
      </c>
      <c r="C652" s="16" t="s">
        <v>720</v>
      </c>
      <c r="D652" s="17" t="s">
        <v>107</v>
      </c>
      <c r="E652" s="16" t="s">
        <v>24</v>
      </c>
      <c r="F652" s="18" t="n">
        <v>207626.5</v>
      </c>
      <c r="G652" s="19" t="str">
        <f aca="false">IF(N(B652)=0,"",TEXT(B652,"MM/YYYY"))</f>
        <v>01/2026</v>
      </c>
      <c r="H652" s="17" t="s">
        <v>108</v>
      </c>
    </row>
    <row r="653" customFormat="false" ht="15" hidden="false" customHeight="true" outlineLevel="0" collapsed="false">
      <c r="B653" s="15" t="n">
        <v>46054</v>
      </c>
      <c r="C653" s="16" t="s">
        <v>721</v>
      </c>
      <c r="D653" s="17" t="s">
        <v>107</v>
      </c>
      <c r="E653" s="16" t="s">
        <v>24</v>
      </c>
      <c r="F653" s="18" t="n">
        <v>191600.11</v>
      </c>
      <c r="G653" s="19" t="str">
        <f aca="false">IF(N(B653)=0,"",TEXT(B653,"MM/YYYY"))</f>
        <v>02/2026</v>
      </c>
      <c r="H653" s="17" t="s">
        <v>108</v>
      </c>
    </row>
    <row r="654" customFormat="false" ht="15" hidden="false" customHeight="true" outlineLevel="0" collapsed="false">
      <c r="B654" s="15" t="n">
        <v>46082</v>
      </c>
      <c r="C654" s="16" t="s">
        <v>722</v>
      </c>
      <c r="D654" s="17" t="s">
        <v>107</v>
      </c>
      <c r="E654" s="16" t="s">
        <v>24</v>
      </c>
      <c r="F654" s="18" t="n">
        <v>230106.66</v>
      </c>
      <c r="G654" s="19" t="str">
        <f aca="false">IF(N(B654)=0,"",TEXT(B654,"MM/YYYY"))</f>
        <v>03/2026</v>
      </c>
      <c r="H654" s="17" t="s">
        <v>108</v>
      </c>
    </row>
    <row r="655" customFormat="false" ht="15" hidden="false" customHeight="true" outlineLevel="0" collapsed="false">
      <c r="B655" s="15" t="n">
        <v>46113</v>
      </c>
      <c r="C655" s="16" t="s">
        <v>723</v>
      </c>
      <c r="D655" s="17" t="s">
        <v>107</v>
      </c>
      <c r="E655" s="16" t="s">
        <v>24</v>
      </c>
      <c r="F655" s="18" t="n">
        <v>264227.15</v>
      </c>
      <c r="G655" s="19" t="str">
        <f aca="false">IF(N(B655)=0,"",TEXT(B655,"MM/YYYY"))</f>
        <v>04/2026</v>
      </c>
      <c r="H655" s="17" t="s">
        <v>108</v>
      </c>
    </row>
    <row r="656" customFormat="false" ht="15" hidden="false" customHeight="true" outlineLevel="0" collapsed="false">
      <c r="B656" s="15"/>
      <c r="C656" s="16"/>
      <c r="D656" s="17"/>
      <c r="E656" s="16"/>
      <c r="F656" s="18"/>
      <c r="G656" s="19" t="str">
        <f aca="false">IF(N(B656)=0,"",TEXT(B656,"MM/YYYY"))</f>
        <v/>
      </c>
      <c r="H656" s="17"/>
    </row>
    <row r="657" customFormat="false" ht="15" hidden="false" customHeight="true" outlineLevel="0" collapsed="false">
      <c r="B657" s="15"/>
      <c r="C657" s="16"/>
      <c r="D657" s="17"/>
      <c r="E657" s="16"/>
      <c r="F657" s="18"/>
      <c r="G657" s="19" t="str">
        <f aca="false">IF(N(B657)=0,"",TEXT(B657,"MM/YYYY"))</f>
        <v/>
      </c>
      <c r="H657" s="17"/>
    </row>
    <row r="658" customFormat="false" ht="15" hidden="false" customHeight="true" outlineLevel="0" collapsed="false">
      <c r="B658" s="15"/>
      <c r="C658" s="16"/>
      <c r="D658" s="17"/>
      <c r="E658" s="16"/>
      <c r="F658" s="18"/>
      <c r="G658" s="19" t="str">
        <f aca="false">IF(N(B658)=0,"",TEXT(B658,"MM/YYYY"))</f>
        <v/>
      </c>
      <c r="H658" s="17"/>
    </row>
    <row r="659" customFormat="false" ht="15" hidden="false" customHeight="true" outlineLevel="0" collapsed="false">
      <c r="B659" s="15"/>
      <c r="C659" s="16"/>
      <c r="D659" s="17"/>
      <c r="E659" s="16"/>
      <c r="F659" s="18"/>
      <c r="G659" s="19" t="str">
        <f aca="false">IF(N(B659)=0,"",TEXT(B659,"MM/YYYY"))</f>
        <v/>
      </c>
      <c r="H659" s="17"/>
    </row>
    <row r="660" customFormat="false" ht="15" hidden="false" customHeight="true" outlineLevel="0" collapsed="false">
      <c r="B660" s="15"/>
      <c r="C660" s="16"/>
      <c r="D660" s="17"/>
      <c r="E660" s="16"/>
      <c r="F660" s="18"/>
      <c r="G660" s="19" t="str">
        <f aca="false">IF(N(B660)=0,"",TEXT(B660,"MM/YYYY"))</f>
        <v/>
      </c>
      <c r="H660" s="17"/>
    </row>
    <row r="661" customFormat="false" ht="15" hidden="false" customHeight="true" outlineLevel="0" collapsed="false">
      <c r="B661" s="15"/>
      <c r="C661" s="16"/>
      <c r="D661" s="16"/>
      <c r="E661" s="16"/>
      <c r="F661" s="18"/>
      <c r="G661" s="20" t="str">
        <f aca="false">IF(N(B661)=0,"",TEXT(B661,"MM/YYYY"))</f>
        <v/>
      </c>
      <c r="H661" s="16"/>
    </row>
    <row r="662" customFormat="false" ht="15" hidden="false" customHeight="true" outlineLevel="0" collapsed="false">
      <c r="B662" s="15"/>
      <c r="C662" s="16"/>
      <c r="D662" s="16"/>
      <c r="E662" s="16"/>
      <c r="F662" s="18"/>
      <c r="G662" s="20" t="str">
        <f aca="false">IF(N(B662)=0,"",TEXT(B662,"MM/YYYY"))</f>
        <v/>
      </c>
      <c r="H662" s="16"/>
    </row>
    <row r="663" customFormat="false" ht="15" hidden="false" customHeight="true" outlineLevel="0" collapsed="false">
      <c r="B663" s="15"/>
      <c r="C663" s="16"/>
      <c r="D663" s="16"/>
      <c r="E663" s="16"/>
      <c r="F663" s="18"/>
      <c r="G663" s="20" t="str">
        <f aca="false">IF(N(B663)=0,"",TEXT(B663,"MM/YYYY"))</f>
        <v/>
      </c>
      <c r="H663" s="16"/>
    </row>
    <row r="664" customFormat="false" ht="15" hidden="false" customHeight="true" outlineLevel="0" collapsed="false">
      <c r="B664" s="15"/>
      <c r="C664" s="16"/>
      <c r="D664" s="16"/>
      <c r="E664" s="16"/>
      <c r="F664" s="18"/>
      <c r="G664" s="20" t="str">
        <f aca="false">IF(N(B664)=0,"",TEXT(B664,"MM/YYYY"))</f>
        <v/>
      </c>
      <c r="H664" s="16"/>
    </row>
    <row r="665" customFormat="false" ht="15" hidden="false" customHeight="true" outlineLevel="0" collapsed="false">
      <c r="B665" s="15"/>
      <c r="C665" s="16"/>
      <c r="D665" s="16"/>
      <c r="E665" s="16"/>
      <c r="F665" s="18"/>
      <c r="G665" s="20" t="str">
        <f aca="false">IF(N(B665)=0,"",TEXT(B665,"MM/YYYY"))</f>
        <v/>
      </c>
      <c r="H665" s="16"/>
    </row>
    <row r="666" customFormat="false" ht="15" hidden="false" customHeight="true" outlineLevel="0" collapsed="false">
      <c r="B666" s="15"/>
      <c r="C666" s="16"/>
      <c r="D666" s="16"/>
      <c r="E666" s="16"/>
      <c r="F666" s="18"/>
      <c r="G666" s="20" t="str">
        <f aca="false">IF(N(B666)=0,"",TEXT(B666,"MM/YYYY"))</f>
        <v/>
      </c>
      <c r="H666" s="16"/>
    </row>
    <row r="667" customFormat="false" ht="15" hidden="false" customHeight="true" outlineLevel="0" collapsed="false">
      <c r="B667" s="15"/>
      <c r="C667" s="16"/>
      <c r="D667" s="16"/>
      <c r="E667" s="16"/>
      <c r="F667" s="18"/>
      <c r="G667" s="20" t="str">
        <f aca="false">IF(N(B667)=0,"",TEXT(B667,"MM/YYYY"))</f>
        <v/>
      </c>
      <c r="H667" s="16"/>
    </row>
    <row r="668" customFormat="false" ht="15" hidden="false" customHeight="true" outlineLevel="0" collapsed="false">
      <c r="B668" s="15"/>
      <c r="C668" s="16"/>
      <c r="D668" s="16"/>
      <c r="E668" s="16"/>
      <c r="F668" s="18"/>
      <c r="G668" s="20" t="str">
        <f aca="false">IF(N(B668)=0,"",TEXT(B668,"MM/YYYY"))</f>
        <v/>
      </c>
      <c r="H668" s="16"/>
    </row>
    <row r="669" customFormat="false" ht="15" hidden="false" customHeight="true" outlineLevel="0" collapsed="false">
      <c r="B669" s="15"/>
      <c r="C669" s="16"/>
      <c r="D669" s="16"/>
      <c r="E669" s="16"/>
      <c r="F669" s="18"/>
      <c r="G669" s="20" t="str">
        <f aca="false">IF(N(B669)=0,"",TEXT(B669,"MM/YYYY"))</f>
        <v/>
      </c>
      <c r="H669" s="16"/>
    </row>
    <row r="670" customFormat="false" ht="15" hidden="false" customHeight="true" outlineLevel="0" collapsed="false">
      <c r="B670" s="15"/>
      <c r="C670" s="16"/>
      <c r="D670" s="16"/>
      <c r="E670" s="16"/>
      <c r="F670" s="18"/>
      <c r="G670" s="20" t="str">
        <f aca="false">IF(N(B670)=0,"",TEXT(B670,"MM/YYYY"))</f>
        <v/>
      </c>
      <c r="H670" s="16"/>
    </row>
    <row r="671" customFormat="false" ht="15" hidden="false" customHeight="true" outlineLevel="0" collapsed="false">
      <c r="B671" s="15"/>
      <c r="C671" s="16"/>
      <c r="D671" s="16"/>
      <c r="E671" s="16"/>
      <c r="F671" s="18"/>
      <c r="G671" s="20" t="str">
        <f aca="false">IF(N(B671)=0,"",TEXT(B671,"MM/YYYY"))</f>
        <v/>
      </c>
      <c r="H671" s="16"/>
    </row>
    <row r="672" customFormat="false" ht="15" hidden="false" customHeight="true" outlineLevel="0" collapsed="false">
      <c r="B672" s="15"/>
      <c r="C672" s="16"/>
      <c r="D672" s="16"/>
      <c r="E672" s="16"/>
      <c r="F672" s="18"/>
      <c r="G672" s="20" t="str">
        <f aca="false">IF(N(B672)=0,"",TEXT(B672,"MM/YYYY"))</f>
        <v/>
      </c>
      <c r="H672" s="16"/>
    </row>
    <row r="673" customFormat="false" ht="15" hidden="false" customHeight="true" outlineLevel="0" collapsed="false">
      <c r="B673" s="15"/>
      <c r="C673" s="16"/>
      <c r="D673" s="16"/>
      <c r="E673" s="16"/>
      <c r="F673" s="18"/>
      <c r="G673" s="20" t="str">
        <f aca="false">IF(N(B673)=0,"",TEXT(B673,"MM/YYYY"))</f>
        <v/>
      </c>
      <c r="H673" s="16"/>
    </row>
    <row r="674" customFormat="false" ht="15" hidden="false" customHeight="true" outlineLevel="0" collapsed="false">
      <c r="B674" s="15"/>
      <c r="C674" s="16"/>
      <c r="D674" s="16"/>
      <c r="E674" s="16"/>
      <c r="F674" s="18"/>
      <c r="G674" s="20" t="str">
        <f aca="false">IF(N(B674)=0,"",TEXT(B674,"MM/YYYY"))</f>
        <v/>
      </c>
      <c r="H674" s="16"/>
    </row>
    <row r="675" customFormat="false" ht="15" hidden="false" customHeight="true" outlineLevel="0" collapsed="false">
      <c r="B675" s="15"/>
      <c r="C675" s="16"/>
      <c r="D675" s="16"/>
      <c r="E675" s="16"/>
      <c r="F675" s="18"/>
      <c r="G675" s="20" t="str">
        <f aca="false">IF(N(B675)=0,"",TEXT(B675,"MM/YYYY"))</f>
        <v/>
      </c>
      <c r="H675" s="16"/>
    </row>
    <row r="676" customFormat="false" ht="15" hidden="false" customHeight="true" outlineLevel="0" collapsed="false">
      <c r="B676" s="15"/>
      <c r="C676" s="16"/>
      <c r="D676" s="16"/>
      <c r="E676" s="16"/>
      <c r="F676" s="18"/>
      <c r="G676" s="20" t="str">
        <f aca="false">IF(N(B676)=0,"",TEXT(B676,"MM/YYYY"))</f>
        <v/>
      </c>
      <c r="H676" s="16"/>
    </row>
    <row r="677" customFormat="false" ht="15" hidden="false" customHeight="true" outlineLevel="0" collapsed="false">
      <c r="B677" s="15"/>
      <c r="C677" s="16"/>
      <c r="D677" s="16"/>
      <c r="E677" s="16"/>
      <c r="F677" s="18"/>
      <c r="G677" s="20" t="str">
        <f aca="false">IF(N(B677)=0,"",TEXT(B677,"MM/YYYY"))</f>
        <v/>
      </c>
      <c r="H677" s="16"/>
    </row>
    <row r="678" customFormat="false" ht="15" hidden="false" customHeight="true" outlineLevel="0" collapsed="false">
      <c r="B678" s="15"/>
      <c r="C678" s="16"/>
      <c r="D678" s="16"/>
      <c r="E678" s="16"/>
      <c r="F678" s="18"/>
      <c r="G678" s="20" t="str">
        <f aca="false">IF(N(B678)=0,"",TEXT(B678,"MM/YYYY"))</f>
        <v/>
      </c>
      <c r="H678" s="16"/>
    </row>
    <row r="679" customFormat="false" ht="15" hidden="false" customHeight="true" outlineLevel="0" collapsed="false">
      <c r="B679" s="15"/>
      <c r="C679" s="16"/>
      <c r="D679" s="16"/>
      <c r="E679" s="16"/>
      <c r="F679" s="18"/>
      <c r="G679" s="20" t="str">
        <f aca="false">IF(N(B679)=0,"",TEXT(B679,"MM/YYYY"))</f>
        <v/>
      </c>
      <c r="H679" s="16"/>
    </row>
    <row r="680" customFormat="false" ht="15" hidden="false" customHeight="true" outlineLevel="0" collapsed="false">
      <c r="B680" s="15"/>
      <c r="C680" s="16"/>
      <c r="D680" s="16"/>
      <c r="E680" s="16"/>
      <c r="F680" s="18"/>
      <c r="G680" s="20" t="str">
        <f aca="false">IF(N(B680)=0,"",TEXT(B680,"MM/YYYY"))</f>
        <v/>
      </c>
      <c r="H680" s="16"/>
    </row>
    <row r="681" customFormat="false" ht="15" hidden="false" customHeight="true" outlineLevel="0" collapsed="false">
      <c r="B681" s="15"/>
      <c r="C681" s="16"/>
      <c r="D681" s="16"/>
      <c r="E681" s="16"/>
      <c r="F681" s="18"/>
      <c r="G681" s="20" t="str">
        <f aca="false">IF(N(B681)=0,"",TEXT(B681,"MM/YYYY"))</f>
        <v/>
      </c>
      <c r="H681" s="16"/>
    </row>
    <row r="682" customFormat="false" ht="15" hidden="false" customHeight="true" outlineLevel="0" collapsed="false">
      <c r="B682" s="15"/>
      <c r="C682" s="16"/>
      <c r="D682" s="16"/>
      <c r="E682" s="16"/>
      <c r="F682" s="18"/>
      <c r="G682" s="20" t="str">
        <f aca="false">IF(N(B682)=0,"",TEXT(B682,"MM/YYYY"))</f>
        <v/>
      </c>
      <c r="H682" s="16"/>
    </row>
    <row r="683" customFormat="false" ht="15" hidden="false" customHeight="true" outlineLevel="0" collapsed="false">
      <c r="B683" s="15"/>
      <c r="C683" s="16"/>
      <c r="D683" s="16"/>
      <c r="E683" s="16"/>
      <c r="F683" s="18"/>
      <c r="G683" s="20" t="str">
        <f aca="false">IF(N(B683)=0,"",TEXT(B683,"MM/YYYY"))</f>
        <v/>
      </c>
      <c r="H683" s="16"/>
    </row>
    <row r="684" customFormat="false" ht="15" hidden="false" customHeight="true" outlineLevel="0" collapsed="false">
      <c r="B684" s="15"/>
      <c r="C684" s="16"/>
      <c r="D684" s="16"/>
      <c r="E684" s="16"/>
      <c r="F684" s="18"/>
      <c r="G684" s="20" t="str">
        <f aca="false">IF(N(B684)=0,"",TEXT(B684,"MM/YYYY"))</f>
        <v/>
      </c>
      <c r="H684" s="16"/>
    </row>
    <row r="685" customFormat="false" ht="15" hidden="false" customHeight="true" outlineLevel="0" collapsed="false">
      <c r="B685" s="15"/>
      <c r="C685" s="16"/>
      <c r="D685" s="16"/>
      <c r="E685" s="16"/>
      <c r="F685" s="18"/>
      <c r="G685" s="20" t="str">
        <f aca="false">IF(N(B685)=0,"",TEXT(B685,"MM/YYYY"))</f>
        <v/>
      </c>
      <c r="H685" s="16"/>
    </row>
    <row r="686" customFormat="false" ht="15" hidden="false" customHeight="true" outlineLevel="0" collapsed="false">
      <c r="B686" s="15"/>
      <c r="C686" s="16"/>
      <c r="D686" s="16"/>
      <c r="E686" s="16"/>
      <c r="F686" s="18"/>
      <c r="G686" s="20" t="str">
        <f aca="false">IF(N(B686)=0,"",TEXT(B686,"MM/YYYY"))</f>
        <v/>
      </c>
      <c r="H686" s="16"/>
    </row>
    <row r="687" customFormat="false" ht="15" hidden="false" customHeight="true" outlineLevel="0" collapsed="false">
      <c r="B687" s="15"/>
      <c r="C687" s="16"/>
      <c r="D687" s="16"/>
      <c r="E687" s="16"/>
      <c r="F687" s="18"/>
      <c r="G687" s="20" t="str">
        <f aca="false">IF(N(B687)=0,"",TEXT(B687,"MM/YYYY"))</f>
        <v/>
      </c>
      <c r="H687" s="16"/>
    </row>
    <row r="688" customFormat="false" ht="15" hidden="false" customHeight="true" outlineLevel="0" collapsed="false">
      <c r="B688" s="15"/>
      <c r="C688" s="16"/>
      <c r="D688" s="16"/>
      <c r="E688" s="16"/>
      <c r="F688" s="18"/>
      <c r="G688" s="20" t="str">
        <f aca="false">IF(N(B688)=0,"",TEXT(B688,"MM/YYYY"))</f>
        <v/>
      </c>
      <c r="H688" s="16"/>
    </row>
    <row r="689" customFormat="false" ht="15" hidden="false" customHeight="true" outlineLevel="0" collapsed="false">
      <c r="B689" s="15"/>
      <c r="C689" s="16"/>
      <c r="D689" s="16"/>
      <c r="E689" s="16"/>
      <c r="F689" s="18"/>
      <c r="G689" s="20" t="str">
        <f aca="false">IF(N(B689)=0,"",TEXT(B689,"MM/YYYY"))</f>
        <v/>
      </c>
      <c r="H689" s="16"/>
    </row>
    <row r="690" customFormat="false" ht="15" hidden="false" customHeight="true" outlineLevel="0" collapsed="false">
      <c r="B690" s="15"/>
      <c r="C690" s="16"/>
      <c r="D690" s="16"/>
      <c r="E690" s="16"/>
      <c r="F690" s="18"/>
      <c r="G690" s="20" t="str">
        <f aca="false">IF(N(B690)=0,"",TEXT(B690,"MM/YYYY"))</f>
        <v/>
      </c>
      <c r="H690" s="16"/>
    </row>
    <row r="691" customFormat="false" ht="15" hidden="false" customHeight="true" outlineLevel="0" collapsed="false">
      <c r="B691" s="15"/>
      <c r="C691" s="16"/>
      <c r="D691" s="16"/>
      <c r="E691" s="16"/>
      <c r="F691" s="18"/>
      <c r="G691" s="20" t="str">
        <f aca="false">IF(N(B691)=0,"",TEXT(B691,"MM/YYYY"))</f>
        <v/>
      </c>
      <c r="H691" s="16"/>
    </row>
    <row r="692" customFormat="false" ht="15" hidden="false" customHeight="true" outlineLevel="0" collapsed="false">
      <c r="B692" s="15"/>
      <c r="C692" s="16"/>
      <c r="D692" s="16"/>
      <c r="E692" s="16"/>
      <c r="F692" s="18"/>
      <c r="G692" s="20" t="str">
        <f aca="false">IF(N(B692)=0,"",TEXT(B692,"MM/YYYY"))</f>
        <v/>
      </c>
      <c r="H692" s="16"/>
    </row>
    <row r="693" customFormat="false" ht="15" hidden="false" customHeight="true" outlineLevel="0" collapsed="false">
      <c r="B693" s="15"/>
      <c r="C693" s="16"/>
      <c r="D693" s="16"/>
      <c r="E693" s="16"/>
      <c r="F693" s="18"/>
      <c r="G693" s="20" t="str">
        <f aca="false">IF(N(B693)=0,"",TEXT(B693,"MM/YYYY"))</f>
        <v/>
      </c>
      <c r="H693" s="16"/>
    </row>
    <row r="694" customFormat="false" ht="15" hidden="false" customHeight="true" outlineLevel="0" collapsed="false">
      <c r="B694" s="15"/>
      <c r="C694" s="16"/>
      <c r="D694" s="16"/>
      <c r="E694" s="16"/>
      <c r="F694" s="18"/>
      <c r="G694" s="20" t="str">
        <f aca="false">IF(N(B694)=0,"",TEXT(B694,"MM/YYYY"))</f>
        <v/>
      </c>
      <c r="H694" s="16"/>
    </row>
    <row r="695" customFormat="false" ht="15" hidden="false" customHeight="true" outlineLevel="0" collapsed="false">
      <c r="B695" s="15"/>
      <c r="C695" s="16"/>
      <c r="D695" s="16"/>
      <c r="E695" s="16"/>
      <c r="F695" s="18"/>
      <c r="G695" s="20" t="str">
        <f aca="false">IF(N(B695)=0,"",TEXT(B695,"MM/YYYY"))</f>
        <v/>
      </c>
      <c r="H695" s="16"/>
    </row>
    <row r="696" customFormat="false" ht="15" hidden="false" customHeight="true" outlineLevel="0" collapsed="false">
      <c r="B696" s="15"/>
      <c r="C696" s="16"/>
      <c r="D696" s="16"/>
      <c r="E696" s="16"/>
      <c r="F696" s="18"/>
      <c r="G696" s="20" t="str">
        <f aca="false">IF(N(B696)=0,"",TEXT(B696,"MM/YYYY"))</f>
        <v/>
      </c>
      <c r="H696" s="16"/>
    </row>
    <row r="697" customFormat="false" ht="15" hidden="false" customHeight="true" outlineLevel="0" collapsed="false">
      <c r="B697" s="15"/>
      <c r="C697" s="16"/>
      <c r="D697" s="16"/>
      <c r="E697" s="16"/>
      <c r="F697" s="18"/>
      <c r="G697" s="20" t="str">
        <f aca="false">IF(N(B697)=0,"",TEXT(B697,"MM/YYYY"))</f>
        <v/>
      </c>
      <c r="H697" s="16"/>
    </row>
    <row r="698" customFormat="false" ht="15" hidden="false" customHeight="true" outlineLevel="0" collapsed="false">
      <c r="B698" s="15"/>
      <c r="C698" s="16"/>
      <c r="D698" s="16"/>
      <c r="E698" s="16"/>
      <c r="F698" s="18"/>
      <c r="G698" s="20" t="str">
        <f aca="false">IF(N(B698)=0,"",TEXT(B698,"MM/YYYY"))</f>
        <v/>
      </c>
      <c r="H698" s="16"/>
    </row>
    <row r="699" customFormat="false" ht="15" hidden="false" customHeight="true" outlineLevel="0" collapsed="false">
      <c r="B699" s="15"/>
      <c r="C699" s="16"/>
      <c r="D699" s="16"/>
      <c r="E699" s="16"/>
      <c r="F699" s="18"/>
      <c r="G699" s="20" t="str">
        <f aca="false">IF(N(B699)=0,"",TEXT(B699,"MM/YYYY"))</f>
        <v/>
      </c>
      <c r="H699" s="16"/>
    </row>
    <row r="700" customFormat="false" ht="15" hidden="false" customHeight="true" outlineLevel="0" collapsed="false">
      <c r="B700" s="15"/>
      <c r="C700" s="16"/>
      <c r="D700" s="16"/>
      <c r="E700" s="16"/>
      <c r="F700" s="18"/>
      <c r="G700" s="20" t="str">
        <f aca="false">IF(N(B700)=0,"",TEXT(B700,"MM/YYYY"))</f>
        <v/>
      </c>
      <c r="H700" s="16"/>
    </row>
  </sheetData>
  <mergeCells count="2">
    <mergeCell ref="B2:H2"/>
    <mergeCell ref="B3:H3"/>
  </mergeCells>
  <dataValidations count="3">
    <dataValidation allowBlank="true" errorStyle="stop" operator="between" showDropDown="false" showErrorMessage="false" showInputMessage="false" sqref="D6:D700" type="list">
      <formula1>"Entrada,Saída"</formula1>
      <formula2>0</formula2>
    </dataValidation>
    <dataValidation allowBlank="true" errorStyle="stop" operator="between" showDropDown="false" showErrorMessage="false" showInputMessage="false" sqref="H6:H700" type="list">
      <formula1>"Sim,Não"</formula1>
      <formula2>0</formula2>
    </dataValidation>
    <dataValidation allowBlank="true" errorStyle="stop" operator="between" showDropDown="false" showErrorMessage="false" showInputMessage="false" sqref="E6:E700" type="list">
      <formula1>Categorias!$G$5:$G$79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6" min="3" style="1" width="18"/>
  </cols>
  <sheetData>
    <row r="2" customFormat="false" ht="19.5" hidden="false" customHeight="true" outlineLevel="0" collapsed="false">
      <c r="B2" s="8" t="s">
        <v>724</v>
      </c>
      <c r="C2" s="8"/>
      <c r="D2" s="8"/>
      <c r="E2" s="8"/>
      <c r="F2" s="8"/>
    </row>
    <row r="3" customFormat="false" ht="15" hidden="false" customHeight="true" outlineLevel="0" collapsed="false">
      <c r="B3" s="14" t="s">
        <v>725</v>
      </c>
      <c r="C3" s="14"/>
      <c r="D3" s="14"/>
      <c r="E3" s="14"/>
      <c r="F3" s="14"/>
    </row>
    <row r="5" customFormat="false" ht="15" hidden="false" customHeight="true" outlineLevel="0" collapsed="false">
      <c r="B5" s="21" t="s">
        <v>726</v>
      </c>
      <c r="C5" s="18" t="n">
        <v>0</v>
      </c>
    </row>
    <row r="7" customFormat="false" ht="26.25" hidden="false" customHeight="true" outlineLevel="0" collapsed="false">
      <c r="B7" s="9" t="s">
        <v>104</v>
      </c>
      <c r="C7" s="9" t="s">
        <v>727</v>
      </c>
      <c r="D7" s="9" t="s">
        <v>728</v>
      </c>
      <c r="E7" s="9" t="s">
        <v>729</v>
      </c>
      <c r="F7" s="9" t="s">
        <v>730</v>
      </c>
    </row>
    <row r="8" customFormat="false" ht="15" hidden="false" customHeight="true" outlineLevel="0" collapsed="false">
      <c r="B8" s="22" t="s">
        <v>731</v>
      </c>
      <c r="C8" s="23" t="n">
        <v>0</v>
      </c>
      <c r="D8" s="24" t="n">
        <v>17715.33</v>
      </c>
      <c r="E8" s="25" t="n">
        <v>-17715.33</v>
      </c>
      <c r="F8" s="26" t="n">
        <v>-17715.33</v>
      </c>
    </row>
    <row r="9" customFormat="false" ht="15" hidden="false" customHeight="true" outlineLevel="0" collapsed="false">
      <c r="B9" s="22" t="s">
        <v>732</v>
      </c>
      <c r="C9" s="23" t="n">
        <v>216780.26</v>
      </c>
      <c r="D9" s="24" t="n">
        <v>585918.75</v>
      </c>
      <c r="E9" s="25" t="n">
        <v>-369138.49</v>
      </c>
      <c r="F9" s="26" t="n">
        <v>-386853.82</v>
      </c>
    </row>
    <row r="10" customFormat="false" ht="15" hidden="false" customHeight="true" outlineLevel="0" collapsed="false">
      <c r="B10" s="22" t="s">
        <v>733</v>
      </c>
      <c r="C10" s="23" t="n">
        <v>326133.08</v>
      </c>
      <c r="D10" s="24" t="n">
        <v>651892.13</v>
      </c>
      <c r="E10" s="25" t="n">
        <v>-325759.05</v>
      </c>
      <c r="F10" s="26" t="n">
        <v>-712612.87</v>
      </c>
    </row>
    <row r="11" customFormat="false" ht="15" hidden="false" customHeight="true" outlineLevel="0" collapsed="false">
      <c r="B11" s="22" t="s">
        <v>734</v>
      </c>
      <c r="C11" s="23" t="n">
        <v>357019.64</v>
      </c>
      <c r="D11" s="24" t="n">
        <v>613033.51</v>
      </c>
      <c r="E11" s="25" t="n">
        <v>-256013.87</v>
      </c>
      <c r="F11" s="26" t="n">
        <v>-968626.74</v>
      </c>
    </row>
    <row r="12" customFormat="false" ht="15" hidden="false" customHeight="true" outlineLevel="0" collapsed="false">
      <c r="B12" s="22" t="s">
        <v>735</v>
      </c>
      <c r="C12" s="23" t="n">
        <v>148595.57</v>
      </c>
      <c r="D12" s="24" t="n">
        <v>792065.26</v>
      </c>
      <c r="E12" s="25" t="n">
        <v>-643469.69</v>
      </c>
      <c r="F12" s="26" t="n">
        <v>-1612096.43</v>
      </c>
    </row>
    <row r="13" customFormat="false" ht="15" hidden="false" customHeight="true" outlineLevel="0" collapsed="false">
      <c r="B13" s="22" t="s">
        <v>736</v>
      </c>
      <c r="C13" s="23" t="n">
        <v>403279.55</v>
      </c>
      <c r="D13" s="24" t="n">
        <v>861481.32</v>
      </c>
      <c r="E13" s="25" t="n">
        <v>-458201.77</v>
      </c>
      <c r="F13" s="26" t="n">
        <v>-2070298.2</v>
      </c>
    </row>
    <row r="14" customFormat="false" ht="15" hidden="false" customHeight="true" outlineLevel="0" collapsed="false">
      <c r="B14" s="22" t="s">
        <v>737</v>
      </c>
      <c r="C14" s="23" t="n">
        <v>531416.69</v>
      </c>
      <c r="D14" s="24" t="n">
        <v>1030846.42</v>
      </c>
      <c r="E14" s="25" t="n">
        <v>-499429.73</v>
      </c>
      <c r="F14" s="26" t="n">
        <v>-2569727.93</v>
      </c>
    </row>
    <row r="15" customFormat="false" ht="15" hidden="false" customHeight="true" outlineLevel="0" collapsed="false">
      <c r="B15" s="22" t="s">
        <v>738</v>
      </c>
      <c r="C15" s="23" t="n">
        <v>429681.99</v>
      </c>
      <c r="D15" s="24" t="n">
        <v>1017721.82</v>
      </c>
      <c r="E15" s="25" t="n">
        <v>-588039.83</v>
      </c>
      <c r="F15" s="26" t="n">
        <v>-3157767.76</v>
      </c>
    </row>
    <row r="16" customFormat="false" ht="15" hidden="false" customHeight="true" outlineLevel="0" collapsed="false">
      <c r="B16" s="22" t="s">
        <v>739</v>
      </c>
      <c r="C16" s="23" t="n">
        <v>488467.9</v>
      </c>
      <c r="D16" s="24" t="n">
        <v>1075372.29</v>
      </c>
      <c r="E16" s="25" t="n">
        <v>-586904.39</v>
      </c>
      <c r="F16" s="26" t="n">
        <v>-3744672.15</v>
      </c>
    </row>
    <row r="17" customFormat="false" ht="15" hidden="false" customHeight="true" outlineLevel="0" collapsed="false">
      <c r="B17" s="22" t="s">
        <v>740</v>
      </c>
      <c r="C17" s="23" t="n">
        <v>494182.25</v>
      </c>
      <c r="D17" s="24" t="n">
        <v>1073798.72</v>
      </c>
      <c r="E17" s="25" t="n">
        <v>-579616.47</v>
      </c>
      <c r="F17" s="26" t="n">
        <v>-4324288.62</v>
      </c>
    </row>
    <row r="18" customFormat="false" ht="15" hidden="false" customHeight="true" outlineLevel="0" collapsed="false">
      <c r="B18" s="22" t="s">
        <v>741</v>
      </c>
      <c r="C18" s="23" t="n">
        <v>549870.59</v>
      </c>
      <c r="D18" s="24" t="n">
        <v>981874.29</v>
      </c>
      <c r="E18" s="25" t="n">
        <v>-432003.7</v>
      </c>
      <c r="F18" s="26" t="n">
        <v>-4756292.32</v>
      </c>
    </row>
    <row r="19" customFormat="false" ht="15" hidden="false" customHeight="true" outlineLevel="0" collapsed="false">
      <c r="B19" s="22" t="s">
        <v>742</v>
      </c>
      <c r="C19" s="23" t="n">
        <v>689343.98</v>
      </c>
      <c r="D19" s="24" t="n">
        <v>831356.18</v>
      </c>
      <c r="E19" s="25" t="n">
        <v>-142012.2</v>
      </c>
      <c r="F19" s="26" t="n">
        <v>-4898304.52</v>
      </c>
    </row>
    <row r="20" customFormat="false" ht="15" hidden="false" customHeight="true" outlineLevel="0" collapsed="false">
      <c r="B20" s="22" t="s">
        <v>743</v>
      </c>
      <c r="C20" s="23" t="n">
        <v>759990.9</v>
      </c>
      <c r="D20" s="24" t="n">
        <v>493994.09</v>
      </c>
      <c r="E20" s="25" t="n">
        <v>265996.81</v>
      </c>
      <c r="F20" s="26" t="n">
        <v>-4632307.71</v>
      </c>
    </row>
    <row r="21" customFormat="false" ht="15" hidden="false" customHeight="true" outlineLevel="0" collapsed="false">
      <c r="B21" s="22" t="s">
        <v>744</v>
      </c>
      <c r="C21" s="23" t="n">
        <v>237204.4</v>
      </c>
      <c r="D21" s="24" t="n">
        <v>460559.5</v>
      </c>
      <c r="E21" s="25" t="n">
        <v>-223355.1</v>
      </c>
      <c r="F21" s="26" t="n">
        <v>-4855662.81</v>
      </c>
    </row>
    <row r="22" customFormat="false" ht="15" hidden="false" customHeight="true" outlineLevel="0" collapsed="false">
      <c r="B22" s="22" t="s">
        <v>745</v>
      </c>
      <c r="C22" s="23" t="n">
        <v>294769.4</v>
      </c>
      <c r="D22" s="24" t="n">
        <v>433816.66</v>
      </c>
      <c r="E22" s="25" t="n">
        <v>-139047.26</v>
      </c>
      <c r="F22" s="26" t="n">
        <v>-4994710.07</v>
      </c>
    </row>
    <row r="23" customFormat="false" ht="15" hidden="false" customHeight="true" outlineLevel="0" collapsed="false">
      <c r="B23" s="22" t="s">
        <v>746</v>
      </c>
      <c r="C23" s="23" t="n">
        <v>407513.03</v>
      </c>
      <c r="D23" s="24" t="n">
        <v>568636.38</v>
      </c>
      <c r="E23" s="25" t="n">
        <v>-161123.35</v>
      </c>
      <c r="F23" s="26" t="n">
        <v>-5155833.42</v>
      </c>
    </row>
    <row r="24" customFormat="false" ht="15" hidden="false" customHeight="true" outlineLevel="0" collapsed="false">
      <c r="B24" s="22" t="s">
        <v>747</v>
      </c>
      <c r="C24" s="23" t="n">
        <v>443962.3</v>
      </c>
      <c r="D24" s="24" t="n">
        <v>495650.27</v>
      </c>
      <c r="E24" s="25" t="n">
        <v>-51687.97</v>
      </c>
      <c r="F24" s="26" t="n">
        <v>-5207521.39</v>
      </c>
    </row>
    <row r="25" customFormat="false" ht="15" hidden="false" customHeight="true" outlineLevel="0" collapsed="false">
      <c r="B25" s="22" t="s">
        <v>748</v>
      </c>
      <c r="C25" s="23" t="n">
        <v>550000</v>
      </c>
      <c r="D25" s="24" t="n">
        <v>26795.32</v>
      </c>
      <c r="E25" s="25" t="n">
        <v>523204.68</v>
      </c>
      <c r="F25" s="26" t="n">
        <v>-4684316.71</v>
      </c>
    </row>
    <row r="26" customFormat="false" ht="15" hidden="false" customHeight="true" outlineLevel="0" collapsed="false">
      <c r="B26" s="22" t="s">
        <v>749</v>
      </c>
      <c r="C26" s="23" t="n">
        <v>640000</v>
      </c>
      <c r="D26" s="24" t="n">
        <v>0</v>
      </c>
      <c r="E26" s="25" t="n">
        <v>640000</v>
      </c>
      <c r="F26" s="26" t="n">
        <v>-4044316.71</v>
      </c>
    </row>
    <row r="27" customFormat="false" ht="15" hidden="false" customHeight="true" outlineLevel="0" collapsed="false">
      <c r="B27" s="11" t="s">
        <v>750</v>
      </c>
      <c r="C27" s="27" t="n">
        <v>7968211.53</v>
      </c>
      <c r="D27" s="27" t="n">
        <v>12012528.24</v>
      </c>
      <c r="E27" s="27" t="n">
        <v>-4044316.71</v>
      </c>
      <c r="F27" s="28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21" min="3" style="1" width="13"/>
    <col collapsed="false" customWidth="true" hidden="false" outlineLevel="0" max="22" min="22" style="1" width="16"/>
  </cols>
  <sheetData>
    <row r="2" customFormat="false" ht="19.5" hidden="false" customHeight="true" outlineLevel="0" collapsed="false">
      <c r="B2" s="29" t="s">
        <v>751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</row>
    <row r="4" customFormat="false" ht="15" hidden="false" customHeight="true" outlineLevel="0" collapsed="false">
      <c r="B4" s="30" t="s">
        <v>101</v>
      </c>
      <c r="C4" s="31" t="s">
        <v>731</v>
      </c>
      <c r="D4" s="31" t="s">
        <v>732</v>
      </c>
      <c r="E4" s="31" t="s">
        <v>733</v>
      </c>
      <c r="F4" s="31" t="s">
        <v>734</v>
      </c>
      <c r="G4" s="31" t="s">
        <v>735</v>
      </c>
      <c r="H4" s="31" t="s">
        <v>736</v>
      </c>
      <c r="I4" s="31" t="s">
        <v>737</v>
      </c>
      <c r="J4" s="31" t="s">
        <v>738</v>
      </c>
      <c r="K4" s="31" t="s">
        <v>739</v>
      </c>
      <c r="L4" s="31" t="s">
        <v>740</v>
      </c>
      <c r="M4" s="31" t="s">
        <v>741</v>
      </c>
      <c r="N4" s="31" t="s">
        <v>742</v>
      </c>
      <c r="O4" s="31" t="s">
        <v>743</v>
      </c>
      <c r="P4" s="31" t="s">
        <v>744</v>
      </c>
      <c r="Q4" s="31" t="s">
        <v>745</v>
      </c>
      <c r="R4" s="31" t="s">
        <v>746</v>
      </c>
      <c r="S4" s="31" t="s">
        <v>747</v>
      </c>
      <c r="T4" s="31" t="s">
        <v>748</v>
      </c>
      <c r="U4" s="31" t="s">
        <v>749</v>
      </c>
      <c r="V4" s="32" t="s">
        <v>750</v>
      </c>
    </row>
    <row r="5" customFormat="false" ht="15" hidden="false" customHeight="true" outlineLevel="0" collapsed="false">
      <c r="B5" s="33" t="s">
        <v>752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</row>
    <row r="6" customFormat="false" ht="15" hidden="false" customHeight="true" outlineLevel="0" collapsed="false">
      <c r="B6" s="35" t="s">
        <v>753</v>
      </c>
      <c r="C6" s="25" t="n">
        <v>0</v>
      </c>
      <c r="D6" s="25" t="n">
        <v>216780.26</v>
      </c>
      <c r="E6" s="25" t="n">
        <v>326133.08</v>
      </c>
      <c r="F6" s="25" t="n">
        <v>357019.64</v>
      </c>
      <c r="G6" s="25" t="n">
        <v>148595.57</v>
      </c>
      <c r="H6" s="25" t="n">
        <v>403279.55</v>
      </c>
      <c r="I6" s="25" t="n">
        <v>531416.69</v>
      </c>
      <c r="J6" s="25" t="n">
        <v>429681.99</v>
      </c>
      <c r="K6" s="25" t="n">
        <v>488467.9</v>
      </c>
      <c r="L6" s="25" t="n">
        <v>494182.25</v>
      </c>
      <c r="M6" s="25" t="n">
        <v>549870.59</v>
      </c>
      <c r="N6" s="25" t="n">
        <v>689343.98</v>
      </c>
      <c r="O6" s="25" t="n">
        <v>759990.9</v>
      </c>
      <c r="P6" s="25" t="n">
        <v>237204.4</v>
      </c>
      <c r="Q6" s="25" t="n">
        <v>294769.4</v>
      </c>
      <c r="R6" s="25" t="n">
        <v>407513.03</v>
      </c>
      <c r="S6" s="25" t="n">
        <v>443962.3</v>
      </c>
      <c r="T6" s="25" t="n">
        <v>550000</v>
      </c>
      <c r="U6" s="25" t="n">
        <v>640000</v>
      </c>
      <c r="V6" s="25" t="n">
        <v>7968211.53</v>
      </c>
    </row>
    <row r="7" customFormat="false" ht="15" hidden="false" customHeight="true" outlineLevel="0" collapsed="false">
      <c r="B7" s="36" t="s">
        <v>754</v>
      </c>
      <c r="C7" s="37" t="n">
        <v>0</v>
      </c>
      <c r="D7" s="37" t="n">
        <v>216780.26</v>
      </c>
      <c r="E7" s="37" t="n">
        <v>326133.08</v>
      </c>
      <c r="F7" s="37" t="n">
        <v>357019.64</v>
      </c>
      <c r="G7" s="37" t="n">
        <v>148595.57</v>
      </c>
      <c r="H7" s="37" t="n">
        <v>403279.55</v>
      </c>
      <c r="I7" s="37" t="n">
        <v>531416.69</v>
      </c>
      <c r="J7" s="37" t="n">
        <v>429681.99</v>
      </c>
      <c r="K7" s="37" t="n">
        <v>488467.9</v>
      </c>
      <c r="L7" s="37" t="n">
        <v>494182.25</v>
      </c>
      <c r="M7" s="37" t="n">
        <v>549870.59</v>
      </c>
      <c r="N7" s="37" t="n">
        <v>689343.98</v>
      </c>
      <c r="O7" s="37" t="n">
        <v>759990.9</v>
      </c>
      <c r="P7" s="37" t="n">
        <v>237204.4</v>
      </c>
      <c r="Q7" s="37" t="n">
        <v>294769.4</v>
      </c>
      <c r="R7" s="37" t="n">
        <v>407513.03</v>
      </c>
      <c r="S7" s="37" t="n">
        <v>443962.3</v>
      </c>
      <c r="T7" s="37" t="n">
        <v>550000</v>
      </c>
      <c r="U7" s="37" t="n">
        <v>640000</v>
      </c>
      <c r="V7" s="37" t="n">
        <v>7968211.53</v>
      </c>
    </row>
    <row r="8" customFormat="false" ht="15" hidden="false" customHeight="true" outlineLevel="0" collapsed="false">
      <c r="B8" s="33" t="s">
        <v>755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</row>
    <row r="9" customFormat="false" ht="15" hidden="false" customHeight="true" outlineLevel="0" collapsed="false">
      <c r="B9" s="35" t="s">
        <v>756</v>
      </c>
      <c r="C9" s="25" t="n">
        <v>0</v>
      </c>
      <c r="D9" s="25" t="n">
        <v>22696.89</v>
      </c>
      <c r="E9" s="25" t="n">
        <v>34146.13</v>
      </c>
      <c r="F9" s="25" t="n">
        <v>37379.96</v>
      </c>
      <c r="G9" s="25" t="n">
        <v>15557.96</v>
      </c>
      <c r="H9" s="25" t="n">
        <v>42223.37</v>
      </c>
      <c r="I9" s="25" t="n">
        <v>55639.33</v>
      </c>
      <c r="J9" s="25" t="n">
        <v>44987.7</v>
      </c>
      <c r="K9" s="25" t="n">
        <v>51142.59</v>
      </c>
      <c r="L9" s="25" t="n">
        <v>51740.88</v>
      </c>
      <c r="M9" s="25" t="n">
        <v>57571.45</v>
      </c>
      <c r="N9" s="25" t="n">
        <v>72174.31</v>
      </c>
      <c r="O9" s="25" t="n">
        <v>79571.05</v>
      </c>
      <c r="P9" s="25" t="n">
        <v>24835.3</v>
      </c>
      <c r="Q9" s="25" t="n">
        <v>30862.36</v>
      </c>
      <c r="R9" s="25" t="n">
        <v>42666.61</v>
      </c>
      <c r="S9" s="25" t="n">
        <v>46482.85</v>
      </c>
      <c r="T9" s="25" t="n">
        <v>57585</v>
      </c>
      <c r="U9" s="25" t="n">
        <v>67008</v>
      </c>
      <c r="V9" s="25" t="n">
        <v>834271.74</v>
      </c>
    </row>
    <row r="10" customFormat="false" ht="15" hidden="false" customHeight="true" outlineLevel="0" collapsed="false">
      <c r="B10" s="35" t="s">
        <v>757</v>
      </c>
      <c r="C10" s="25" t="n">
        <v>0</v>
      </c>
      <c r="D10" s="25" t="n">
        <v>3251.7</v>
      </c>
      <c r="E10" s="25" t="n">
        <v>4892</v>
      </c>
      <c r="F10" s="25" t="n">
        <v>5355.29</v>
      </c>
      <c r="G10" s="25" t="n">
        <v>2228.93</v>
      </c>
      <c r="H10" s="25" t="n">
        <v>6049.19</v>
      </c>
      <c r="I10" s="25" t="n">
        <v>7971.25</v>
      </c>
      <c r="J10" s="25" t="n">
        <v>6445.23</v>
      </c>
      <c r="K10" s="25" t="n">
        <v>7327.02</v>
      </c>
      <c r="L10" s="25" t="n">
        <v>7412.73</v>
      </c>
      <c r="M10" s="25" t="n">
        <v>8248.06</v>
      </c>
      <c r="N10" s="25" t="n">
        <v>10340.16</v>
      </c>
      <c r="O10" s="25" t="n">
        <v>11399.86</v>
      </c>
      <c r="P10" s="25" t="n">
        <v>3558.07</v>
      </c>
      <c r="Q10" s="25" t="n">
        <v>4421.54</v>
      </c>
      <c r="R10" s="25" t="n">
        <v>6112.7</v>
      </c>
      <c r="S10" s="25" t="n">
        <v>6659.43</v>
      </c>
      <c r="T10" s="25" t="n">
        <v>8250</v>
      </c>
      <c r="U10" s="25" t="n">
        <v>9600</v>
      </c>
      <c r="V10" s="25" t="n">
        <v>119523.16</v>
      </c>
    </row>
    <row r="11" customFormat="false" ht="15" hidden="false" customHeight="true" outlineLevel="0" collapsed="false">
      <c r="B11" s="35" t="s">
        <v>758</v>
      </c>
      <c r="C11" s="25" t="n">
        <v>0</v>
      </c>
      <c r="D11" s="25" t="n">
        <v>216.78</v>
      </c>
      <c r="E11" s="25" t="n">
        <v>326.13</v>
      </c>
      <c r="F11" s="25" t="n">
        <v>357.02</v>
      </c>
      <c r="G11" s="25" t="n">
        <v>148.6</v>
      </c>
      <c r="H11" s="25" t="n">
        <v>403.28</v>
      </c>
      <c r="I11" s="25" t="n">
        <v>531.42</v>
      </c>
      <c r="J11" s="25" t="n">
        <v>429.68</v>
      </c>
      <c r="K11" s="25" t="n">
        <v>488.47</v>
      </c>
      <c r="L11" s="25" t="n">
        <v>494.18</v>
      </c>
      <c r="M11" s="25" t="n">
        <v>549.87</v>
      </c>
      <c r="N11" s="25" t="n">
        <v>689.34</v>
      </c>
      <c r="O11" s="25" t="n">
        <v>759.99</v>
      </c>
      <c r="P11" s="25" t="n">
        <v>237.2</v>
      </c>
      <c r="Q11" s="25" t="n">
        <v>294.77</v>
      </c>
      <c r="R11" s="25" t="n">
        <v>407.51</v>
      </c>
      <c r="S11" s="25" t="n">
        <v>443.96</v>
      </c>
      <c r="T11" s="25" t="n">
        <v>550</v>
      </c>
      <c r="U11" s="25" t="n">
        <v>640</v>
      </c>
      <c r="V11" s="25" t="n">
        <v>7968.2</v>
      </c>
    </row>
    <row r="12" customFormat="false" ht="15" hidden="false" customHeight="true" outlineLevel="0" collapsed="false">
      <c r="B12" s="36" t="s">
        <v>759</v>
      </c>
      <c r="C12" s="37" t="n">
        <v>0</v>
      </c>
      <c r="D12" s="37" t="n">
        <v>26165.38</v>
      </c>
      <c r="E12" s="37" t="n">
        <v>39364.26</v>
      </c>
      <c r="F12" s="37" t="n">
        <v>43092.27</v>
      </c>
      <c r="G12" s="37" t="n">
        <v>17935.49</v>
      </c>
      <c r="H12" s="37" t="n">
        <v>48675.84</v>
      </c>
      <c r="I12" s="37" t="n">
        <v>64141.99</v>
      </c>
      <c r="J12" s="37" t="n">
        <v>51862.62</v>
      </c>
      <c r="K12" s="37" t="n">
        <v>58958.08</v>
      </c>
      <c r="L12" s="37" t="n">
        <v>59647.8</v>
      </c>
      <c r="M12" s="37" t="n">
        <v>66369.38</v>
      </c>
      <c r="N12" s="37" t="n">
        <v>83203.82</v>
      </c>
      <c r="O12" s="37" t="n">
        <v>91730.9</v>
      </c>
      <c r="P12" s="37" t="n">
        <v>28630.57</v>
      </c>
      <c r="Q12" s="37" t="n">
        <v>35578.67</v>
      </c>
      <c r="R12" s="37" t="n">
        <v>49186.82</v>
      </c>
      <c r="S12" s="37" t="n">
        <v>53586.25</v>
      </c>
      <c r="T12" s="37" t="n">
        <v>66385</v>
      </c>
      <c r="U12" s="37" t="n">
        <v>77248</v>
      </c>
      <c r="V12" s="37" t="n">
        <v>961763.14</v>
      </c>
    </row>
    <row r="13" customFormat="false" ht="15" hidden="false" customHeight="true" outlineLevel="0" collapsed="false">
      <c r="B13" s="38" t="s">
        <v>760</v>
      </c>
      <c r="C13" s="39" t="n">
        <v>0</v>
      </c>
      <c r="D13" s="39" t="n">
        <v>190614.88</v>
      </c>
      <c r="E13" s="39" t="n">
        <v>286768.82</v>
      </c>
      <c r="F13" s="39" t="n">
        <v>313927.37</v>
      </c>
      <c r="G13" s="39" t="n">
        <v>130660.08</v>
      </c>
      <c r="H13" s="39" t="n">
        <v>354603.71</v>
      </c>
      <c r="I13" s="39" t="n">
        <v>467274.7</v>
      </c>
      <c r="J13" s="39" t="n">
        <v>377819.37</v>
      </c>
      <c r="K13" s="39" t="n">
        <v>429509.82</v>
      </c>
      <c r="L13" s="39" t="n">
        <v>434534.45</v>
      </c>
      <c r="M13" s="39" t="n">
        <v>483501.21</v>
      </c>
      <c r="N13" s="39" t="n">
        <v>606140.16</v>
      </c>
      <c r="O13" s="39" t="n">
        <v>668260</v>
      </c>
      <c r="P13" s="39" t="n">
        <v>208573.83</v>
      </c>
      <c r="Q13" s="39" t="n">
        <v>259190.73</v>
      </c>
      <c r="R13" s="39" t="n">
        <v>358326.21</v>
      </c>
      <c r="S13" s="39" t="n">
        <v>390376.05</v>
      </c>
      <c r="T13" s="39" t="n">
        <v>483615</v>
      </c>
      <c r="U13" s="39" t="n">
        <v>562752</v>
      </c>
      <c r="V13" s="39" t="n">
        <v>7006448.39</v>
      </c>
    </row>
    <row r="15" customFormat="false" ht="15" hidden="false" customHeight="true" outlineLevel="0" collapsed="false">
      <c r="B15" s="33" t="s">
        <v>761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</row>
    <row r="16" customFormat="false" ht="15" hidden="false" customHeight="true" outlineLevel="0" collapsed="false">
      <c r="B16" s="35" t="s">
        <v>762</v>
      </c>
      <c r="C16" s="25" t="n">
        <v>0</v>
      </c>
      <c r="D16" s="25" t="n">
        <v>137102.37</v>
      </c>
      <c r="E16" s="25" t="n">
        <v>225127.02</v>
      </c>
      <c r="F16" s="25" t="n">
        <v>215036.99</v>
      </c>
      <c r="G16" s="25" t="n">
        <v>291300.58</v>
      </c>
      <c r="H16" s="25" t="n">
        <v>343316.08</v>
      </c>
      <c r="I16" s="25" t="n">
        <v>402450.79</v>
      </c>
      <c r="J16" s="25" t="n">
        <v>316241.94</v>
      </c>
      <c r="K16" s="25" t="n">
        <v>379079.51</v>
      </c>
      <c r="L16" s="25" t="n">
        <v>334766.19</v>
      </c>
      <c r="M16" s="25" t="n">
        <v>484305.21</v>
      </c>
      <c r="N16" s="25" t="n">
        <v>448073.59</v>
      </c>
      <c r="O16" s="25" t="n">
        <v>493994.09</v>
      </c>
      <c r="P16" s="25" t="n">
        <v>207626.5</v>
      </c>
      <c r="Q16" s="25" t="n">
        <v>191600.11</v>
      </c>
      <c r="R16" s="25" t="n">
        <v>230106.66</v>
      </c>
      <c r="S16" s="25" t="n">
        <v>264227.15</v>
      </c>
      <c r="T16" s="25" t="n">
        <v>0</v>
      </c>
      <c r="U16" s="25" t="n">
        <v>0</v>
      </c>
      <c r="V16" s="25" t="n">
        <v>4964354.78</v>
      </c>
    </row>
    <row r="17" customFormat="false" ht="15" hidden="false" customHeight="true" outlineLevel="0" collapsed="false">
      <c r="B17" s="38" t="s">
        <v>763</v>
      </c>
      <c r="C17" s="39" t="n">
        <v>0</v>
      </c>
      <c r="D17" s="39" t="n">
        <v>53512.51</v>
      </c>
      <c r="E17" s="39" t="n">
        <v>61641.8</v>
      </c>
      <c r="F17" s="39" t="n">
        <v>98890.38</v>
      </c>
      <c r="G17" s="39" t="n">
        <v>-160640.5</v>
      </c>
      <c r="H17" s="39" t="n">
        <v>11287.63</v>
      </c>
      <c r="I17" s="39" t="n">
        <v>64823.91</v>
      </c>
      <c r="J17" s="39" t="n">
        <v>61577.43</v>
      </c>
      <c r="K17" s="39" t="n">
        <v>50430.31</v>
      </c>
      <c r="L17" s="39" t="n">
        <v>99768.26</v>
      </c>
      <c r="M17" s="39" t="n">
        <v>-804</v>
      </c>
      <c r="N17" s="39" t="n">
        <v>158066.57</v>
      </c>
      <c r="O17" s="39" t="n">
        <v>174265.91</v>
      </c>
      <c r="P17" s="39" t="n">
        <v>947.33</v>
      </c>
      <c r="Q17" s="39" t="n">
        <v>67590.62</v>
      </c>
      <c r="R17" s="39" t="n">
        <v>128219.55</v>
      </c>
      <c r="S17" s="39" t="n">
        <v>126148.9</v>
      </c>
      <c r="T17" s="39" t="n">
        <v>483615</v>
      </c>
      <c r="U17" s="39" t="n">
        <v>562752</v>
      </c>
      <c r="V17" s="39" t="n">
        <v>2042093.61</v>
      </c>
    </row>
    <row r="19" customFormat="false" ht="15" hidden="false" customHeight="true" outlineLevel="0" collapsed="false">
      <c r="B19" s="33" t="s">
        <v>764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</row>
    <row r="20" customFormat="false" ht="15" hidden="false" customHeight="true" outlineLevel="0" collapsed="false">
      <c r="B20" s="35" t="s">
        <v>765</v>
      </c>
      <c r="C20" s="25" t="n">
        <v>1035</v>
      </c>
      <c r="D20" s="25" t="n">
        <v>52686</v>
      </c>
      <c r="E20" s="25" t="n">
        <v>43502</v>
      </c>
      <c r="F20" s="25" t="n">
        <v>39024.5</v>
      </c>
      <c r="G20" s="25" t="n">
        <v>54454.5</v>
      </c>
      <c r="H20" s="25" t="n">
        <v>77111.5</v>
      </c>
      <c r="I20" s="25" t="n">
        <v>90866.5</v>
      </c>
      <c r="J20" s="25" t="n">
        <v>112074.5</v>
      </c>
      <c r="K20" s="25" t="n">
        <v>106743.5</v>
      </c>
      <c r="L20" s="25" t="n">
        <v>87423.5</v>
      </c>
      <c r="M20" s="25" t="n">
        <v>91843</v>
      </c>
      <c r="N20" s="25" t="n">
        <v>59478</v>
      </c>
      <c r="O20" s="25" t="n">
        <v>0</v>
      </c>
      <c r="P20" s="25" t="n">
        <v>40109</v>
      </c>
      <c r="Q20" s="25" t="n">
        <v>35205.5</v>
      </c>
      <c r="R20" s="25" t="n">
        <v>86202.5</v>
      </c>
      <c r="S20" s="25" t="n">
        <v>45358.5</v>
      </c>
      <c r="T20" s="25" t="n">
        <v>5751.5</v>
      </c>
      <c r="U20" s="25" t="n">
        <v>0</v>
      </c>
      <c r="V20" s="25" t="n">
        <v>1028869.5</v>
      </c>
    </row>
    <row r="21" customFormat="false" ht="15" hidden="false" customHeight="true" outlineLevel="0" collapsed="false">
      <c r="B21" s="35" t="s">
        <v>766</v>
      </c>
      <c r="C21" s="25" t="n">
        <v>3154.33</v>
      </c>
      <c r="D21" s="25" t="n">
        <v>51484.9</v>
      </c>
      <c r="E21" s="25" t="n">
        <v>44909.82</v>
      </c>
      <c r="F21" s="25" t="n">
        <v>36975.72</v>
      </c>
      <c r="G21" s="25" t="n">
        <v>57821.44</v>
      </c>
      <c r="H21" s="25" t="n">
        <v>65156.44</v>
      </c>
      <c r="I21" s="25" t="n">
        <v>69498.85</v>
      </c>
      <c r="J21" s="25" t="n">
        <v>92401.52</v>
      </c>
      <c r="K21" s="25" t="n">
        <v>78511.54</v>
      </c>
      <c r="L21" s="25" t="n">
        <v>80408.16</v>
      </c>
      <c r="M21" s="25" t="n">
        <v>114010.76</v>
      </c>
      <c r="N21" s="25" t="n">
        <v>76424.88</v>
      </c>
      <c r="O21" s="25" t="n">
        <v>0</v>
      </c>
      <c r="P21" s="25" t="n">
        <v>23433.97</v>
      </c>
      <c r="Q21" s="25" t="n">
        <v>34761.67</v>
      </c>
      <c r="R21" s="25" t="n">
        <v>55014.45</v>
      </c>
      <c r="S21" s="25" t="n">
        <v>48196.17</v>
      </c>
      <c r="T21" s="25" t="n">
        <v>7328</v>
      </c>
      <c r="U21" s="25" t="n">
        <v>0</v>
      </c>
      <c r="V21" s="25" t="n">
        <v>939492.62</v>
      </c>
    </row>
    <row r="22" customFormat="false" ht="15" hidden="false" customHeight="true" outlineLevel="0" collapsed="false">
      <c r="B22" s="35" t="s">
        <v>767</v>
      </c>
      <c r="C22" s="25" t="n">
        <v>0</v>
      </c>
      <c r="D22" s="25" t="n">
        <v>17800</v>
      </c>
      <c r="E22" s="25" t="n">
        <v>16668</v>
      </c>
      <c r="F22" s="25" t="n">
        <v>21112.92</v>
      </c>
      <c r="G22" s="25" t="n">
        <v>25235</v>
      </c>
      <c r="H22" s="25" t="n">
        <v>29408</v>
      </c>
      <c r="I22" s="25" t="n">
        <v>22225</v>
      </c>
      <c r="J22" s="25" t="n">
        <v>16054</v>
      </c>
      <c r="K22" s="25" t="n">
        <v>23689</v>
      </c>
      <c r="L22" s="25" t="n">
        <v>33667</v>
      </c>
      <c r="M22" s="25" t="n">
        <v>30866</v>
      </c>
      <c r="N22" s="25" t="n">
        <v>23648</v>
      </c>
      <c r="O22" s="25" t="n">
        <v>0</v>
      </c>
      <c r="P22" s="25" t="n">
        <v>22952</v>
      </c>
      <c r="Q22" s="25" t="n">
        <v>16008</v>
      </c>
      <c r="R22" s="25" t="n">
        <v>28369</v>
      </c>
      <c r="S22" s="25" t="n">
        <v>21335.8</v>
      </c>
      <c r="T22" s="25" t="n">
        <v>3602</v>
      </c>
      <c r="U22" s="25" t="n">
        <v>0</v>
      </c>
      <c r="V22" s="25" t="n">
        <v>352639.72</v>
      </c>
    </row>
    <row r="23" customFormat="false" ht="15" hidden="false" customHeight="true" outlineLevel="0" collapsed="false">
      <c r="B23" s="35" t="s">
        <v>768</v>
      </c>
      <c r="C23" s="25" t="n">
        <v>12474</v>
      </c>
      <c r="D23" s="25" t="n">
        <v>0</v>
      </c>
      <c r="E23" s="25" t="n">
        <v>14169.2</v>
      </c>
      <c r="F23" s="25" t="n">
        <v>12707.2</v>
      </c>
      <c r="G23" s="25" t="n">
        <v>6113.8</v>
      </c>
      <c r="H23" s="25" t="n">
        <v>13440.9</v>
      </c>
      <c r="I23" s="25" t="n">
        <v>14011.2</v>
      </c>
      <c r="J23" s="25" t="n">
        <v>20856.6</v>
      </c>
      <c r="K23" s="25" t="n">
        <v>24295.1</v>
      </c>
      <c r="L23" s="25" t="n">
        <v>20419.5</v>
      </c>
      <c r="M23" s="25" t="n">
        <v>17322.1</v>
      </c>
      <c r="N23" s="25" t="n">
        <v>21192.7</v>
      </c>
      <c r="O23" s="25" t="n">
        <v>0</v>
      </c>
      <c r="P23" s="25" t="n">
        <v>10799.3</v>
      </c>
      <c r="Q23" s="25" t="n">
        <v>12229</v>
      </c>
      <c r="R23" s="25" t="n">
        <v>8254</v>
      </c>
      <c r="S23" s="25" t="n">
        <v>14765.1</v>
      </c>
      <c r="T23" s="25" t="n">
        <v>0</v>
      </c>
      <c r="U23" s="25" t="n">
        <v>0</v>
      </c>
      <c r="V23" s="25" t="n">
        <v>223049.7</v>
      </c>
    </row>
    <row r="24" customFormat="false" ht="15" hidden="false" customHeight="true" outlineLevel="0" collapsed="false">
      <c r="B24" s="35" t="s">
        <v>769</v>
      </c>
      <c r="C24" s="25" t="n">
        <v>430</v>
      </c>
      <c r="D24" s="25" t="n">
        <v>624.55</v>
      </c>
      <c r="E24" s="25" t="n">
        <v>928</v>
      </c>
      <c r="F24" s="25" t="n">
        <v>3100.25</v>
      </c>
      <c r="G24" s="25" t="n">
        <v>4113.66</v>
      </c>
      <c r="H24" s="25" t="n">
        <v>2896.39</v>
      </c>
      <c r="I24" s="25" t="n">
        <v>6907.8</v>
      </c>
      <c r="J24" s="25" t="n">
        <v>7577.8</v>
      </c>
      <c r="K24" s="25" t="n">
        <v>12164.79</v>
      </c>
      <c r="L24" s="25" t="n">
        <v>6445</v>
      </c>
      <c r="M24" s="25" t="n">
        <v>9672.35</v>
      </c>
      <c r="N24" s="25" t="n">
        <v>4102.16</v>
      </c>
      <c r="O24" s="25" t="n">
        <v>0</v>
      </c>
      <c r="P24" s="25" t="n">
        <v>20746.41</v>
      </c>
      <c r="Q24" s="25" t="n">
        <v>21297.34</v>
      </c>
      <c r="R24" s="25" t="n">
        <v>25549.75</v>
      </c>
      <c r="S24" s="25" t="n">
        <v>8269.79</v>
      </c>
      <c r="T24" s="25" t="n">
        <v>4500</v>
      </c>
      <c r="U24" s="25" t="n">
        <v>0</v>
      </c>
      <c r="V24" s="25" t="n">
        <v>139326.04</v>
      </c>
    </row>
    <row r="25" customFormat="false" ht="15" hidden="false" customHeight="true" outlineLevel="0" collapsed="false">
      <c r="B25" s="35" t="s">
        <v>770</v>
      </c>
      <c r="C25" s="25" t="n">
        <v>622</v>
      </c>
      <c r="D25" s="25" t="n">
        <v>4349</v>
      </c>
      <c r="E25" s="25" t="n">
        <v>6648</v>
      </c>
      <c r="F25" s="25" t="n">
        <v>4619</v>
      </c>
      <c r="G25" s="25" t="n">
        <v>2571</v>
      </c>
      <c r="H25" s="25" t="n">
        <v>5420</v>
      </c>
      <c r="I25" s="25" t="n">
        <v>8593</v>
      </c>
      <c r="J25" s="25" t="n">
        <v>7206</v>
      </c>
      <c r="K25" s="25" t="n">
        <v>7346.6</v>
      </c>
      <c r="L25" s="25" t="n">
        <v>7889.9</v>
      </c>
      <c r="M25" s="25" t="n">
        <v>6669.4</v>
      </c>
      <c r="N25" s="25" t="n">
        <v>8937.15</v>
      </c>
      <c r="O25" s="25" t="n">
        <v>0</v>
      </c>
      <c r="P25" s="25" t="n">
        <v>2941</v>
      </c>
      <c r="Q25" s="25" t="n">
        <v>4229</v>
      </c>
      <c r="R25" s="25" t="n">
        <v>7756.6</v>
      </c>
      <c r="S25" s="25" t="n">
        <v>5834.3</v>
      </c>
      <c r="T25" s="25" t="n">
        <v>0</v>
      </c>
      <c r="U25" s="25" t="n">
        <v>0</v>
      </c>
      <c r="V25" s="25" t="n">
        <v>91631.95</v>
      </c>
    </row>
    <row r="26" customFormat="false" ht="15" hidden="false" customHeight="true" outlineLevel="0" collapsed="false">
      <c r="B26" s="35" t="s">
        <v>771</v>
      </c>
      <c r="C26" s="25" t="n">
        <v>0</v>
      </c>
      <c r="D26" s="25" t="n">
        <v>0</v>
      </c>
      <c r="E26" s="25" t="n">
        <v>6094.68</v>
      </c>
      <c r="F26" s="25" t="n">
        <v>3356.39</v>
      </c>
      <c r="G26" s="25" t="n">
        <v>5355</v>
      </c>
      <c r="H26" s="25" t="n">
        <v>8855</v>
      </c>
      <c r="I26" s="25" t="n">
        <v>6835</v>
      </c>
      <c r="J26" s="25" t="n">
        <v>9470</v>
      </c>
      <c r="K26" s="25" t="n">
        <v>2444</v>
      </c>
      <c r="L26" s="25" t="n">
        <v>5360</v>
      </c>
      <c r="M26" s="25" t="n">
        <v>11130</v>
      </c>
      <c r="N26" s="25" t="n">
        <v>8020</v>
      </c>
      <c r="O26" s="25" t="n">
        <v>0</v>
      </c>
      <c r="P26" s="25" t="n">
        <v>4462</v>
      </c>
      <c r="Q26" s="25" t="n">
        <v>2740</v>
      </c>
      <c r="R26" s="25" t="n">
        <v>6870</v>
      </c>
      <c r="S26" s="25" t="n">
        <v>5960</v>
      </c>
      <c r="T26" s="25" t="n">
        <v>0</v>
      </c>
      <c r="U26" s="25" t="n">
        <v>0</v>
      </c>
      <c r="V26" s="25" t="n">
        <v>86952.07</v>
      </c>
    </row>
    <row r="27" customFormat="false" ht="15" hidden="false" customHeight="true" outlineLevel="0" collapsed="false">
      <c r="B27" s="35" t="s">
        <v>772</v>
      </c>
      <c r="C27" s="25" t="n">
        <v>0</v>
      </c>
      <c r="D27" s="25" t="n">
        <v>9980</v>
      </c>
      <c r="E27" s="25" t="n">
        <v>6620</v>
      </c>
      <c r="F27" s="25" t="n">
        <v>3423.75</v>
      </c>
      <c r="G27" s="25" t="n">
        <v>3121.57</v>
      </c>
      <c r="H27" s="25" t="n">
        <v>7743.78</v>
      </c>
      <c r="I27" s="25" t="n">
        <v>9883.14</v>
      </c>
      <c r="J27" s="25" t="n">
        <v>12230.53</v>
      </c>
      <c r="K27" s="25" t="n">
        <v>7834.25</v>
      </c>
      <c r="L27" s="25" t="n">
        <v>3627.3</v>
      </c>
      <c r="M27" s="25" t="n">
        <v>5083.36</v>
      </c>
      <c r="N27" s="25" t="n">
        <v>796.33</v>
      </c>
      <c r="O27" s="25" t="n">
        <v>0</v>
      </c>
      <c r="P27" s="25" t="n">
        <v>796.35</v>
      </c>
      <c r="Q27" s="25" t="n">
        <v>259</v>
      </c>
      <c r="R27" s="25" t="n">
        <v>6489</v>
      </c>
      <c r="S27" s="25" t="n">
        <v>65</v>
      </c>
      <c r="T27" s="25" t="n">
        <v>5200</v>
      </c>
      <c r="U27" s="25" t="n">
        <v>0</v>
      </c>
      <c r="V27" s="25" t="n">
        <v>83153.36</v>
      </c>
    </row>
    <row r="28" customFormat="false" ht="15" hidden="false" customHeight="true" outlineLevel="0" collapsed="false">
      <c r="B28" s="35" t="s">
        <v>773</v>
      </c>
      <c r="C28" s="25" t="n">
        <v>0</v>
      </c>
      <c r="D28" s="25" t="n">
        <v>3266.32</v>
      </c>
      <c r="E28" s="25" t="n">
        <v>4119.21</v>
      </c>
      <c r="F28" s="25" t="n">
        <v>3285.31</v>
      </c>
      <c r="G28" s="25" t="n">
        <v>4631.51</v>
      </c>
      <c r="H28" s="25" t="n">
        <v>8005.04</v>
      </c>
      <c r="I28" s="25" t="n">
        <v>7505.06</v>
      </c>
      <c r="J28" s="25" t="n">
        <v>2633.53</v>
      </c>
      <c r="K28" s="25" t="n">
        <v>6200.07</v>
      </c>
      <c r="L28" s="25" t="n">
        <v>8254.24</v>
      </c>
      <c r="M28" s="25" t="n">
        <v>6404.98</v>
      </c>
      <c r="N28" s="25" t="n">
        <v>5599.67</v>
      </c>
      <c r="O28" s="25" t="n">
        <v>0</v>
      </c>
      <c r="P28" s="25" t="n">
        <v>1635.49</v>
      </c>
      <c r="Q28" s="25" t="n">
        <v>3373.33</v>
      </c>
      <c r="R28" s="25" t="n">
        <v>5837.18</v>
      </c>
      <c r="S28" s="25" t="n">
        <v>6258.05</v>
      </c>
      <c r="T28" s="25" t="n">
        <v>0</v>
      </c>
      <c r="U28" s="25" t="n">
        <v>0</v>
      </c>
      <c r="V28" s="25" t="n">
        <v>77008.99</v>
      </c>
    </row>
    <row r="29" customFormat="false" ht="15" hidden="false" customHeight="true" outlineLevel="0" collapsed="false">
      <c r="B29" s="35" t="s">
        <v>774</v>
      </c>
      <c r="C29" s="25" t="n">
        <v>0</v>
      </c>
      <c r="D29" s="25" t="n">
        <v>0</v>
      </c>
      <c r="E29" s="25" t="n">
        <v>0</v>
      </c>
      <c r="F29" s="25" t="n">
        <v>0</v>
      </c>
      <c r="G29" s="25" t="n">
        <v>0</v>
      </c>
      <c r="H29" s="25" t="n">
        <v>0</v>
      </c>
      <c r="I29" s="25" t="n">
        <v>1948</v>
      </c>
      <c r="J29" s="25" t="n">
        <v>0</v>
      </c>
      <c r="K29" s="25" t="n">
        <v>0</v>
      </c>
      <c r="L29" s="25" t="n">
        <v>0</v>
      </c>
      <c r="M29" s="25" t="n">
        <v>0</v>
      </c>
      <c r="N29" s="25" t="n">
        <v>17784</v>
      </c>
      <c r="O29" s="25" t="n">
        <v>0</v>
      </c>
      <c r="P29" s="25" t="n">
        <v>0</v>
      </c>
      <c r="Q29" s="25" t="n">
        <v>18960</v>
      </c>
      <c r="R29" s="25" t="n">
        <v>16133</v>
      </c>
      <c r="S29" s="25" t="n">
        <v>0</v>
      </c>
      <c r="T29" s="25" t="n">
        <v>0</v>
      </c>
      <c r="U29" s="25" t="n">
        <v>0</v>
      </c>
      <c r="V29" s="25" t="n">
        <v>54825</v>
      </c>
    </row>
    <row r="30" customFormat="false" ht="15" hidden="false" customHeight="true" outlineLevel="0" collapsed="false">
      <c r="B30" s="35" t="s">
        <v>775</v>
      </c>
      <c r="C30" s="25" t="n">
        <v>0</v>
      </c>
      <c r="D30" s="25" t="n">
        <v>0</v>
      </c>
      <c r="E30" s="25" t="n">
        <v>0</v>
      </c>
      <c r="F30" s="25" t="n">
        <v>1980</v>
      </c>
      <c r="G30" s="25" t="n">
        <v>2990</v>
      </c>
      <c r="H30" s="25" t="n">
        <v>5469.4</v>
      </c>
      <c r="I30" s="25" t="n">
        <v>400</v>
      </c>
      <c r="J30" s="25" t="n">
        <v>1528</v>
      </c>
      <c r="K30" s="25" t="n">
        <v>5765</v>
      </c>
      <c r="L30" s="25" t="n">
        <v>3185</v>
      </c>
      <c r="M30" s="25" t="n">
        <v>5349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26666.4</v>
      </c>
    </row>
    <row r="31" customFormat="false" ht="15" hidden="false" customHeight="true" outlineLevel="0" collapsed="false">
      <c r="B31" s="35" t="s">
        <v>776</v>
      </c>
      <c r="C31" s="25" t="n">
        <v>0</v>
      </c>
      <c r="D31" s="25" t="n">
        <v>0</v>
      </c>
      <c r="E31" s="25" t="n">
        <v>818</v>
      </c>
      <c r="F31" s="25" t="n">
        <v>1281.03</v>
      </c>
      <c r="G31" s="25" t="n">
        <v>0</v>
      </c>
      <c r="H31" s="25" t="n">
        <v>803.59</v>
      </c>
      <c r="I31" s="25" t="n">
        <v>2022.7</v>
      </c>
      <c r="J31" s="25" t="n">
        <v>1638</v>
      </c>
      <c r="K31" s="25" t="n">
        <v>0</v>
      </c>
      <c r="L31" s="25" t="n">
        <v>640</v>
      </c>
      <c r="M31" s="25" t="n">
        <v>427</v>
      </c>
      <c r="N31" s="25" t="n">
        <v>586.79</v>
      </c>
      <c r="O31" s="25" t="n">
        <v>0</v>
      </c>
      <c r="P31" s="25" t="n">
        <v>1193</v>
      </c>
      <c r="Q31" s="25" t="n">
        <v>145.67</v>
      </c>
      <c r="R31" s="25" t="n">
        <v>1327.44</v>
      </c>
      <c r="S31" s="25" t="n">
        <v>942</v>
      </c>
      <c r="T31" s="25" t="n">
        <v>0</v>
      </c>
      <c r="U31" s="25" t="n">
        <v>0</v>
      </c>
      <c r="V31" s="25" t="n">
        <v>11825.22</v>
      </c>
    </row>
    <row r="32" customFormat="false" ht="15" hidden="false" customHeight="true" outlineLevel="0" collapsed="false">
      <c r="B32" s="35" t="s">
        <v>777</v>
      </c>
      <c r="C32" s="25" t="n">
        <v>0</v>
      </c>
      <c r="D32" s="25" t="n">
        <v>5023.76</v>
      </c>
      <c r="E32" s="25" t="n">
        <v>3409.56</v>
      </c>
      <c r="F32" s="25" t="n">
        <v>12.5</v>
      </c>
      <c r="G32" s="25" t="n">
        <v>0</v>
      </c>
      <c r="H32" s="25" t="n">
        <v>615</v>
      </c>
      <c r="I32" s="25" t="n">
        <v>15.3</v>
      </c>
      <c r="J32" s="25" t="n">
        <v>134.69</v>
      </c>
      <c r="K32" s="25" t="n">
        <v>167.65</v>
      </c>
      <c r="L32" s="25" t="n">
        <v>0</v>
      </c>
      <c r="M32" s="25" t="n">
        <v>165.17</v>
      </c>
      <c r="N32" s="25" t="n">
        <v>1012</v>
      </c>
      <c r="O32" s="25" t="n">
        <v>0</v>
      </c>
      <c r="P32" s="25" t="n">
        <v>76.75</v>
      </c>
      <c r="Q32" s="25" t="n">
        <v>491.98</v>
      </c>
      <c r="R32" s="25" t="n">
        <v>0</v>
      </c>
      <c r="S32" s="25" t="n">
        <v>0</v>
      </c>
      <c r="T32" s="25" t="n">
        <v>0</v>
      </c>
      <c r="U32" s="25" t="n">
        <v>0</v>
      </c>
      <c r="V32" s="25" t="n">
        <v>11124.36</v>
      </c>
    </row>
    <row r="33" customFormat="false" ht="15" hidden="false" customHeight="true" outlineLevel="0" collapsed="false">
      <c r="B33" s="35" t="s">
        <v>778</v>
      </c>
      <c r="C33" s="25" t="n">
        <v>0</v>
      </c>
      <c r="D33" s="25" t="n">
        <v>0</v>
      </c>
      <c r="E33" s="25" t="n">
        <v>0</v>
      </c>
      <c r="F33" s="25" t="n">
        <v>0</v>
      </c>
      <c r="G33" s="25" t="n">
        <v>0</v>
      </c>
      <c r="H33" s="25" t="n">
        <v>0</v>
      </c>
      <c r="I33" s="25" t="n">
        <v>0</v>
      </c>
      <c r="J33" s="25" t="n">
        <v>360</v>
      </c>
      <c r="K33" s="25" t="n">
        <v>0</v>
      </c>
      <c r="L33" s="25" t="n">
        <v>0</v>
      </c>
      <c r="M33" s="25" t="n">
        <v>2464</v>
      </c>
      <c r="N33" s="25" t="n">
        <v>0</v>
      </c>
      <c r="O33" s="25" t="n">
        <v>0</v>
      </c>
      <c r="P33" s="25" t="n">
        <v>0</v>
      </c>
      <c r="Q33" s="25" t="n">
        <v>1120</v>
      </c>
      <c r="R33" s="25" t="n">
        <v>1044</v>
      </c>
      <c r="S33" s="25" t="n">
        <v>1190</v>
      </c>
      <c r="T33" s="25" t="n">
        <v>0</v>
      </c>
      <c r="U33" s="25" t="n">
        <v>0</v>
      </c>
      <c r="V33" s="25" t="n">
        <v>6178</v>
      </c>
    </row>
    <row r="34" customFormat="false" ht="15" hidden="false" customHeight="true" outlineLevel="0" collapsed="false">
      <c r="B34" s="35" t="s">
        <v>779</v>
      </c>
      <c r="C34" s="25" t="n">
        <v>0</v>
      </c>
      <c r="D34" s="25" t="n">
        <v>0</v>
      </c>
      <c r="E34" s="25" t="n">
        <v>39</v>
      </c>
      <c r="F34" s="25" t="n">
        <v>0</v>
      </c>
      <c r="G34" s="25" t="n">
        <v>110</v>
      </c>
      <c r="H34" s="25" t="n">
        <v>300</v>
      </c>
      <c r="I34" s="25" t="n">
        <v>0</v>
      </c>
      <c r="J34" s="25" t="n">
        <v>915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0</v>
      </c>
      <c r="Q34" s="25" t="n">
        <v>0</v>
      </c>
      <c r="R34" s="25" t="n">
        <v>0</v>
      </c>
      <c r="S34" s="25" t="n">
        <v>0</v>
      </c>
      <c r="T34" s="25" t="n">
        <v>0</v>
      </c>
      <c r="U34" s="25" t="n">
        <v>0</v>
      </c>
      <c r="V34" s="25" t="n">
        <v>1364</v>
      </c>
    </row>
    <row r="35" customFormat="false" ht="15" hidden="false" customHeight="true" outlineLevel="0" collapsed="false">
      <c r="B35" s="36" t="s">
        <v>780</v>
      </c>
      <c r="C35" s="37" t="n">
        <v>17715.33</v>
      </c>
      <c r="D35" s="37" t="n">
        <v>145214.53</v>
      </c>
      <c r="E35" s="37" t="n">
        <v>147925.47</v>
      </c>
      <c r="F35" s="37" t="n">
        <v>130878.57</v>
      </c>
      <c r="G35" s="37" t="n">
        <v>166517.48</v>
      </c>
      <c r="H35" s="37" t="n">
        <v>225225.04</v>
      </c>
      <c r="I35" s="37" t="n">
        <v>240711.55</v>
      </c>
      <c r="J35" s="37" t="n">
        <v>285080.17</v>
      </c>
      <c r="K35" s="37" t="n">
        <v>275161.5</v>
      </c>
      <c r="L35" s="37" t="n">
        <v>257319.6</v>
      </c>
      <c r="M35" s="37" t="n">
        <v>301407.12</v>
      </c>
      <c r="N35" s="37" t="n">
        <v>227581.68</v>
      </c>
      <c r="O35" s="37" t="n">
        <v>0</v>
      </c>
      <c r="P35" s="37" t="n">
        <v>129145.27</v>
      </c>
      <c r="Q35" s="37" t="n">
        <v>150820.49</v>
      </c>
      <c r="R35" s="37" t="n">
        <v>248846.92</v>
      </c>
      <c r="S35" s="37" t="n">
        <v>158174.71</v>
      </c>
      <c r="T35" s="37" t="n">
        <v>26381.5</v>
      </c>
      <c r="U35" s="37" t="n">
        <v>0</v>
      </c>
      <c r="V35" s="37" t="n">
        <v>3134106.93</v>
      </c>
    </row>
    <row r="36" customFormat="false" ht="15" hidden="false" customHeight="true" outlineLevel="0" collapsed="false">
      <c r="B36" s="33" t="s">
        <v>781</v>
      </c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customFormat="false" ht="15" hidden="false" customHeight="true" outlineLevel="0" collapsed="false">
      <c r="B37" s="35" t="s">
        <v>782</v>
      </c>
      <c r="C37" s="25" t="n">
        <v>0</v>
      </c>
      <c r="D37" s="25" t="n">
        <v>36002.1</v>
      </c>
      <c r="E37" s="25" t="n">
        <v>27162.64</v>
      </c>
      <c r="F37" s="25" t="n">
        <v>33116.48</v>
      </c>
      <c r="G37" s="25" t="n">
        <v>27082.92</v>
      </c>
      <c r="H37" s="25" t="n">
        <v>27532.27</v>
      </c>
      <c r="I37" s="25" t="n">
        <v>21577.57</v>
      </c>
      <c r="J37" s="25" t="n">
        <v>37022.03</v>
      </c>
      <c r="K37" s="25" t="n">
        <v>27259.41</v>
      </c>
      <c r="L37" s="25" t="n">
        <v>25627.32</v>
      </c>
      <c r="M37" s="25" t="n">
        <v>23109.91</v>
      </c>
      <c r="N37" s="25" t="n">
        <v>22036.35</v>
      </c>
      <c r="O37" s="25" t="n">
        <v>0</v>
      </c>
      <c r="P37" s="25" t="n">
        <v>29124.02</v>
      </c>
      <c r="Q37" s="25" t="n">
        <v>22754.7</v>
      </c>
      <c r="R37" s="25" t="n">
        <v>29875.95</v>
      </c>
      <c r="S37" s="25" t="n">
        <v>30658.57</v>
      </c>
      <c r="T37" s="25" t="n">
        <v>0</v>
      </c>
      <c r="U37" s="25" t="n">
        <v>0</v>
      </c>
      <c r="V37" s="25" t="n">
        <v>419942.24</v>
      </c>
    </row>
    <row r="38" customFormat="false" ht="15" hidden="false" customHeight="true" outlineLevel="0" collapsed="false">
      <c r="B38" s="35" t="s">
        <v>783</v>
      </c>
      <c r="C38" s="25" t="n">
        <v>0</v>
      </c>
      <c r="D38" s="25" t="n">
        <v>2450</v>
      </c>
      <c r="E38" s="25" t="n">
        <v>3650</v>
      </c>
      <c r="F38" s="25" t="n">
        <v>3650.02</v>
      </c>
      <c r="G38" s="25" t="n">
        <v>3150</v>
      </c>
      <c r="H38" s="25" t="n">
        <v>3650</v>
      </c>
      <c r="I38" s="25" t="n">
        <v>3750</v>
      </c>
      <c r="J38" s="25" t="n">
        <v>3600</v>
      </c>
      <c r="K38" s="25" t="n">
        <v>3450.01</v>
      </c>
      <c r="L38" s="25" t="n">
        <v>3450</v>
      </c>
      <c r="M38" s="25" t="n">
        <v>3450.01</v>
      </c>
      <c r="N38" s="25" t="n">
        <v>3750</v>
      </c>
      <c r="O38" s="25" t="n">
        <v>0</v>
      </c>
      <c r="P38" s="25" t="n">
        <v>3120</v>
      </c>
      <c r="Q38" s="25" t="n">
        <v>3250.01</v>
      </c>
      <c r="R38" s="25" t="n">
        <v>3750.01</v>
      </c>
      <c r="S38" s="25" t="n">
        <v>3650</v>
      </c>
      <c r="T38" s="25" t="n">
        <v>0</v>
      </c>
      <c r="U38" s="25" t="n">
        <v>0</v>
      </c>
      <c r="V38" s="25" t="n">
        <v>51770.06</v>
      </c>
    </row>
    <row r="39" customFormat="false" ht="15" hidden="false" customHeight="true" outlineLevel="0" collapsed="false">
      <c r="B39" s="35" t="s">
        <v>784</v>
      </c>
      <c r="C39" s="25" t="n">
        <v>0</v>
      </c>
      <c r="D39" s="25" t="n">
        <v>760.38</v>
      </c>
      <c r="E39" s="25" t="n">
        <v>0</v>
      </c>
      <c r="F39" s="25" t="n">
        <v>2849.74</v>
      </c>
      <c r="G39" s="25" t="n">
        <v>5353.37</v>
      </c>
      <c r="H39" s="25" t="n">
        <v>1360</v>
      </c>
      <c r="I39" s="25" t="n">
        <v>0</v>
      </c>
      <c r="J39" s="25" t="n">
        <v>0</v>
      </c>
      <c r="K39" s="25" t="n">
        <v>2906.98</v>
      </c>
      <c r="L39" s="25" t="n">
        <v>0</v>
      </c>
      <c r="M39" s="25" t="n">
        <v>0</v>
      </c>
      <c r="N39" s="25" t="n">
        <v>2071.71</v>
      </c>
      <c r="O39" s="25" t="n">
        <v>0</v>
      </c>
      <c r="P39" s="25" t="n">
        <v>30769.48</v>
      </c>
      <c r="Q39" s="25" t="n">
        <v>0</v>
      </c>
      <c r="R39" s="25" t="n">
        <v>0</v>
      </c>
      <c r="S39" s="25" t="n">
        <v>0</v>
      </c>
      <c r="T39" s="25" t="n">
        <v>0</v>
      </c>
      <c r="U39" s="25" t="n">
        <v>0</v>
      </c>
      <c r="V39" s="25" t="n">
        <v>46071.66</v>
      </c>
    </row>
    <row r="40" customFormat="false" ht="15" hidden="false" customHeight="true" outlineLevel="0" collapsed="false">
      <c r="B40" s="35" t="s">
        <v>785</v>
      </c>
      <c r="C40" s="25" t="n">
        <v>0</v>
      </c>
      <c r="D40" s="25" t="n">
        <v>7473.57</v>
      </c>
      <c r="E40" s="25" t="n">
        <v>4205.34</v>
      </c>
      <c r="F40" s="25" t="n">
        <v>6201.8</v>
      </c>
      <c r="G40" s="25" t="n">
        <v>0</v>
      </c>
      <c r="H40" s="25" t="n">
        <v>0</v>
      </c>
      <c r="I40" s="25" t="n">
        <v>2621</v>
      </c>
      <c r="J40" s="25" t="n">
        <v>0</v>
      </c>
      <c r="K40" s="25" t="n">
        <v>0</v>
      </c>
      <c r="L40" s="25" t="n">
        <v>0</v>
      </c>
      <c r="M40" s="25" t="n">
        <v>0</v>
      </c>
      <c r="N40" s="25" t="n">
        <v>0</v>
      </c>
      <c r="O40" s="25" t="n">
        <v>0</v>
      </c>
      <c r="P40" s="25" t="n">
        <v>0</v>
      </c>
      <c r="Q40" s="25" t="n">
        <v>12475.68</v>
      </c>
      <c r="R40" s="25" t="n">
        <v>4763.35</v>
      </c>
      <c r="S40" s="25" t="n">
        <v>2623.23</v>
      </c>
      <c r="T40" s="25" t="n">
        <v>0</v>
      </c>
      <c r="U40" s="25" t="n">
        <v>0</v>
      </c>
      <c r="V40" s="25" t="n">
        <v>40363.97</v>
      </c>
    </row>
    <row r="41" customFormat="false" ht="15" hidden="false" customHeight="true" outlineLevel="0" collapsed="false">
      <c r="B41" s="35" t="s">
        <v>786</v>
      </c>
      <c r="C41" s="25" t="n">
        <v>0</v>
      </c>
      <c r="D41" s="25" t="n">
        <v>0</v>
      </c>
      <c r="E41" s="25" t="n">
        <v>0</v>
      </c>
      <c r="F41" s="25" t="n">
        <v>0</v>
      </c>
      <c r="G41" s="25" t="n">
        <v>0</v>
      </c>
      <c r="H41" s="25" t="n">
        <v>1777.34</v>
      </c>
      <c r="I41" s="25" t="n">
        <v>1885.32</v>
      </c>
      <c r="J41" s="25" t="n">
        <v>0</v>
      </c>
      <c r="K41" s="25" t="n">
        <v>0</v>
      </c>
      <c r="L41" s="25" t="n">
        <v>0</v>
      </c>
      <c r="M41" s="25" t="n">
        <v>3989.34</v>
      </c>
      <c r="N41" s="25" t="n">
        <v>4696.9</v>
      </c>
      <c r="O41" s="25" t="n">
        <v>0</v>
      </c>
      <c r="P41" s="25" t="n">
        <v>4545.12</v>
      </c>
      <c r="Q41" s="25" t="n">
        <v>4455.12</v>
      </c>
      <c r="R41" s="25" t="n">
        <v>3373.29</v>
      </c>
      <c r="S41" s="25" t="n">
        <v>3216.94</v>
      </c>
      <c r="T41" s="25" t="n">
        <v>0</v>
      </c>
      <c r="U41" s="25" t="n">
        <v>0</v>
      </c>
      <c r="V41" s="25" t="n">
        <v>27939.37</v>
      </c>
    </row>
    <row r="42" customFormat="false" ht="15" hidden="false" customHeight="true" outlineLevel="0" collapsed="false">
      <c r="B42" s="35" t="s">
        <v>787</v>
      </c>
      <c r="C42" s="25" t="n">
        <v>0</v>
      </c>
      <c r="D42" s="25" t="n">
        <v>2380</v>
      </c>
      <c r="E42" s="25" t="n">
        <v>0</v>
      </c>
      <c r="F42" s="25" t="n">
        <v>2780</v>
      </c>
      <c r="G42" s="25" t="n">
        <v>2460</v>
      </c>
      <c r="H42" s="25" t="n">
        <v>2740</v>
      </c>
      <c r="I42" s="25" t="n">
        <v>3820</v>
      </c>
      <c r="J42" s="25" t="n">
        <v>3160</v>
      </c>
      <c r="K42" s="25" t="n">
        <v>3240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1700</v>
      </c>
      <c r="Q42" s="25" t="n">
        <v>980</v>
      </c>
      <c r="R42" s="25" t="n">
        <v>2400</v>
      </c>
      <c r="S42" s="25" t="n">
        <v>1640</v>
      </c>
      <c r="T42" s="25" t="n">
        <v>0</v>
      </c>
      <c r="U42" s="25" t="n">
        <v>0</v>
      </c>
      <c r="V42" s="25" t="n">
        <v>27300</v>
      </c>
    </row>
    <row r="43" customFormat="false" ht="15" hidden="false" customHeight="true" outlineLevel="0" collapsed="false">
      <c r="B43" s="35" t="s">
        <v>788</v>
      </c>
      <c r="C43" s="25" t="n">
        <v>0</v>
      </c>
      <c r="D43" s="25" t="n">
        <v>0</v>
      </c>
      <c r="E43" s="25" t="n">
        <v>0</v>
      </c>
      <c r="F43" s="25" t="n">
        <v>300</v>
      </c>
      <c r="G43" s="25" t="n">
        <v>0</v>
      </c>
      <c r="H43" s="25" t="n">
        <v>0</v>
      </c>
      <c r="I43" s="25" t="n">
        <v>0</v>
      </c>
      <c r="J43" s="25" t="n">
        <v>0</v>
      </c>
      <c r="K43" s="25" t="n">
        <v>200</v>
      </c>
      <c r="L43" s="25" t="n">
        <v>0</v>
      </c>
      <c r="M43" s="25" t="n">
        <v>650</v>
      </c>
      <c r="N43" s="25" t="n">
        <v>0</v>
      </c>
      <c r="O43" s="25" t="n">
        <v>0</v>
      </c>
      <c r="P43" s="25" t="n">
        <v>0</v>
      </c>
      <c r="Q43" s="25" t="n">
        <v>0</v>
      </c>
      <c r="R43" s="25" t="n">
        <v>1508.5</v>
      </c>
      <c r="S43" s="25" t="n">
        <v>0</v>
      </c>
      <c r="T43" s="25" t="n">
        <v>0</v>
      </c>
      <c r="U43" s="25" t="n">
        <v>0</v>
      </c>
      <c r="V43" s="25" t="n">
        <v>2658.5</v>
      </c>
    </row>
    <row r="44" customFormat="false" ht="15" hidden="false" customHeight="true" outlineLevel="0" collapsed="false">
      <c r="B44" s="35" t="s">
        <v>789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2448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2448</v>
      </c>
    </row>
    <row r="45" customFormat="false" ht="15" hidden="false" customHeight="true" outlineLevel="0" collapsed="false">
      <c r="B45" s="35" t="s">
        <v>790</v>
      </c>
      <c r="C45" s="25" t="n">
        <v>0</v>
      </c>
      <c r="D45" s="25" t="n">
        <v>0</v>
      </c>
      <c r="E45" s="25" t="n">
        <v>0</v>
      </c>
      <c r="F45" s="25" t="n">
        <v>800</v>
      </c>
      <c r="G45" s="25" t="n">
        <v>0</v>
      </c>
      <c r="H45" s="25" t="n">
        <v>49.9</v>
      </c>
      <c r="I45" s="25" t="n">
        <v>697.87</v>
      </c>
      <c r="J45" s="25" t="n">
        <v>49.9</v>
      </c>
      <c r="K45" s="25" t="n">
        <v>49.9</v>
      </c>
      <c r="L45" s="25" t="n">
        <v>49.9</v>
      </c>
      <c r="M45" s="25" t="n">
        <v>49.9</v>
      </c>
      <c r="N45" s="25" t="n">
        <v>49.9</v>
      </c>
      <c r="O45" s="25" t="n">
        <v>0</v>
      </c>
      <c r="P45" s="25" t="n">
        <v>49.9</v>
      </c>
      <c r="Q45" s="25" t="n">
        <v>0</v>
      </c>
      <c r="R45" s="25" t="n">
        <v>0</v>
      </c>
      <c r="S45" s="25" t="n">
        <v>0</v>
      </c>
      <c r="T45" s="25" t="n">
        <v>0</v>
      </c>
      <c r="U45" s="25" t="n">
        <v>0</v>
      </c>
      <c r="V45" s="25" t="n">
        <v>1847.17</v>
      </c>
    </row>
    <row r="46" customFormat="false" ht="15" hidden="false" customHeight="true" outlineLevel="0" collapsed="false">
      <c r="B46" s="35" t="s">
        <v>791</v>
      </c>
      <c r="C46" s="25" t="n">
        <v>0</v>
      </c>
      <c r="D46" s="25" t="n">
        <v>0</v>
      </c>
      <c r="E46" s="25" t="n">
        <v>50</v>
      </c>
      <c r="F46" s="25" t="n">
        <v>40</v>
      </c>
      <c r="G46" s="25" t="n">
        <v>35</v>
      </c>
      <c r="H46" s="25" t="n">
        <v>0</v>
      </c>
      <c r="I46" s="25" t="n">
        <v>0</v>
      </c>
      <c r="J46" s="25" t="n">
        <v>30</v>
      </c>
      <c r="K46" s="25" t="n">
        <v>0</v>
      </c>
      <c r="L46" s="25" t="n">
        <v>30</v>
      </c>
      <c r="M46" s="25" t="n">
        <v>0</v>
      </c>
      <c r="N46" s="25" t="n">
        <v>0</v>
      </c>
      <c r="O46" s="25" t="n">
        <v>0</v>
      </c>
      <c r="P46" s="25" t="n">
        <v>0</v>
      </c>
      <c r="Q46" s="25" t="n">
        <v>40</v>
      </c>
      <c r="R46" s="25" t="n">
        <v>0</v>
      </c>
      <c r="S46" s="25" t="n">
        <v>0</v>
      </c>
      <c r="T46" s="25" t="n">
        <v>0</v>
      </c>
      <c r="U46" s="25" t="n">
        <v>0</v>
      </c>
      <c r="V46" s="25" t="n">
        <v>225</v>
      </c>
    </row>
    <row r="47" customFormat="false" ht="15" hidden="false" customHeight="true" outlineLevel="0" collapsed="false">
      <c r="B47" s="36" t="s">
        <v>792</v>
      </c>
      <c r="C47" s="37" t="n">
        <v>0</v>
      </c>
      <c r="D47" s="37" t="n">
        <v>49066.05</v>
      </c>
      <c r="E47" s="37" t="n">
        <v>35067.98</v>
      </c>
      <c r="F47" s="37" t="n">
        <v>49738.04</v>
      </c>
      <c r="G47" s="37" t="n">
        <v>40529.29</v>
      </c>
      <c r="H47" s="37" t="n">
        <v>37109.51</v>
      </c>
      <c r="I47" s="37" t="n">
        <v>34351.76</v>
      </c>
      <c r="J47" s="37" t="n">
        <v>43861.93</v>
      </c>
      <c r="K47" s="37" t="n">
        <v>37106.3</v>
      </c>
      <c r="L47" s="37" t="n">
        <v>29157.22</v>
      </c>
      <c r="M47" s="37" t="n">
        <v>31249.16</v>
      </c>
      <c r="N47" s="37" t="n">
        <v>32604.86</v>
      </c>
      <c r="O47" s="37" t="n">
        <v>0</v>
      </c>
      <c r="P47" s="37" t="n">
        <v>69308.52</v>
      </c>
      <c r="Q47" s="37" t="n">
        <v>43955.51</v>
      </c>
      <c r="R47" s="37" t="n">
        <v>45671.1</v>
      </c>
      <c r="S47" s="37" t="n">
        <v>41788.74</v>
      </c>
      <c r="T47" s="37" t="n">
        <v>0</v>
      </c>
      <c r="U47" s="37" t="n">
        <v>0</v>
      </c>
      <c r="V47" s="37" t="n">
        <v>620565.97</v>
      </c>
    </row>
    <row r="48" customFormat="false" ht="15" hidden="false" customHeight="true" outlineLevel="0" collapsed="false">
      <c r="B48" s="33" t="s">
        <v>793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customFormat="false" ht="15" hidden="false" customHeight="true" outlineLevel="0" collapsed="false">
      <c r="B49" s="35" t="s">
        <v>794</v>
      </c>
      <c r="C49" s="25" t="n">
        <v>0</v>
      </c>
      <c r="D49" s="25" t="n">
        <v>36342.71</v>
      </c>
      <c r="E49" s="25" t="n">
        <v>13161.53</v>
      </c>
      <c r="F49" s="25" t="n">
        <v>9988</v>
      </c>
      <c r="G49" s="25" t="n">
        <v>78133.46</v>
      </c>
      <c r="H49" s="25" t="n">
        <v>93165.98</v>
      </c>
      <c r="I49" s="25" t="n">
        <v>172021.24</v>
      </c>
      <c r="J49" s="25" t="n">
        <v>144243.83</v>
      </c>
      <c r="K49" s="25" t="n">
        <v>167716.06</v>
      </c>
      <c r="L49" s="25" t="n">
        <v>227493.57</v>
      </c>
      <c r="M49" s="25" t="n">
        <v>78005.31</v>
      </c>
      <c r="N49" s="25" t="n">
        <v>59218.26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1079489.95</v>
      </c>
    </row>
    <row r="50" customFormat="false" ht="15" hidden="false" customHeight="true" outlineLevel="0" collapsed="false">
      <c r="B50" s="35" t="s">
        <v>795</v>
      </c>
      <c r="C50" s="25" t="n">
        <v>0</v>
      </c>
      <c r="D50" s="25" t="n">
        <v>5263</v>
      </c>
      <c r="E50" s="25" t="n">
        <v>5275.93</v>
      </c>
      <c r="F50" s="25" t="n">
        <v>5501.74</v>
      </c>
      <c r="G50" s="25" t="n">
        <v>5514.62</v>
      </c>
      <c r="H50" s="25" t="n">
        <v>5667.46</v>
      </c>
      <c r="I50" s="25" t="n">
        <v>5501</v>
      </c>
      <c r="J50" s="25" t="n">
        <v>5618.94</v>
      </c>
      <c r="K50" s="25" t="n">
        <v>6582.13</v>
      </c>
      <c r="L50" s="25" t="n">
        <v>5713.82</v>
      </c>
      <c r="M50" s="25" t="n">
        <v>10116.52</v>
      </c>
      <c r="N50" s="25" t="n">
        <v>1803.81</v>
      </c>
      <c r="O50" s="25" t="n">
        <v>0</v>
      </c>
      <c r="P50" s="25" t="n">
        <v>7600</v>
      </c>
      <c r="Q50" s="25" t="n">
        <v>8100</v>
      </c>
      <c r="R50" s="25" t="n">
        <v>8100</v>
      </c>
      <c r="S50" s="25" t="n">
        <v>8100</v>
      </c>
      <c r="T50" s="25" t="n">
        <v>0</v>
      </c>
      <c r="U50" s="25" t="n">
        <v>0</v>
      </c>
      <c r="V50" s="25" t="n">
        <v>94458.97</v>
      </c>
    </row>
    <row r="51" customFormat="false" ht="15" hidden="false" customHeight="true" outlineLevel="0" collapsed="false">
      <c r="B51" s="35" t="s">
        <v>796</v>
      </c>
      <c r="C51" s="25" t="n">
        <v>0</v>
      </c>
      <c r="D51" s="25" t="n">
        <v>3930</v>
      </c>
      <c r="E51" s="25" t="n">
        <v>2195.42</v>
      </c>
      <c r="F51" s="25" t="n">
        <v>572.47</v>
      </c>
      <c r="G51" s="25" t="n">
        <v>3907.98</v>
      </c>
      <c r="H51" s="25" t="n">
        <v>4520.65</v>
      </c>
      <c r="I51" s="25" t="n">
        <v>5617.27</v>
      </c>
      <c r="J51" s="25" t="n">
        <v>3941.68</v>
      </c>
      <c r="K51" s="25" t="n">
        <v>7706</v>
      </c>
      <c r="L51" s="25" t="n">
        <v>2520</v>
      </c>
      <c r="M51" s="25" t="n">
        <v>5643.32</v>
      </c>
      <c r="N51" s="25" t="n">
        <v>5352</v>
      </c>
      <c r="O51" s="25" t="n">
        <v>0</v>
      </c>
      <c r="P51" s="25" t="n">
        <v>920</v>
      </c>
      <c r="Q51" s="25" t="n">
        <v>560</v>
      </c>
      <c r="R51" s="25" t="n">
        <v>3950</v>
      </c>
      <c r="S51" s="25" t="n">
        <v>0</v>
      </c>
      <c r="T51" s="25" t="n">
        <v>0</v>
      </c>
      <c r="U51" s="25" t="n">
        <v>0</v>
      </c>
      <c r="V51" s="25" t="n">
        <v>51336.79</v>
      </c>
    </row>
    <row r="52" customFormat="false" ht="15" hidden="false" customHeight="true" outlineLevel="0" collapsed="false">
      <c r="B52" s="35" t="s">
        <v>797</v>
      </c>
      <c r="C52" s="25" t="n">
        <v>0</v>
      </c>
      <c r="D52" s="25" t="n">
        <v>0</v>
      </c>
      <c r="E52" s="25" t="n">
        <v>0</v>
      </c>
      <c r="F52" s="25" t="n">
        <v>0</v>
      </c>
      <c r="G52" s="25" t="n">
        <v>0</v>
      </c>
      <c r="H52" s="25" t="n">
        <v>0</v>
      </c>
      <c r="I52" s="25" t="n">
        <v>0</v>
      </c>
      <c r="J52" s="25" t="n">
        <v>0</v>
      </c>
      <c r="K52" s="25" t="n">
        <v>0</v>
      </c>
      <c r="L52" s="25" t="n">
        <v>0</v>
      </c>
      <c r="M52" s="25" t="n">
        <v>5000</v>
      </c>
      <c r="N52" s="25" t="n">
        <v>5000</v>
      </c>
      <c r="O52" s="25" t="n">
        <v>0</v>
      </c>
      <c r="P52" s="25" t="n">
        <v>5000</v>
      </c>
      <c r="Q52" s="25" t="n">
        <v>5000</v>
      </c>
      <c r="R52" s="25" t="n">
        <v>3500</v>
      </c>
      <c r="S52" s="25" t="n">
        <v>3500</v>
      </c>
      <c r="T52" s="25" t="n">
        <v>0</v>
      </c>
      <c r="U52" s="25" t="n">
        <v>0</v>
      </c>
      <c r="V52" s="25" t="n">
        <v>27000</v>
      </c>
    </row>
    <row r="53" customFormat="false" ht="15" hidden="false" customHeight="true" outlineLevel="0" collapsed="false">
      <c r="B53" s="35" t="s">
        <v>798</v>
      </c>
      <c r="C53" s="25" t="n">
        <v>0</v>
      </c>
      <c r="D53" s="25" t="n">
        <v>1742</v>
      </c>
      <c r="E53" s="25" t="n">
        <v>1742</v>
      </c>
      <c r="F53" s="25" t="n">
        <v>1742</v>
      </c>
      <c r="G53" s="25" t="n">
        <v>1742</v>
      </c>
      <c r="H53" s="25" t="n">
        <v>1742</v>
      </c>
      <c r="I53" s="25" t="n">
        <v>1742</v>
      </c>
      <c r="J53" s="25" t="n">
        <v>15678</v>
      </c>
      <c r="K53" s="25" t="n">
        <v>0</v>
      </c>
      <c r="L53" s="25" t="n">
        <v>0</v>
      </c>
      <c r="M53" s="25" t="n">
        <v>0</v>
      </c>
      <c r="N53" s="25" t="n">
        <v>0</v>
      </c>
      <c r="O53" s="25" t="n">
        <v>0</v>
      </c>
      <c r="P53" s="25" t="n">
        <v>0</v>
      </c>
      <c r="Q53" s="25" t="n">
        <v>0</v>
      </c>
      <c r="R53" s="25" t="n">
        <v>0</v>
      </c>
      <c r="S53" s="25" t="n">
        <v>0</v>
      </c>
      <c r="T53" s="25" t="n">
        <v>0</v>
      </c>
      <c r="U53" s="25" t="n">
        <v>0</v>
      </c>
      <c r="V53" s="25" t="n">
        <v>26130</v>
      </c>
    </row>
    <row r="54" customFormat="false" ht="15" hidden="false" customHeight="true" outlineLevel="0" collapsed="false">
      <c r="B54" s="35" t="s">
        <v>799</v>
      </c>
      <c r="C54" s="25" t="n">
        <v>0</v>
      </c>
      <c r="D54" s="25" t="n">
        <v>920</v>
      </c>
      <c r="E54" s="25" t="n">
        <v>1100</v>
      </c>
      <c r="F54" s="25" t="n">
        <v>1100</v>
      </c>
      <c r="G54" s="25" t="n">
        <v>1100</v>
      </c>
      <c r="H54" s="25" t="n">
        <v>1100</v>
      </c>
      <c r="I54" s="25" t="n">
        <v>1100</v>
      </c>
      <c r="J54" s="25" t="n">
        <v>0</v>
      </c>
      <c r="K54" s="25" t="n">
        <v>1100</v>
      </c>
      <c r="L54" s="25" t="n">
        <v>0</v>
      </c>
      <c r="M54" s="25" t="n">
        <v>1100</v>
      </c>
      <c r="N54" s="25" t="n">
        <v>2500</v>
      </c>
      <c r="O54" s="25" t="n">
        <v>0</v>
      </c>
      <c r="P54" s="25" t="n">
        <v>2500</v>
      </c>
      <c r="Q54" s="25" t="n">
        <v>2500</v>
      </c>
      <c r="R54" s="25" t="n">
        <v>2500</v>
      </c>
      <c r="S54" s="25" t="n">
        <v>2500</v>
      </c>
      <c r="T54" s="25" t="n">
        <v>0</v>
      </c>
      <c r="U54" s="25" t="n">
        <v>0</v>
      </c>
      <c r="V54" s="25" t="n">
        <v>21120</v>
      </c>
    </row>
    <row r="55" customFormat="false" ht="15" hidden="false" customHeight="true" outlineLevel="0" collapsed="false">
      <c r="B55" s="35" t="s">
        <v>800</v>
      </c>
      <c r="C55" s="25" t="n">
        <v>0</v>
      </c>
      <c r="D55" s="25" t="n">
        <v>0</v>
      </c>
      <c r="E55" s="25" t="n">
        <v>670.3</v>
      </c>
      <c r="F55" s="25" t="n">
        <v>887.51</v>
      </c>
      <c r="G55" s="25" t="n">
        <v>1040.05</v>
      </c>
      <c r="H55" s="25" t="n">
        <v>1396.51</v>
      </c>
      <c r="I55" s="25" t="n">
        <v>1719.58</v>
      </c>
      <c r="J55" s="25" t="n">
        <v>1557.11</v>
      </c>
      <c r="K55" s="25" t="n">
        <v>1816.77</v>
      </c>
      <c r="L55" s="25" t="n">
        <v>1158.4</v>
      </c>
      <c r="M55" s="25" t="n">
        <v>1537.99</v>
      </c>
      <c r="N55" s="25" t="n">
        <v>1386.81</v>
      </c>
      <c r="O55" s="25" t="n">
        <v>0</v>
      </c>
      <c r="P55" s="25" t="n">
        <v>839.51</v>
      </c>
      <c r="Q55" s="25" t="n">
        <v>1136.03</v>
      </c>
      <c r="R55" s="25" t="n">
        <v>1421.38</v>
      </c>
      <c r="S55" s="25" t="n">
        <v>1349.31</v>
      </c>
      <c r="T55" s="25" t="n">
        <v>0</v>
      </c>
      <c r="U55" s="25" t="n">
        <v>0</v>
      </c>
      <c r="V55" s="25" t="n">
        <v>17917.26</v>
      </c>
    </row>
    <row r="56" customFormat="false" ht="15" hidden="false" customHeight="true" outlineLevel="0" collapsed="false">
      <c r="B56" s="35" t="s">
        <v>801</v>
      </c>
      <c r="C56" s="25" t="n">
        <v>0</v>
      </c>
      <c r="D56" s="25" t="n">
        <v>890</v>
      </c>
      <c r="E56" s="25" t="n">
        <v>890</v>
      </c>
      <c r="F56" s="25" t="n">
        <v>890</v>
      </c>
      <c r="G56" s="25" t="n">
        <v>890</v>
      </c>
      <c r="H56" s="25" t="n">
        <v>890</v>
      </c>
      <c r="I56" s="25" t="n">
        <v>890</v>
      </c>
      <c r="J56" s="25" t="n">
        <v>957</v>
      </c>
      <c r="K56" s="25" t="n">
        <v>957</v>
      </c>
      <c r="L56" s="25" t="n">
        <v>957</v>
      </c>
      <c r="M56" s="25" t="n">
        <v>957</v>
      </c>
      <c r="N56" s="25" t="n">
        <v>957</v>
      </c>
      <c r="O56" s="25" t="n">
        <v>0</v>
      </c>
      <c r="P56" s="25" t="n">
        <v>957</v>
      </c>
      <c r="Q56" s="25" t="n">
        <v>978.02</v>
      </c>
      <c r="R56" s="25" t="n">
        <v>1085</v>
      </c>
      <c r="S56" s="25" t="n">
        <v>957</v>
      </c>
      <c r="T56" s="25" t="n">
        <v>0</v>
      </c>
      <c r="U56" s="25" t="n">
        <v>0</v>
      </c>
      <c r="V56" s="25" t="n">
        <v>14102.02</v>
      </c>
    </row>
    <row r="57" customFormat="false" ht="15" hidden="false" customHeight="true" outlineLevel="0" collapsed="false">
      <c r="B57" s="35" t="s">
        <v>802</v>
      </c>
      <c r="C57" s="25" t="n">
        <v>0</v>
      </c>
      <c r="D57" s="25" t="n">
        <v>428.66</v>
      </c>
      <c r="E57" s="25" t="n">
        <v>463</v>
      </c>
      <c r="F57" s="25" t="n">
        <v>269.82</v>
      </c>
      <c r="G57" s="25" t="n">
        <v>269.82</v>
      </c>
      <c r="H57" s="25" t="n">
        <v>269.84</v>
      </c>
      <c r="I57" s="25" t="n">
        <v>269.95</v>
      </c>
      <c r="J57" s="25" t="n">
        <v>270.22</v>
      </c>
      <c r="K57" s="25" t="n">
        <v>269.82</v>
      </c>
      <c r="L57" s="25" t="n">
        <v>269.82</v>
      </c>
      <c r="M57" s="25" t="n">
        <v>269.82</v>
      </c>
      <c r="N57" s="25" t="n">
        <v>269.82</v>
      </c>
      <c r="O57" s="25" t="n">
        <v>0</v>
      </c>
      <c r="P57" s="25" t="n">
        <v>265.92</v>
      </c>
      <c r="Q57" s="25" t="n">
        <v>267.01</v>
      </c>
      <c r="R57" s="25" t="n">
        <v>928.23</v>
      </c>
      <c r="S57" s="25" t="n">
        <v>1198.14</v>
      </c>
      <c r="T57" s="25" t="n">
        <v>0</v>
      </c>
      <c r="U57" s="25" t="n">
        <v>0</v>
      </c>
      <c r="V57" s="25" t="n">
        <v>5979.89</v>
      </c>
    </row>
    <row r="58" customFormat="false" ht="15" hidden="false" customHeight="true" outlineLevel="0" collapsed="false">
      <c r="B58" s="35" t="s">
        <v>803</v>
      </c>
      <c r="C58" s="25" t="n">
        <v>0</v>
      </c>
      <c r="D58" s="25" t="n">
        <v>140</v>
      </c>
      <c r="E58" s="25" t="n">
        <v>1240</v>
      </c>
      <c r="F58" s="25" t="n">
        <v>140</v>
      </c>
      <c r="G58" s="25" t="n">
        <v>140</v>
      </c>
      <c r="H58" s="25" t="n">
        <v>140</v>
      </c>
      <c r="I58" s="25" t="n">
        <v>140</v>
      </c>
      <c r="J58" s="25" t="n">
        <v>140</v>
      </c>
      <c r="K58" s="25" t="n">
        <v>140</v>
      </c>
      <c r="L58" s="25" t="n">
        <v>140</v>
      </c>
      <c r="M58" s="25" t="n">
        <v>140</v>
      </c>
      <c r="N58" s="25" t="n">
        <v>940</v>
      </c>
      <c r="O58" s="25" t="n">
        <v>0</v>
      </c>
      <c r="P58" s="25" t="n">
        <v>0</v>
      </c>
      <c r="Q58" s="25" t="n">
        <v>510.74</v>
      </c>
      <c r="R58" s="25" t="n">
        <v>770.74</v>
      </c>
      <c r="S58" s="25" t="n">
        <v>508.74</v>
      </c>
      <c r="T58" s="25" t="n">
        <v>0</v>
      </c>
      <c r="U58" s="25" t="n">
        <v>0</v>
      </c>
      <c r="V58" s="25" t="n">
        <v>5230.22</v>
      </c>
    </row>
    <row r="59" customFormat="false" ht="15" hidden="false" customHeight="true" outlineLevel="0" collapsed="false">
      <c r="B59" s="35" t="s">
        <v>804</v>
      </c>
      <c r="C59" s="25" t="n">
        <v>0</v>
      </c>
      <c r="D59" s="25" t="n">
        <v>0</v>
      </c>
      <c r="E59" s="25" t="n">
        <v>0</v>
      </c>
      <c r="F59" s="25" t="n">
        <v>0</v>
      </c>
      <c r="G59" s="25" t="n">
        <v>0</v>
      </c>
      <c r="H59" s="25" t="n">
        <v>0</v>
      </c>
      <c r="I59" s="25" t="n">
        <v>0</v>
      </c>
      <c r="J59" s="25" t="n">
        <v>0</v>
      </c>
      <c r="K59" s="25" t="n">
        <v>0</v>
      </c>
      <c r="L59" s="25" t="n">
        <v>0</v>
      </c>
      <c r="M59" s="25" t="n">
        <v>0</v>
      </c>
      <c r="N59" s="25" t="n">
        <v>0</v>
      </c>
      <c r="O59" s="25" t="n">
        <v>0</v>
      </c>
      <c r="P59" s="25" t="n">
        <v>0</v>
      </c>
      <c r="Q59" s="25" t="n">
        <v>989.17</v>
      </c>
      <c r="R59" s="25" t="n">
        <v>1677.63</v>
      </c>
      <c r="S59" s="25" t="n">
        <v>2147</v>
      </c>
      <c r="T59" s="25" t="n">
        <v>0</v>
      </c>
      <c r="U59" s="25" t="n">
        <v>0</v>
      </c>
      <c r="V59" s="25" t="n">
        <v>4813.8</v>
      </c>
    </row>
    <row r="60" customFormat="false" ht="15" hidden="false" customHeight="true" outlineLevel="0" collapsed="false">
      <c r="B60" s="35" t="s">
        <v>805</v>
      </c>
      <c r="C60" s="25" t="n">
        <v>0</v>
      </c>
      <c r="D60" s="25" t="n">
        <v>0</v>
      </c>
      <c r="E60" s="25" t="n">
        <v>0</v>
      </c>
      <c r="F60" s="25" t="n">
        <v>487.21</v>
      </c>
      <c r="G60" s="25" t="n">
        <v>298.48</v>
      </c>
      <c r="H60" s="25" t="n">
        <v>518.67</v>
      </c>
      <c r="I60" s="25" t="n">
        <v>387.32</v>
      </c>
      <c r="J60" s="25" t="n">
        <v>327.05</v>
      </c>
      <c r="K60" s="25" t="n">
        <v>327.05</v>
      </c>
      <c r="L60" s="25" t="n">
        <v>328.05</v>
      </c>
      <c r="M60" s="25" t="n">
        <v>327.05</v>
      </c>
      <c r="N60" s="25" t="n">
        <v>334.03</v>
      </c>
      <c r="O60" s="25" t="n">
        <v>0</v>
      </c>
      <c r="P60" s="25" t="n">
        <v>375.5</v>
      </c>
      <c r="Q60" s="25" t="n">
        <v>327.05</v>
      </c>
      <c r="R60" s="25" t="n">
        <v>327.05</v>
      </c>
      <c r="S60" s="25" t="n">
        <v>327.05</v>
      </c>
      <c r="T60" s="25" t="n">
        <v>0</v>
      </c>
      <c r="U60" s="25" t="n">
        <v>0</v>
      </c>
      <c r="V60" s="25" t="n">
        <v>4691.56</v>
      </c>
    </row>
    <row r="61" customFormat="false" ht="15" hidden="false" customHeight="true" outlineLevel="0" collapsed="false">
      <c r="B61" s="35" t="s">
        <v>806</v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1360</v>
      </c>
      <c r="H61" s="25" t="n">
        <v>30.6</v>
      </c>
      <c r="I61" s="25" t="n">
        <v>30.6</v>
      </c>
      <c r="J61" s="25" t="n">
        <v>0</v>
      </c>
      <c r="K61" s="25" t="n">
        <v>0</v>
      </c>
      <c r="L61" s="25" t="n">
        <v>220.95</v>
      </c>
      <c r="M61" s="25" t="n">
        <v>46.2</v>
      </c>
      <c r="N61" s="25" t="n">
        <v>31.2</v>
      </c>
      <c r="O61" s="25" t="n">
        <v>0</v>
      </c>
      <c r="P61" s="25" t="n">
        <v>2611.53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4331.08</v>
      </c>
    </row>
    <row r="62" customFormat="false" ht="15" hidden="false" customHeight="true" outlineLevel="0" collapsed="false">
      <c r="B62" s="35" t="s">
        <v>807</v>
      </c>
      <c r="C62" s="25" t="n">
        <v>0</v>
      </c>
      <c r="D62" s="25" t="n">
        <v>0</v>
      </c>
      <c r="E62" s="25" t="n">
        <v>0</v>
      </c>
      <c r="F62" s="25" t="n">
        <v>86</v>
      </c>
      <c r="G62" s="25" t="n">
        <v>305</v>
      </c>
      <c r="H62" s="25" t="n">
        <v>914</v>
      </c>
      <c r="I62" s="25" t="n">
        <v>50</v>
      </c>
      <c r="J62" s="25" t="n">
        <v>728</v>
      </c>
      <c r="K62" s="25" t="n">
        <v>750</v>
      </c>
      <c r="L62" s="25" t="n">
        <v>302</v>
      </c>
      <c r="M62" s="25" t="n">
        <v>0</v>
      </c>
      <c r="N62" s="25" t="n">
        <v>0</v>
      </c>
      <c r="O62" s="25" t="n">
        <v>0</v>
      </c>
      <c r="P62" s="25" t="n">
        <v>225</v>
      </c>
      <c r="Q62" s="25" t="n">
        <v>150</v>
      </c>
      <c r="R62" s="25" t="n">
        <v>140</v>
      </c>
      <c r="S62" s="25" t="n">
        <v>150</v>
      </c>
      <c r="T62" s="25" t="n">
        <v>0</v>
      </c>
      <c r="U62" s="25" t="n">
        <v>0</v>
      </c>
      <c r="V62" s="25" t="n">
        <v>3800</v>
      </c>
    </row>
    <row r="63" customFormat="false" ht="15" hidden="false" customHeight="true" outlineLevel="0" collapsed="false">
      <c r="B63" s="35" t="s">
        <v>808</v>
      </c>
      <c r="C63" s="25" t="n">
        <v>0</v>
      </c>
      <c r="D63" s="25" t="n">
        <v>224.36</v>
      </c>
      <c r="E63" s="25" t="n">
        <v>293.24</v>
      </c>
      <c r="F63" s="25" t="n">
        <v>196.62</v>
      </c>
      <c r="G63" s="25" t="n">
        <v>332.28</v>
      </c>
      <c r="H63" s="25" t="n">
        <v>332.28</v>
      </c>
      <c r="I63" s="25" t="n">
        <v>332.28</v>
      </c>
      <c r="J63" s="25" t="n">
        <v>327</v>
      </c>
      <c r="K63" s="25" t="n">
        <v>0</v>
      </c>
      <c r="L63" s="25" t="n">
        <v>0</v>
      </c>
      <c r="M63" s="25" t="n">
        <v>606.52</v>
      </c>
      <c r="N63" s="25" t="n">
        <v>0</v>
      </c>
      <c r="O63" s="25" t="n">
        <v>0</v>
      </c>
      <c r="P63" s="25" t="n">
        <v>227.27</v>
      </c>
      <c r="Q63" s="25" t="n">
        <v>0</v>
      </c>
      <c r="R63" s="25" t="n">
        <v>203.75</v>
      </c>
      <c r="S63" s="25" t="n">
        <v>0</v>
      </c>
      <c r="T63" s="25" t="n">
        <v>261.86</v>
      </c>
      <c r="U63" s="25" t="n">
        <v>0</v>
      </c>
      <c r="V63" s="25" t="n">
        <v>3337.46</v>
      </c>
    </row>
    <row r="64" customFormat="false" ht="15" hidden="false" customHeight="true" outlineLevel="0" collapsed="false">
      <c r="B64" s="35" t="s">
        <v>809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786.86</v>
      </c>
      <c r="H64" s="25" t="n">
        <v>38.99</v>
      </c>
      <c r="I64" s="25" t="n">
        <v>369.17</v>
      </c>
      <c r="J64" s="25" t="n">
        <v>0</v>
      </c>
      <c r="K64" s="25" t="n">
        <v>578.78</v>
      </c>
      <c r="L64" s="25" t="n">
        <v>319.92</v>
      </c>
      <c r="M64" s="25" t="n">
        <v>70</v>
      </c>
      <c r="N64" s="25" t="n">
        <v>0</v>
      </c>
      <c r="O64" s="25" t="n">
        <v>0</v>
      </c>
      <c r="P64" s="25" t="n">
        <v>295.9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2459.62</v>
      </c>
    </row>
    <row r="65" customFormat="false" ht="15" hidden="false" customHeight="true" outlineLevel="0" collapsed="false">
      <c r="B65" s="35" t="s">
        <v>810</v>
      </c>
      <c r="C65" s="25" t="n">
        <v>0</v>
      </c>
      <c r="D65" s="25" t="n">
        <v>0</v>
      </c>
      <c r="E65" s="25" t="n">
        <v>0</v>
      </c>
      <c r="F65" s="25" t="n">
        <v>0</v>
      </c>
      <c r="G65" s="25" t="n">
        <v>0</v>
      </c>
      <c r="H65" s="25" t="n">
        <v>0</v>
      </c>
      <c r="I65" s="25" t="n">
        <v>675.95</v>
      </c>
      <c r="J65" s="25" t="n">
        <v>675.95</v>
      </c>
      <c r="K65" s="25" t="n">
        <v>0</v>
      </c>
      <c r="L65" s="25" t="n">
        <v>0</v>
      </c>
      <c r="M65" s="25" t="n">
        <v>0</v>
      </c>
      <c r="N65" s="25" t="n">
        <v>900</v>
      </c>
      <c r="O65" s="25" t="n">
        <v>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2251.9</v>
      </c>
    </row>
    <row r="66" customFormat="false" ht="15" hidden="false" customHeight="true" outlineLevel="0" collapsed="false">
      <c r="B66" s="35" t="s">
        <v>811</v>
      </c>
      <c r="C66" s="25" t="n">
        <v>0</v>
      </c>
      <c r="D66" s="25" t="n">
        <v>0</v>
      </c>
      <c r="E66" s="25" t="n">
        <v>0</v>
      </c>
      <c r="F66" s="25" t="n">
        <v>0</v>
      </c>
      <c r="G66" s="25" t="n">
        <v>0</v>
      </c>
      <c r="H66" s="25" t="n">
        <v>30</v>
      </c>
      <c r="I66" s="25" t="n">
        <v>1000</v>
      </c>
      <c r="J66" s="25" t="n">
        <v>0</v>
      </c>
      <c r="K66" s="25" t="n">
        <v>0</v>
      </c>
      <c r="L66" s="25" t="n">
        <v>0</v>
      </c>
      <c r="M66" s="25" t="n">
        <v>0</v>
      </c>
      <c r="N66" s="25" t="n">
        <v>0</v>
      </c>
      <c r="O66" s="25" t="n">
        <v>0</v>
      </c>
      <c r="P66" s="25" t="n">
        <v>250</v>
      </c>
      <c r="Q66" s="25" t="n">
        <v>0</v>
      </c>
      <c r="R66" s="25" t="n">
        <v>905</v>
      </c>
      <c r="S66" s="25" t="n">
        <v>28.5</v>
      </c>
      <c r="T66" s="25" t="n">
        <v>0</v>
      </c>
      <c r="U66" s="25" t="n">
        <v>0</v>
      </c>
      <c r="V66" s="25" t="n">
        <v>2213.5</v>
      </c>
    </row>
    <row r="67" customFormat="false" ht="15" hidden="false" customHeight="true" outlineLevel="0" collapsed="false">
      <c r="B67" s="35" t="s">
        <v>812</v>
      </c>
      <c r="C67" s="25" t="n">
        <v>0</v>
      </c>
      <c r="D67" s="25" t="n">
        <v>383</v>
      </c>
      <c r="E67" s="25" t="n">
        <v>316.58</v>
      </c>
      <c r="F67" s="25" t="n">
        <v>250</v>
      </c>
      <c r="G67" s="25" t="n">
        <v>48.93</v>
      </c>
      <c r="H67" s="25" t="n">
        <v>130.86</v>
      </c>
      <c r="I67" s="25" t="n">
        <v>318.21</v>
      </c>
      <c r="J67" s="25" t="n">
        <v>30</v>
      </c>
      <c r="K67" s="25" t="n">
        <v>0</v>
      </c>
      <c r="L67" s="25" t="n">
        <v>29.79</v>
      </c>
      <c r="M67" s="25" t="n">
        <v>88.46</v>
      </c>
      <c r="N67" s="25" t="n">
        <v>175.59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168.44</v>
      </c>
      <c r="T67" s="25" t="n">
        <v>0</v>
      </c>
      <c r="U67" s="25" t="n">
        <v>0</v>
      </c>
      <c r="V67" s="25" t="n">
        <v>1939.86</v>
      </c>
    </row>
    <row r="68" customFormat="false" ht="15" hidden="false" customHeight="true" outlineLevel="0" collapsed="false">
      <c r="B68" s="35" t="s">
        <v>813</v>
      </c>
      <c r="C68" s="25" t="n">
        <v>0</v>
      </c>
      <c r="D68" s="25" t="n">
        <v>124.84</v>
      </c>
      <c r="E68" s="25" t="n">
        <v>0</v>
      </c>
      <c r="F68" s="25" t="n">
        <v>109.53</v>
      </c>
      <c r="G68" s="25" t="n">
        <v>290.1</v>
      </c>
      <c r="H68" s="25" t="n">
        <v>111.8</v>
      </c>
      <c r="I68" s="25" t="n">
        <v>110.19</v>
      </c>
      <c r="J68" s="25" t="n">
        <v>113</v>
      </c>
      <c r="K68" s="25" t="n">
        <v>112.52</v>
      </c>
      <c r="L68" s="25" t="n">
        <v>0</v>
      </c>
      <c r="M68" s="25" t="n">
        <v>555.66</v>
      </c>
      <c r="N68" s="25" t="n">
        <v>0</v>
      </c>
      <c r="O68" s="25" t="n">
        <v>0</v>
      </c>
      <c r="P68" s="25" t="n">
        <v>88</v>
      </c>
      <c r="Q68" s="25" t="n">
        <v>0</v>
      </c>
      <c r="R68" s="25" t="n">
        <v>163.62</v>
      </c>
      <c r="S68" s="25" t="n">
        <v>0</v>
      </c>
      <c r="T68" s="25" t="n">
        <v>151.96</v>
      </c>
      <c r="U68" s="25" t="n">
        <v>0</v>
      </c>
      <c r="V68" s="25" t="n">
        <v>1931.22</v>
      </c>
    </row>
    <row r="69" customFormat="false" ht="15" hidden="false" customHeight="true" outlineLevel="0" collapsed="false">
      <c r="B69" s="35" t="s">
        <v>814</v>
      </c>
      <c r="C69" s="25" t="n">
        <v>0</v>
      </c>
      <c r="D69" s="25" t="n">
        <v>120</v>
      </c>
      <c r="E69" s="25" t="n">
        <v>120</v>
      </c>
      <c r="F69" s="25" t="n">
        <v>120</v>
      </c>
      <c r="G69" s="25" t="n">
        <v>143.22</v>
      </c>
      <c r="H69" s="25" t="n">
        <v>123.22</v>
      </c>
      <c r="I69" s="25" t="n">
        <v>120.64</v>
      </c>
      <c r="J69" s="25" t="n">
        <v>132.72</v>
      </c>
      <c r="K69" s="25" t="n">
        <v>120</v>
      </c>
      <c r="L69" s="25" t="n">
        <v>256.67</v>
      </c>
      <c r="M69" s="25" t="n">
        <v>120.01</v>
      </c>
      <c r="N69" s="25" t="n">
        <v>0</v>
      </c>
      <c r="O69" s="25" t="n">
        <v>0</v>
      </c>
      <c r="P69" s="25" t="n">
        <v>126.92</v>
      </c>
      <c r="Q69" s="25" t="n">
        <v>130</v>
      </c>
      <c r="R69" s="25" t="n">
        <v>126.97</v>
      </c>
      <c r="S69" s="25" t="n">
        <v>130</v>
      </c>
      <c r="T69" s="25" t="n">
        <v>0</v>
      </c>
      <c r="U69" s="25" t="n">
        <v>0</v>
      </c>
      <c r="V69" s="25" t="n">
        <v>1890.37</v>
      </c>
    </row>
    <row r="70" customFormat="false" ht="15" hidden="false" customHeight="true" outlineLevel="0" collapsed="false">
      <c r="B70" s="35" t="s">
        <v>815</v>
      </c>
      <c r="C70" s="25" t="n">
        <v>0</v>
      </c>
      <c r="D70" s="25" t="n">
        <v>0</v>
      </c>
      <c r="E70" s="25" t="n">
        <v>0</v>
      </c>
      <c r="F70" s="25" t="n">
        <v>520</v>
      </c>
      <c r="G70" s="25" t="n">
        <v>630</v>
      </c>
      <c r="H70" s="25" t="n">
        <v>520</v>
      </c>
      <c r="I70" s="25" t="n">
        <v>0</v>
      </c>
      <c r="J70" s="25" t="n">
        <v>0</v>
      </c>
      <c r="K70" s="25" t="n">
        <v>0</v>
      </c>
      <c r="L70" s="25" t="n">
        <v>60</v>
      </c>
      <c r="M70" s="25" t="n">
        <v>0</v>
      </c>
      <c r="N70" s="25" t="n">
        <v>0</v>
      </c>
      <c r="O70" s="25" t="n">
        <v>0</v>
      </c>
      <c r="P70" s="25" t="n">
        <v>90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1820</v>
      </c>
    </row>
    <row r="71" customFormat="false" ht="15" hidden="false" customHeight="true" outlineLevel="0" collapsed="false">
      <c r="B71" s="35" t="s">
        <v>816</v>
      </c>
      <c r="C71" s="25" t="n">
        <v>0</v>
      </c>
      <c r="D71" s="25" t="n">
        <v>0</v>
      </c>
      <c r="E71" s="25" t="n">
        <v>1131.91</v>
      </c>
      <c r="F71" s="25" t="n">
        <v>0</v>
      </c>
      <c r="G71" s="25" t="n">
        <v>0</v>
      </c>
      <c r="H71" s="25" t="n">
        <v>0</v>
      </c>
      <c r="I71" s="25" t="n">
        <v>658.07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1789.98</v>
      </c>
    </row>
    <row r="72" customFormat="false" ht="15" hidden="false" customHeight="true" outlineLevel="0" collapsed="false">
      <c r="B72" s="35" t="s">
        <v>817</v>
      </c>
      <c r="C72" s="25" t="n">
        <v>0</v>
      </c>
      <c r="D72" s="25" t="n">
        <v>0</v>
      </c>
      <c r="E72" s="25" t="n">
        <v>70.61</v>
      </c>
      <c r="F72" s="25" t="n">
        <v>132.6</v>
      </c>
      <c r="G72" s="25" t="n">
        <v>130.94</v>
      </c>
      <c r="H72" s="25" t="n">
        <v>163.13</v>
      </c>
      <c r="I72" s="25" t="n">
        <v>94.06</v>
      </c>
      <c r="J72" s="25" t="n">
        <v>242.3</v>
      </c>
      <c r="K72" s="25" t="n">
        <v>128.9</v>
      </c>
      <c r="L72" s="25" t="n">
        <v>128.16</v>
      </c>
      <c r="M72" s="25" t="n">
        <v>92.9</v>
      </c>
      <c r="N72" s="25" t="n">
        <v>221.52</v>
      </c>
      <c r="O72" s="25" t="n">
        <v>0</v>
      </c>
      <c r="P72" s="25" t="n">
        <v>102.62</v>
      </c>
      <c r="Q72" s="25" t="n">
        <v>8</v>
      </c>
      <c r="R72" s="25" t="n">
        <v>25</v>
      </c>
      <c r="S72" s="25" t="n">
        <v>0</v>
      </c>
      <c r="T72" s="25" t="n">
        <v>0</v>
      </c>
      <c r="U72" s="25" t="n">
        <v>0</v>
      </c>
      <c r="V72" s="25" t="n">
        <v>1540.74</v>
      </c>
    </row>
    <row r="73" customFormat="false" ht="15" hidden="false" customHeight="true" outlineLevel="0" collapsed="false">
      <c r="B73" s="35" t="s">
        <v>818</v>
      </c>
      <c r="C73" s="25" t="n">
        <v>0</v>
      </c>
      <c r="D73" s="25" t="n">
        <v>0</v>
      </c>
      <c r="E73" s="25" t="n">
        <v>0</v>
      </c>
      <c r="F73" s="25" t="n">
        <v>0</v>
      </c>
      <c r="G73" s="25" t="n">
        <v>0</v>
      </c>
      <c r="H73" s="25" t="n">
        <v>0</v>
      </c>
      <c r="I73" s="25" t="n">
        <v>0</v>
      </c>
      <c r="J73" s="25" t="n">
        <v>500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882.21</v>
      </c>
      <c r="Q73" s="25" t="n">
        <v>0</v>
      </c>
      <c r="R73" s="25" t="n">
        <v>0</v>
      </c>
      <c r="S73" s="25" t="n">
        <v>0</v>
      </c>
      <c r="T73" s="25" t="n">
        <v>0</v>
      </c>
      <c r="U73" s="25" t="n">
        <v>0</v>
      </c>
      <c r="V73" s="25" t="n">
        <v>1382.21</v>
      </c>
    </row>
    <row r="74" customFormat="false" ht="15" hidden="false" customHeight="true" outlineLevel="0" collapsed="false">
      <c r="B74" s="35" t="s">
        <v>819</v>
      </c>
      <c r="C74" s="25" t="n">
        <v>0</v>
      </c>
      <c r="D74" s="25" t="n">
        <v>0</v>
      </c>
      <c r="E74" s="25" t="n">
        <v>0</v>
      </c>
      <c r="F74" s="25" t="n">
        <v>0</v>
      </c>
      <c r="G74" s="25" t="n">
        <v>0</v>
      </c>
      <c r="H74" s="25" t="n">
        <v>0</v>
      </c>
      <c r="I74" s="25" t="n">
        <v>0</v>
      </c>
      <c r="J74" s="25" t="n">
        <v>157.75</v>
      </c>
      <c r="K74" s="25" t="n">
        <v>468.09</v>
      </c>
      <c r="L74" s="25" t="n">
        <v>0</v>
      </c>
      <c r="M74" s="25" t="n">
        <v>235.65</v>
      </c>
      <c r="N74" s="25" t="n">
        <v>30.23</v>
      </c>
      <c r="O74" s="25" t="n">
        <v>0</v>
      </c>
      <c r="P74" s="25" t="n">
        <v>243</v>
      </c>
      <c r="Q74" s="25" t="n">
        <v>0</v>
      </c>
      <c r="R74" s="25" t="n">
        <v>28</v>
      </c>
      <c r="S74" s="25" t="n">
        <v>13.74</v>
      </c>
      <c r="T74" s="25" t="n">
        <v>0</v>
      </c>
      <c r="U74" s="25" t="n">
        <v>0</v>
      </c>
      <c r="V74" s="25" t="n">
        <v>1176.46</v>
      </c>
    </row>
    <row r="75" customFormat="false" ht="15" hidden="false" customHeight="true" outlineLevel="0" collapsed="false">
      <c r="B75" s="35" t="s">
        <v>820</v>
      </c>
      <c r="C75" s="25" t="n">
        <v>0</v>
      </c>
      <c r="D75" s="25" t="n">
        <v>0</v>
      </c>
      <c r="E75" s="25" t="n">
        <v>0</v>
      </c>
      <c r="F75" s="25" t="n">
        <v>0</v>
      </c>
      <c r="G75" s="25" t="n">
        <v>0</v>
      </c>
      <c r="H75" s="25" t="n">
        <v>0</v>
      </c>
      <c r="I75" s="25" t="n">
        <v>0</v>
      </c>
      <c r="J75" s="25" t="n">
        <v>0</v>
      </c>
      <c r="K75" s="25" t="n">
        <v>0</v>
      </c>
      <c r="L75" s="25" t="n">
        <v>0</v>
      </c>
      <c r="M75" s="25" t="n">
        <v>0</v>
      </c>
      <c r="N75" s="25" t="n">
        <v>0</v>
      </c>
      <c r="O75" s="25" t="n">
        <v>0</v>
      </c>
      <c r="P75" s="25" t="n">
        <v>0</v>
      </c>
      <c r="Q75" s="25" t="n">
        <v>1100</v>
      </c>
      <c r="R75" s="25" t="n">
        <v>0</v>
      </c>
      <c r="S75" s="25" t="n">
        <v>0</v>
      </c>
      <c r="T75" s="25" t="n">
        <v>0</v>
      </c>
      <c r="U75" s="25" t="n">
        <v>0</v>
      </c>
      <c r="V75" s="25" t="n">
        <v>1100</v>
      </c>
    </row>
    <row r="76" customFormat="false" ht="15" hidden="false" customHeight="true" outlineLevel="0" collapsed="false">
      <c r="B76" s="35" t="s">
        <v>821</v>
      </c>
      <c r="C76" s="25" t="n">
        <v>0</v>
      </c>
      <c r="D76" s="25" t="n">
        <v>0</v>
      </c>
      <c r="E76" s="25" t="n">
        <v>0</v>
      </c>
      <c r="F76" s="25" t="n">
        <v>0</v>
      </c>
      <c r="G76" s="25" t="n">
        <v>0</v>
      </c>
      <c r="H76" s="25" t="n">
        <v>0</v>
      </c>
      <c r="I76" s="25" t="n">
        <v>800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0</v>
      </c>
      <c r="V76" s="25" t="n">
        <v>800</v>
      </c>
    </row>
    <row r="77" customFormat="false" ht="15" hidden="false" customHeight="true" outlineLevel="0" collapsed="false">
      <c r="B77" s="35" t="s">
        <v>822</v>
      </c>
      <c r="C77" s="25" t="n">
        <v>0</v>
      </c>
      <c r="D77" s="25" t="n">
        <v>0</v>
      </c>
      <c r="E77" s="25" t="n">
        <v>0</v>
      </c>
      <c r="F77" s="25" t="n">
        <v>0</v>
      </c>
      <c r="G77" s="25" t="n">
        <v>0</v>
      </c>
      <c r="H77" s="25" t="n">
        <v>87.5</v>
      </c>
      <c r="I77" s="25" t="n">
        <v>0</v>
      </c>
      <c r="J77" s="25" t="n">
        <v>0</v>
      </c>
      <c r="K77" s="25" t="n">
        <v>0</v>
      </c>
      <c r="L77" s="25" t="n">
        <v>0</v>
      </c>
      <c r="M77" s="25" t="n">
        <v>0</v>
      </c>
      <c r="N77" s="25" t="n">
        <v>0</v>
      </c>
      <c r="O77" s="25" t="n">
        <v>0</v>
      </c>
      <c r="P77" s="25" t="n">
        <v>0</v>
      </c>
      <c r="Q77" s="25" t="n">
        <v>500</v>
      </c>
      <c r="R77" s="25" t="n">
        <v>0</v>
      </c>
      <c r="S77" s="25" t="n">
        <v>0</v>
      </c>
      <c r="T77" s="25" t="n">
        <v>0</v>
      </c>
      <c r="U77" s="25" t="n">
        <v>0</v>
      </c>
      <c r="V77" s="25" t="n">
        <v>587.5</v>
      </c>
    </row>
    <row r="78" customFormat="false" ht="15" hidden="false" customHeight="true" outlineLevel="0" collapsed="false">
      <c r="B78" s="35" t="s">
        <v>823</v>
      </c>
      <c r="C78" s="25" t="n">
        <v>0</v>
      </c>
      <c r="D78" s="25" t="n">
        <v>0</v>
      </c>
      <c r="E78" s="25" t="n">
        <v>0</v>
      </c>
      <c r="F78" s="25" t="n">
        <v>50</v>
      </c>
      <c r="G78" s="25" t="n">
        <v>150</v>
      </c>
      <c r="H78" s="25" t="n">
        <v>70</v>
      </c>
      <c r="I78" s="25" t="n">
        <v>0</v>
      </c>
      <c r="J78" s="25" t="n">
        <v>0</v>
      </c>
      <c r="K78" s="25" t="n">
        <v>0</v>
      </c>
      <c r="L78" s="25" t="n">
        <v>0</v>
      </c>
      <c r="M78" s="25" t="n">
        <v>0</v>
      </c>
      <c r="N78" s="25" t="n">
        <v>0</v>
      </c>
      <c r="O78" s="25" t="n">
        <v>0</v>
      </c>
      <c r="P78" s="25" t="n">
        <v>0</v>
      </c>
      <c r="Q78" s="25" t="n">
        <v>0</v>
      </c>
      <c r="R78" s="25" t="n">
        <v>0</v>
      </c>
      <c r="S78" s="25" t="n">
        <v>0</v>
      </c>
      <c r="T78" s="25" t="n">
        <v>0</v>
      </c>
      <c r="U78" s="25" t="n">
        <v>0</v>
      </c>
      <c r="V78" s="25" t="n">
        <v>270</v>
      </c>
    </row>
    <row r="79" customFormat="false" ht="15" hidden="false" customHeight="true" outlineLevel="0" collapsed="false">
      <c r="B79" s="35" t="s">
        <v>824</v>
      </c>
      <c r="C79" s="25" t="n">
        <v>0</v>
      </c>
      <c r="D79" s="25" t="n">
        <v>0</v>
      </c>
      <c r="E79" s="25" t="n">
        <v>0</v>
      </c>
      <c r="F79" s="25" t="n">
        <v>0</v>
      </c>
      <c r="G79" s="25" t="n">
        <v>0</v>
      </c>
      <c r="H79" s="25" t="n">
        <v>0</v>
      </c>
      <c r="I79" s="25" t="n">
        <v>0</v>
      </c>
      <c r="J79" s="25" t="n">
        <v>0</v>
      </c>
      <c r="K79" s="25" t="n">
        <v>0</v>
      </c>
      <c r="L79" s="25" t="n">
        <v>0</v>
      </c>
      <c r="M79" s="25" t="n">
        <v>0</v>
      </c>
      <c r="N79" s="25" t="n">
        <v>0</v>
      </c>
      <c r="O79" s="25" t="n">
        <v>0</v>
      </c>
      <c r="P79" s="25" t="n">
        <v>0</v>
      </c>
      <c r="Q79" s="25" t="n">
        <v>168</v>
      </c>
      <c r="R79" s="25" t="n">
        <v>0</v>
      </c>
      <c r="S79" s="25" t="n">
        <v>0</v>
      </c>
      <c r="T79" s="25" t="n">
        <v>0</v>
      </c>
      <c r="U79" s="25" t="n">
        <v>0</v>
      </c>
      <c r="V79" s="25" t="n">
        <v>168</v>
      </c>
    </row>
    <row r="80" customFormat="false" ht="15" hidden="false" customHeight="true" outlineLevel="0" collapsed="false">
      <c r="B80" s="35" t="s">
        <v>825</v>
      </c>
      <c r="C80" s="25" t="n">
        <v>0</v>
      </c>
      <c r="D80" s="25" t="n">
        <v>0</v>
      </c>
      <c r="E80" s="25" t="n">
        <v>0</v>
      </c>
      <c r="F80" s="25" t="n">
        <v>0</v>
      </c>
      <c r="G80" s="25" t="n">
        <v>0</v>
      </c>
      <c r="H80" s="25" t="n">
        <v>0</v>
      </c>
      <c r="I80" s="25" t="n">
        <v>0</v>
      </c>
      <c r="J80" s="25" t="n">
        <v>0</v>
      </c>
      <c r="K80" s="25" t="n">
        <v>50.21</v>
      </c>
      <c r="L80" s="25" t="n">
        <v>0</v>
      </c>
      <c r="M80" s="25" t="n">
        <v>0</v>
      </c>
      <c r="N80" s="25" t="n">
        <v>0</v>
      </c>
      <c r="O80" s="25" t="n">
        <v>0</v>
      </c>
      <c r="P80" s="25" t="n">
        <v>0</v>
      </c>
      <c r="Q80" s="25" t="n">
        <v>0</v>
      </c>
      <c r="R80" s="25" t="n">
        <v>0</v>
      </c>
      <c r="S80" s="25" t="n">
        <v>0</v>
      </c>
      <c r="T80" s="25" t="n">
        <v>0</v>
      </c>
      <c r="U80" s="25" t="n">
        <v>0</v>
      </c>
      <c r="V80" s="25" t="n">
        <v>50.21</v>
      </c>
    </row>
    <row r="81" customFormat="false" ht="15" hidden="false" customHeight="true" outlineLevel="0" collapsed="false">
      <c r="B81" s="36" t="s">
        <v>826</v>
      </c>
      <c r="C81" s="37" t="n">
        <v>0</v>
      </c>
      <c r="D81" s="37" t="n">
        <v>50508.57</v>
      </c>
      <c r="E81" s="37" t="n">
        <v>28670.52</v>
      </c>
      <c r="F81" s="37" t="n">
        <v>23043.5</v>
      </c>
      <c r="G81" s="37" t="n">
        <v>97213.74</v>
      </c>
      <c r="H81" s="37" t="n">
        <v>111963.49</v>
      </c>
      <c r="I81" s="37" t="n">
        <v>193947.53</v>
      </c>
      <c r="J81" s="37" t="n">
        <v>175640.55</v>
      </c>
      <c r="K81" s="37" t="n">
        <v>188823.33</v>
      </c>
      <c r="L81" s="37" t="n">
        <v>239898.15</v>
      </c>
      <c r="M81" s="37" t="n">
        <v>104912.41</v>
      </c>
      <c r="N81" s="37" t="n">
        <v>79120.27</v>
      </c>
      <c r="O81" s="37" t="n">
        <v>0</v>
      </c>
      <c r="P81" s="37" t="n">
        <v>23600.38</v>
      </c>
      <c r="Q81" s="37" t="n">
        <v>22424.02</v>
      </c>
      <c r="R81" s="37" t="n">
        <v>25852.37</v>
      </c>
      <c r="S81" s="37" t="n">
        <v>21077.92</v>
      </c>
      <c r="T81" s="37" t="n">
        <v>413.82</v>
      </c>
      <c r="U81" s="37" t="n">
        <v>0</v>
      </c>
      <c r="V81" s="37" t="n">
        <v>1387110.57</v>
      </c>
    </row>
    <row r="82" customFormat="false" ht="15" hidden="false" customHeight="true" outlineLevel="0" collapsed="false">
      <c r="B82" s="38" t="s">
        <v>827</v>
      </c>
      <c r="C82" s="39" t="n">
        <v>-17715.33</v>
      </c>
      <c r="D82" s="39" t="n">
        <v>-191276.64</v>
      </c>
      <c r="E82" s="39" t="n">
        <v>-150022.17</v>
      </c>
      <c r="F82" s="39" t="n">
        <v>-104769.73</v>
      </c>
      <c r="G82" s="39" t="n">
        <v>-464901.01</v>
      </c>
      <c r="H82" s="39" t="n">
        <v>-363010.41</v>
      </c>
      <c r="I82" s="39" t="n">
        <v>-404186.93</v>
      </c>
      <c r="J82" s="39" t="n">
        <v>-443005.22</v>
      </c>
      <c r="K82" s="39" t="n">
        <v>-450660.82</v>
      </c>
      <c r="L82" s="39" t="n">
        <v>-426606.71</v>
      </c>
      <c r="M82" s="39" t="n">
        <v>-438372.69</v>
      </c>
      <c r="N82" s="39" t="n">
        <v>-181240.24</v>
      </c>
      <c r="O82" s="39" t="n">
        <v>174265.91</v>
      </c>
      <c r="P82" s="39" t="n">
        <v>-221106.84</v>
      </c>
      <c r="Q82" s="39" t="n">
        <v>-149609.4</v>
      </c>
      <c r="R82" s="39" t="n">
        <v>-192150.84</v>
      </c>
      <c r="S82" s="39" t="n">
        <v>-94892.47</v>
      </c>
      <c r="T82" s="39" t="n">
        <v>456819.68</v>
      </c>
      <c r="U82" s="39" t="n">
        <v>562752</v>
      </c>
      <c r="V82" s="39" t="n">
        <v>-3099689.86</v>
      </c>
    </row>
    <row r="84" customFormat="false" ht="15" hidden="false" customHeight="true" outlineLevel="0" collapsed="false">
      <c r="B84" s="33" t="s">
        <v>828</v>
      </c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customFormat="false" ht="15" hidden="false" customHeight="true" outlineLevel="0" collapsed="false">
      <c r="B85" s="35" t="s">
        <v>829</v>
      </c>
      <c r="C85" s="25" t="n">
        <v>0</v>
      </c>
      <c r="D85" s="25" t="n">
        <v>154027.23</v>
      </c>
      <c r="E85" s="25" t="n">
        <v>154026.97</v>
      </c>
      <c r="F85" s="25" t="n">
        <v>144173.23</v>
      </c>
      <c r="G85" s="25" t="n">
        <v>143687.25</v>
      </c>
      <c r="H85" s="25" t="n">
        <v>143867.2</v>
      </c>
      <c r="I85" s="25" t="n">
        <v>159150.01</v>
      </c>
      <c r="J85" s="25" t="n">
        <v>193012.01</v>
      </c>
      <c r="K85" s="25" t="n">
        <v>194097.01</v>
      </c>
      <c r="L85" s="25" t="n">
        <v>198397.34</v>
      </c>
      <c r="M85" s="25" t="n">
        <v>51062.04</v>
      </c>
      <c r="N85" s="25" t="n">
        <v>38312.04</v>
      </c>
      <c r="O85" s="25" t="n">
        <v>0</v>
      </c>
      <c r="P85" s="25" t="n">
        <v>20272.94</v>
      </c>
      <c r="Q85" s="25" t="n">
        <v>13922.61</v>
      </c>
      <c r="R85" s="25" t="n">
        <v>6364.3</v>
      </c>
      <c r="S85" s="25" t="n">
        <v>6309</v>
      </c>
      <c r="T85" s="25" t="n">
        <v>0</v>
      </c>
      <c r="U85" s="25" t="n">
        <v>0</v>
      </c>
      <c r="V85" s="25" t="n">
        <v>1620681.18</v>
      </c>
    </row>
    <row r="86" customFormat="false" ht="15" hidden="false" customHeight="true" outlineLevel="0" collapsed="false">
      <c r="B86" s="35" t="s">
        <v>830</v>
      </c>
      <c r="C86" s="25" t="n">
        <v>0</v>
      </c>
      <c r="D86" s="25" t="n">
        <v>0</v>
      </c>
      <c r="E86" s="25" t="n">
        <v>10917.99</v>
      </c>
      <c r="F86" s="25" t="n">
        <v>0</v>
      </c>
      <c r="G86" s="25" t="n">
        <v>2170.05</v>
      </c>
      <c r="H86" s="25" t="n">
        <v>0</v>
      </c>
      <c r="I86" s="25" t="n">
        <v>0</v>
      </c>
      <c r="J86" s="25" t="n">
        <v>0</v>
      </c>
      <c r="K86" s="25" t="n">
        <v>148.64</v>
      </c>
      <c r="L86" s="25" t="n">
        <v>4655.22</v>
      </c>
      <c r="M86" s="25" t="n">
        <v>882.6</v>
      </c>
      <c r="N86" s="25" t="n">
        <v>0</v>
      </c>
      <c r="O86" s="25" t="n">
        <v>0</v>
      </c>
      <c r="P86" s="25" t="n">
        <v>2855.89</v>
      </c>
      <c r="Q86" s="25" t="n">
        <v>8591.51</v>
      </c>
      <c r="R86" s="25" t="n">
        <v>1967.03</v>
      </c>
      <c r="S86" s="25" t="n">
        <v>1927.86</v>
      </c>
      <c r="T86" s="25" t="n">
        <v>0</v>
      </c>
      <c r="U86" s="25" t="n">
        <v>0</v>
      </c>
      <c r="V86" s="25" t="n">
        <v>34116.79</v>
      </c>
    </row>
    <row r="87" customFormat="false" ht="15" hidden="false" customHeight="true" outlineLevel="0" collapsed="false">
      <c r="B87" s="35" t="s">
        <v>831</v>
      </c>
      <c r="C87" s="25" t="n">
        <v>0</v>
      </c>
      <c r="D87" s="25" t="n">
        <v>0</v>
      </c>
      <c r="E87" s="25" t="n">
        <v>0</v>
      </c>
      <c r="F87" s="25" t="n">
        <v>0</v>
      </c>
      <c r="G87" s="25" t="n">
        <v>0</v>
      </c>
      <c r="H87" s="25" t="n">
        <v>0</v>
      </c>
      <c r="I87" s="25" t="n">
        <v>0</v>
      </c>
      <c r="J87" s="25" t="n">
        <v>500</v>
      </c>
      <c r="K87" s="25" t="n">
        <v>956</v>
      </c>
      <c r="L87" s="25" t="n">
        <v>2955</v>
      </c>
      <c r="M87" s="25" t="n">
        <v>0</v>
      </c>
      <c r="N87" s="25" t="n">
        <v>0</v>
      </c>
      <c r="O87" s="25" t="n">
        <v>0</v>
      </c>
      <c r="P87" s="25" t="n">
        <v>7750</v>
      </c>
      <c r="Q87" s="25" t="n">
        <v>0</v>
      </c>
      <c r="R87" s="25" t="n">
        <v>7750</v>
      </c>
      <c r="S87" s="25" t="n">
        <v>0</v>
      </c>
      <c r="T87" s="25" t="n">
        <v>0</v>
      </c>
      <c r="U87" s="25" t="n">
        <v>0</v>
      </c>
      <c r="V87" s="25" t="n">
        <v>19911</v>
      </c>
    </row>
    <row r="88" customFormat="false" ht="15" hidden="false" customHeight="true" outlineLevel="0" collapsed="false">
      <c r="B88" s="35" t="s">
        <v>832</v>
      </c>
      <c r="C88" s="25" t="n">
        <v>0</v>
      </c>
      <c r="D88" s="25" t="n">
        <v>0</v>
      </c>
      <c r="E88" s="25" t="n">
        <v>0</v>
      </c>
      <c r="F88" s="25" t="n">
        <v>3.3</v>
      </c>
      <c r="G88" s="25" t="n">
        <v>646.87</v>
      </c>
      <c r="H88" s="25" t="n">
        <v>0</v>
      </c>
      <c r="I88" s="25" t="n">
        <v>0</v>
      </c>
      <c r="J88" s="25" t="n">
        <v>0</v>
      </c>
      <c r="K88" s="25" t="n">
        <v>0</v>
      </c>
      <c r="L88" s="25" t="n">
        <v>6650</v>
      </c>
      <c r="M88" s="25" t="n">
        <v>0</v>
      </c>
      <c r="N88" s="25" t="n">
        <v>0</v>
      </c>
      <c r="O88" s="25" t="n">
        <v>0</v>
      </c>
      <c r="P88" s="25" t="n">
        <v>0</v>
      </c>
      <c r="Q88" s="25" t="n">
        <v>0</v>
      </c>
      <c r="R88" s="25" t="n">
        <v>0</v>
      </c>
      <c r="S88" s="25" t="n">
        <v>0</v>
      </c>
      <c r="T88" s="25" t="n">
        <v>0</v>
      </c>
      <c r="U88" s="25" t="n">
        <v>0</v>
      </c>
      <c r="V88" s="25" t="n">
        <v>7300.17</v>
      </c>
    </row>
    <row r="89" customFormat="false" ht="15" hidden="false" customHeight="true" outlineLevel="0" collapsed="false">
      <c r="B89" s="35" t="s">
        <v>833</v>
      </c>
      <c r="C89" s="25" t="n">
        <v>0</v>
      </c>
      <c r="D89" s="25" t="n">
        <v>0</v>
      </c>
      <c r="E89" s="25" t="n">
        <v>0</v>
      </c>
      <c r="F89" s="25" t="n">
        <v>0</v>
      </c>
      <c r="G89" s="25" t="n">
        <v>0</v>
      </c>
      <c r="H89" s="25" t="n">
        <v>0</v>
      </c>
      <c r="I89" s="25" t="n">
        <v>0</v>
      </c>
      <c r="J89" s="25" t="n">
        <v>0</v>
      </c>
      <c r="K89" s="25" t="n">
        <v>0</v>
      </c>
      <c r="L89" s="25" t="n">
        <v>0</v>
      </c>
      <c r="M89" s="25" t="n">
        <v>0</v>
      </c>
      <c r="N89" s="25" t="n">
        <v>0</v>
      </c>
      <c r="O89" s="25" t="n">
        <v>0</v>
      </c>
      <c r="P89" s="25" t="n">
        <v>0</v>
      </c>
      <c r="Q89" s="25" t="n">
        <v>1985.33</v>
      </c>
      <c r="R89" s="25" t="n">
        <v>2056</v>
      </c>
      <c r="S89" s="25" t="n">
        <v>2055.6</v>
      </c>
      <c r="T89" s="25" t="n">
        <v>0</v>
      </c>
      <c r="U89" s="25" t="n">
        <v>0</v>
      </c>
      <c r="V89" s="25" t="n">
        <v>6096.93</v>
      </c>
    </row>
    <row r="90" customFormat="false" ht="15" hidden="false" customHeight="true" outlineLevel="0" collapsed="false">
      <c r="B90" s="35" t="s">
        <v>834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2360.04</v>
      </c>
      <c r="N90" s="25" t="n">
        <v>2929.54</v>
      </c>
      <c r="O90" s="25" t="n">
        <v>0</v>
      </c>
      <c r="P90" s="25" t="n">
        <v>0</v>
      </c>
      <c r="Q90" s="25" t="n">
        <v>517.08</v>
      </c>
      <c r="R90" s="25" t="n">
        <v>22</v>
      </c>
      <c r="S90" s="25" t="n">
        <v>89.29</v>
      </c>
      <c r="T90" s="25" t="n">
        <v>0</v>
      </c>
      <c r="U90" s="25" t="n">
        <v>0</v>
      </c>
      <c r="V90" s="25" t="n">
        <v>5917.95</v>
      </c>
    </row>
    <row r="91" customFormat="false" ht="15" hidden="false" customHeight="true" outlineLevel="0" collapsed="false">
      <c r="B91" s="35" t="s">
        <v>835</v>
      </c>
      <c r="C91" s="25" t="n">
        <v>0</v>
      </c>
      <c r="D91" s="25" t="n">
        <v>0</v>
      </c>
      <c r="E91" s="25" t="n">
        <v>0</v>
      </c>
      <c r="F91" s="25" t="n">
        <v>3.7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4910.24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4913.94</v>
      </c>
    </row>
    <row r="92" customFormat="false" ht="15" hidden="false" customHeight="true" outlineLevel="0" collapsed="false">
      <c r="B92" s="35" t="s">
        <v>836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3385.22</v>
      </c>
      <c r="K92" s="25" t="n">
        <v>0</v>
      </c>
      <c r="L92" s="25" t="n">
        <v>0</v>
      </c>
      <c r="M92" s="25" t="n">
        <v>681.34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4066.56</v>
      </c>
    </row>
    <row r="93" customFormat="false" ht="15" hidden="false" customHeight="true" outlineLevel="0" collapsed="false">
      <c r="B93" s="35" t="s">
        <v>837</v>
      </c>
      <c r="C93" s="25" t="n">
        <v>0</v>
      </c>
      <c r="D93" s="25" t="n">
        <v>0</v>
      </c>
      <c r="E93" s="25" t="n">
        <v>156.18</v>
      </c>
      <c r="F93" s="25" t="n">
        <v>156.18</v>
      </c>
      <c r="G93" s="25" t="n">
        <v>0</v>
      </c>
      <c r="H93" s="25" t="n">
        <v>0</v>
      </c>
      <c r="I93" s="25" t="n">
        <v>234.78</v>
      </c>
      <c r="J93" s="25" t="n">
        <v>0</v>
      </c>
      <c r="K93" s="25" t="n">
        <v>0</v>
      </c>
      <c r="L93" s="25" t="n">
        <v>0</v>
      </c>
      <c r="M93" s="25" t="n">
        <v>104.13</v>
      </c>
      <c r="N93" s="25" t="n">
        <v>2734.2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3385.47</v>
      </c>
    </row>
    <row r="94" customFormat="false" ht="15" hidden="false" customHeight="true" outlineLevel="0" collapsed="false">
      <c r="B94" s="36" t="s">
        <v>838</v>
      </c>
      <c r="C94" s="37" t="n">
        <v>0</v>
      </c>
      <c r="D94" s="37" t="n">
        <v>154027.23</v>
      </c>
      <c r="E94" s="37" t="n">
        <v>165101.14</v>
      </c>
      <c r="F94" s="37" t="n">
        <v>144336.41</v>
      </c>
      <c r="G94" s="37" t="n">
        <v>146504.17</v>
      </c>
      <c r="H94" s="37" t="n">
        <v>143867.2</v>
      </c>
      <c r="I94" s="37" t="n">
        <v>159384.79</v>
      </c>
      <c r="J94" s="37" t="n">
        <v>196897.23</v>
      </c>
      <c r="K94" s="37" t="n">
        <v>195201.65</v>
      </c>
      <c r="L94" s="37" t="n">
        <v>212657.56</v>
      </c>
      <c r="M94" s="37" t="n">
        <v>60000.39</v>
      </c>
      <c r="N94" s="37" t="n">
        <v>43975.78</v>
      </c>
      <c r="O94" s="37" t="n">
        <v>0</v>
      </c>
      <c r="P94" s="37" t="n">
        <v>30878.83</v>
      </c>
      <c r="Q94" s="37" t="n">
        <v>25016.53</v>
      </c>
      <c r="R94" s="37" t="n">
        <v>18159.33</v>
      </c>
      <c r="S94" s="37" t="n">
        <v>10381.75</v>
      </c>
      <c r="T94" s="37" t="n">
        <v>0</v>
      </c>
      <c r="U94" s="37" t="n">
        <v>0</v>
      </c>
      <c r="V94" s="37" t="n">
        <v>1706389.99</v>
      </c>
    </row>
    <row r="95" customFormat="false" ht="15" hidden="false" customHeight="true" outlineLevel="0" collapsed="false">
      <c r="B95" s="33" t="s">
        <v>839</v>
      </c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customFormat="false" ht="15" hidden="false" customHeight="true" outlineLevel="0" collapsed="false">
      <c r="B96" s="35" t="s">
        <v>840</v>
      </c>
      <c r="C96" s="25" t="n">
        <v>0</v>
      </c>
      <c r="D96" s="25" t="n">
        <v>50000</v>
      </c>
      <c r="E96" s="25" t="n">
        <v>50000</v>
      </c>
      <c r="F96" s="25" t="n">
        <v>50000</v>
      </c>
      <c r="G96" s="25" t="n">
        <v>50000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200000</v>
      </c>
    </row>
    <row r="97" customFormat="false" ht="15" hidden="false" customHeight="true" outlineLevel="0" collapsed="false">
      <c r="B97" s="36" t="s">
        <v>841</v>
      </c>
      <c r="C97" s="37" t="n">
        <v>0</v>
      </c>
      <c r="D97" s="37" t="n">
        <v>50000</v>
      </c>
      <c r="E97" s="37" t="n">
        <v>50000</v>
      </c>
      <c r="F97" s="37" t="n">
        <v>50000</v>
      </c>
      <c r="G97" s="37" t="n">
        <v>50000</v>
      </c>
      <c r="H97" s="37" t="n">
        <v>0</v>
      </c>
      <c r="I97" s="37" t="n">
        <v>0</v>
      </c>
      <c r="J97" s="37" t="n">
        <v>0</v>
      </c>
      <c r="K97" s="37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200000</v>
      </c>
    </row>
    <row r="98" customFormat="false" ht="15" hidden="false" customHeight="true" outlineLevel="0" collapsed="false">
      <c r="B98" s="38" t="s">
        <v>842</v>
      </c>
      <c r="C98" s="39" t="n">
        <v>-17715.33</v>
      </c>
      <c r="D98" s="39" t="n">
        <v>-395303.87</v>
      </c>
      <c r="E98" s="39" t="n">
        <v>-365123.31</v>
      </c>
      <c r="F98" s="39" t="n">
        <v>-299106.14</v>
      </c>
      <c r="G98" s="39" t="n">
        <v>-661405.18</v>
      </c>
      <c r="H98" s="39" t="n">
        <v>-506877.61</v>
      </c>
      <c r="I98" s="39" t="n">
        <v>-563571.72</v>
      </c>
      <c r="J98" s="39" t="n">
        <v>-639902.45</v>
      </c>
      <c r="K98" s="39" t="n">
        <v>-645862.47</v>
      </c>
      <c r="L98" s="39" t="n">
        <v>-639264.27</v>
      </c>
      <c r="M98" s="39" t="n">
        <v>-498373.08</v>
      </c>
      <c r="N98" s="39" t="n">
        <v>-225216.02</v>
      </c>
      <c r="O98" s="39" t="n">
        <v>174265.91</v>
      </c>
      <c r="P98" s="39" t="n">
        <v>-251985.67</v>
      </c>
      <c r="Q98" s="39" t="n">
        <v>-174625.93</v>
      </c>
      <c r="R98" s="39" t="n">
        <v>-210310.17</v>
      </c>
      <c r="S98" s="39" t="n">
        <v>-105274.22</v>
      </c>
      <c r="T98" s="39" t="n">
        <v>456819.68</v>
      </c>
      <c r="U98" s="39" t="n">
        <v>562752</v>
      </c>
      <c r="V98" s="39" t="n">
        <v>-5006079.85</v>
      </c>
    </row>
  </sheetData>
  <mergeCells count="1">
    <mergeCell ref="B2:V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4"/>
    <col collapsed="false" customWidth="true" hidden="false" outlineLevel="0" max="5" min="5" style="1" width="34"/>
    <col collapsed="false" customWidth="true" hidden="false" outlineLevel="0" max="6" min="6" style="1" width="20"/>
    <col collapsed="false" customWidth="true" hidden="true" outlineLevel="0" max="11" min="10" style="1" width="13"/>
  </cols>
  <sheetData>
    <row r="1" customFormat="false" ht="15" hidden="false" customHeight="true" outlineLevel="0" collapsed="false">
      <c r="J1" s="1" t="s">
        <v>102</v>
      </c>
      <c r="K1" s="1" t="s">
        <v>843</v>
      </c>
    </row>
    <row r="2" customFormat="false" ht="19.5" hidden="false" customHeight="true" outlineLevel="0" collapsed="false">
      <c r="B2" s="8" t="s">
        <v>844</v>
      </c>
      <c r="C2" s="8"/>
      <c r="D2" s="8"/>
      <c r="E2" s="8"/>
      <c r="F2" s="8"/>
      <c r="J2" s="1" t="s">
        <v>31</v>
      </c>
      <c r="K2" s="1" t="n">
        <v>14869.98</v>
      </c>
    </row>
    <row r="3" customFormat="false" ht="15" hidden="false" customHeight="true" outlineLevel="0" collapsed="false">
      <c r="B3" s="14" t="s">
        <v>845</v>
      </c>
      <c r="C3" s="14"/>
      <c r="D3" s="14"/>
      <c r="E3" s="14"/>
      <c r="F3" s="14"/>
      <c r="J3" s="1" t="s">
        <v>71</v>
      </c>
      <c r="K3" s="1" t="n">
        <v>6581.67</v>
      </c>
    </row>
    <row r="4" customFormat="false" ht="15" hidden="false" customHeight="true" outlineLevel="0" collapsed="false">
      <c r="J4" s="1" t="s">
        <v>84</v>
      </c>
      <c r="K4" s="1" t="n">
        <v>1624.62</v>
      </c>
    </row>
    <row r="5" customFormat="false" ht="15" hidden="false" customHeight="true" outlineLevel="0" collapsed="false">
      <c r="B5" s="10" t="s">
        <v>846</v>
      </c>
      <c r="C5" s="10"/>
      <c r="E5" s="10" t="s">
        <v>847</v>
      </c>
      <c r="F5" s="10"/>
      <c r="J5" s="1" t="s">
        <v>45</v>
      </c>
      <c r="K5" s="1" t="n">
        <v>118.52</v>
      </c>
    </row>
    <row r="6" customFormat="false" ht="15" hidden="false" customHeight="true" outlineLevel="0" collapsed="false">
      <c r="B6" s="12" t="s">
        <v>848</v>
      </c>
      <c r="C6" s="40" t="n">
        <v>25000</v>
      </c>
      <c r="E6" s="12" t="s">
        <v>849</v>
      </c>
      <c r="F6" s="40" t="n">
        <v>60000</v>
      </c>
      <c r="J6" s="1" t="s">
        <v>52</v>
      </c>
      <c r="K6" s="1" t="n">
        <v>6297.26</v>
      </c>
    </row>
    <row r="7" customFormat="false" ht="15" hidden="false" customHeight="true" outlineLevel="0" collapsed="false">
      <c r="B7" s="12" t="s">
        <v>850</v>
      </c>
      <c r="C7" s="40" t="n">
        <v>5000</v>
      </c>
      <c r="E7" s="12" t="s">
        <v>851</v>
      </c>
      <c r="F7" s="40" t="n">
        <v>40000</v>
      </c>
      <c r="J7" s="1" t="s">
        <v>81</v>
      </c>
      <c r="K7" s="1" t="n">
        <v>4500</v>
      </c>
    </row>
    <row r="8" customFormat="false" ht="15" hidden="false" customHeight="true" outlineLevel="0" collapsed="false">
      <c r="B8" s="12" t="s">
        <v>852</v>
      </c>
      <c r="C8" s="41" t="n">
        <v>12</v>
      </c>
      <c r="E8" s="12" t="s">
        <v>853</v>
      </c>
      <c r="F8" s="42" t="n">
        <v>0.3</v>
      </c>
      <c r="J8" s="1" t="s">
        <v>34</v>
      </c>
      <c r="K8" s="1" t="n">
        <v>8195.65</v>
      </c>
    </row>
    <row r="9" customFormat="false" ht="15" hidden="false" customHeight="true" outlineLevel="0" collapsed="false">
      <c r="B9" s="12" t="s">
        <v>854</v>
      </c>
      <c r="C9" s="43" t="n">
        <v>0.018</v>
      </c>
      <c r="E9" s="44" t="s">
        <v>855</v>
      </c>
      <c r="F9" s="45" t="s">
        <v>66</v>
      </c>
      <c r="J9" s="1" t="s">
        <v>38</v>
      </c>
      <c r="K9" s="1" t="n">
        <v>3333.3</v>
      </c>
    </row>
    <row r="10" customFormat="false" ht="15" hidden="false" customHeight="true" outlineLevel="0" collapsed="false">
      <c r="E10" s="44" t="s">
        <v>856</v>
      </c>
      <c r="F10" s="46" t="n">
        <f aca="false">IFERROR(VLOOKUP(F9,$J$2:$K$69,2,FALSE()),0)</f>
        <v>3732.86</v>
      </c>
      <c r="J10" s="1" t="s">
        <v>40</v>
      </c>
      <c r="K10" s="1" t="n">
        <v>1235.6</v>
      </c>
    </row>
    <row r="11" customFormat="false" ht="15" hidden="false" customHeight="true" outlineLevel="0" collapsed="false">
      <c r="B11" s="9" t="s">
        <v>857</v>
      </c>
      <c r="C11" s="9"/>
      <c r="D11" s="9"/>
      <c r="E11" s="9"/>
      <c r="F11" s="9"/>
      <c r="J11" s="1" t="s">
        <v>43</v>
      </c>
      <c r="K11" s="1" t="n">
        <v>1279.8</v>
      </c>
    </row>
    <row r="12" customFormat="false" ht="15" hidden="false" customHeight="true" outlineLevel="0" collapsed="false">
      <c r="B12" s="47" t="s">
        <v>858</v>
      </c>
      <c r="C12" s="47"/>
      <c r="D12" s="47"/>
      <c r="E12" s="47"/>
      <c r="F12" s="26" t="n">
        <f aca="false">C6-C7</f>
        <v>20000</v>
      </c>
      <c r="J12" s="1" t="s">
        <v>47</v>
      </c>
      <c r="K12" s="1" t="n">
        <v>750.63</v>
      </c>
    </row>
    <row r="13" customFormat="false" ht="15" hidden="false" customHeight="true" outlineLevel="0" collapsed="false">
      <c r="B13" s="47" t="s">
        <v>859</v>
      </c>
      <c r="C13" s="47"/>
      <c r="D13" s="47"/>
      <c r="E13" s="47"/>
      <c r="F13" s="26" t="n">
        <f aca="false">IF(C9=0,(C6-C7)/C8,(C6-C7)*(C9*(1+C9)^C8)/((1+C9)^C8-1))</f>
        <v>1868.03953737888</v>
      </c>
      <c r="J13" s="1" t="s">
        <v>66</v>
      </c>
      <c r="K13" s="1" t="n">
        <v>3732.86</v>
      </c>
    </row>
    <row r="14" customFormat="false" ht="15" hidden="false" customHeight="true" outlineLevel="0" collapsed="false">
      <c r="B14" s="47" t="s">
        <v>860</v>
      </c>
      <c r="C14" s="47"/>
      <c r="D14" s="47"/>
      <c r="E14" s="47"/>
      <c r="F14" s="26" t="n">
        <f aca="false">C7+F13*C8</f>
        <v>27416.4744485466</v>
      </c>
      <c r="J14" s="1" t="s">
        <v>60</v>
      </c>
      <c r="K14" s="1" t="n">
        <v>360.89</v>
      </c>
    </row>
    <row r="15" customFormat="false" ht="15" hidden="false" customHeight="true" outlineLevel="0" collapsed="false">
      <c r="B15" s="47" t="s">
        <v>861</v>
      </c>
      <c r="C15" s="47"/>
      <c r="D15" s="47"/>
      <c r="E15" s="47"/>
      <c r="F15" s="26" t="n">
        <f aca="false">F14-C6</f>
        <v>2416.47444854656</v>
      </c>
      <c r="J15" s="1" t="s">
        <v>89</v>
      </c>
      <c r="K15" s="1" t="n">
        <v>2032.31</v>
      </c>
    </row>
    <row r="16" customFormat="false" ht="15" hidden="false" customHeight="true" outlineLevel="0" collapsed="false">
      <c r="B16" s="47" t="s">
        <v>862</v>
      </c>
      <c r="C16" s="47"/>
      <c r="D16" s="47"/>
      <c r="E16" s="47"/>
      <c r="F16" s="26" t="n">
        <f aca="false">(F6-F7)*F8-F10</f>
        <v>2267.14</v>
      </c>
      <c r="J16" s="1" t="s">
        <v>93</v>
      </c>
      <c r="K16" s="1" t="n">
        <v>894.99</v>
      </c>
    </row>
    <row r="17" customFormat="false" ht="15" hidden="false" customHeight="true" outlineLevel="0" collapsed="false">
      <c r="J17" s="1" t="s">
        <v>33</v>
      </c>
      <c r="K17" s="1" t="n">
        <v>6210.86</v>
      </c>
    </row>
    <row r="18" customFormat="false" ht="39.75" hidden="false" customHeight="true" outlineLevel="0" collapsed="false">
      <c r="B18" s="48" t="str">
        <f aca="false"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R$ 399.10 por mês.</v>
      </c>
      <c r="C18" s="48"/>
      <c r="D18" s="48"/>
      <c r="E18" s="48"/>
      <c r="F18" s="48"/>
      <c r="J18" s="1" t="s">
        <v>24</v>
      </c>
      <c r="K18" s="1" t="n">
        <v>310272.17</v>
      </c>
    </row>
    <row r="19" customFormat="false" ht="15" hidden="false" customHeight="true" outlineLevel="0" collapsed="false">
      <c r="J19" s="1" t="s">
        <v>42</v>
      </c>
      <c r="K19" s="1" t="n">
        <v>3790.75</v>
      </c>
    </row>
    <row r="20" customFormat="false" ht="15" hidden="false" customHeight="true" outlineLevel="0" collapsed="false">
      <c r="J20" s="1" t="s">
        <v>53</v>
      </c>
      <c r="K20" s="1" t="n">
        <v>205.24</v>
      </c>
    </row>
    <row r="21" customFormat="false" ht="15" hidden="false" customHeight="true" outlineLevel="0" collapsed="false">
      <c r="J21" s="1" t="s">
        <v>73</v>
      </c>
      <c r="K21" s="1" t="n">
        <v>168</v>
      </c>
    </row>
    <row r="22" customFormat="false" ht="15" hidden="false" customHeight="true" outlineLevel="0" collapsed="false">
      <c r="J22" s="1" t="s">
        <v>75</v>
      </c>
      <c r="K22" s="1" t="n">
        <v>50.21</v>
      </c>
    </row>
    <row r="23" customFormat="false" ht="15" hidden="false" customHeight="true" outlineLevel="0" collapsed="false">
      <c r="J23" s="1" t="s">
        <v>37</v>
      </c>
      <c r="K23" s="1" t="n">
        <v>985.44</v>
      </c>
    </row>
    <row r="24" customFormat="false" ht="15" hidden="false" customHeight="true" outlineLevel="0" collapsed="false">
      <c r="J24" s="1" t="s">
        <v>58</v>
      </c>
      <c r="K24" s="1" t="n">
        <v>108045.41</v>
      </c>
    </row>
    <row r="25" customFormat="false" ht="15" hidden="false" customHeight="true" outlineLevel="0" collapsed="false">
      <c r="J25" s="1" t="s">
        <v>68</v>
      </c>
      <c r="K25" s="1" t="n">
        <v>175.57</v>
      </c>
    </row>
    <row r="26" customFormat="false" ht="15" hidden="false" customHeight="true" outlineLevel="0" collapsed="false">
      <c r="J26" s="1" t="s">
        <v>35</v>
      </c>
      <c r="K26" s="1" t="n">
        <v>5197.09</v>
      </c>
    </row>
    <row r="27" customFormat="false" ht="15" hidden="false" customHeight="true" outlineLevel="0" collapsed="false">
      <c r="J27" s="1" t="s">
        <v>48</v>
      </c>
      <c r="K27" s="1" t="n">
        <v>37.5</v>
      </c>
    </row>
    <row r="28" customFormat="false" ht="15" hidden="false" customHeight="true" outlineLevel="0" collapsed="false">
      <c r="J28" s="1" t="s">
        <v>30</v>
      </c>
      <c r="K28" s="1" t="n">
        <v>60521.74</v>
      </c>
    </row>
    <row r="29" customFormat="false" ht="15" hidden="false" customHeight="true" outlineLevel="0" collapsed="false">
      <c r="J29" s="1" t="s">
        <v>85</v>
      </c>
      <c r="K29" s="1" t="n">
        <v>3492.42</v>
      </c>
    </row>
    <row r="30" customFormat="false" ht="15" hidden="false" customHeight="true" outlineLevel="0" collapsed="false">
      <c r="J30" s="1" t="s">
        <v>61</v>
      </c>
      <c r="K30" s="1" t="n">
        <v>5133.93</v>
      </c>
    </row>
    <row r="31" customFormat="false" ht="15" hidden="false" customHeight="true" outlineLevel="0" collapsed="false">
      <c r="J31" s="1" t="s">
        <v>87</v>
      </c>
      <c r="K31" s="1" t="n">
        <v>5766.28</v>
      </c>
    </row>
    <row r="32" customFormat="false" ht="15" hidden="false" customHeight="true" outlineLevel="0" collapsed="false">
      <c r="J32" s="1" t="s">
        <v>94</v>
      </c>
      <c r="K32" s="1" t="n">
        <v>800</v>
      </c>
    </row>
    <row r="33" customFormat="false" ht="15" hidden="false" customHeight="true" outlineLevel="0" collapsed="false">
      <c r="J33" s="1" t="s">
        <v>76</v>
      </c>
      <c r="K33" s="1" t="n">
        <v>1100</v>
      </c>
    </row>
    <row r="34" customFormat="false" ht="15" hidden="false" customHeight="true" outlineLevel="0" collapsed="false">
      <c r="J34" s="1" t="s">
        <v>55</v>
      </c>
      <c r="K34" s="1" t="n">
        <v>2033.28</v>
      </c>
    </row>
    <row r="35" customFormat="false" ht="15" hidden="false" customHeight="true" outlineLevel="0" collapsed="false">
      <c r="J35" s="1" t="s">
        <v>70</v>
      </c>
      <c r="K35" s="1" t="n">
        <v>3982.2</v>
      </c>
    </row>
    <row r="36" customFormat="false" ht="15" hidden="false" customHeight="true" outlineLevel="0" collapsed="false">
      <c r="J36" s="1" t="s">
        <v>28</v>
      </c>
      <c r="K36" s="1" t="n">
        <v>22039.98</v>
      </c>
    </row>
    <row r="37" customFormat="false" ht="15" hidden="false" customHeight="true" outlineLevel="0" collapsed="false">
      <c r="J37" s="1" t="s">
        <v>90</v>
      </c>
      <c r="K37" s="1" t="n">
        <v>442.7</v>
      </c>
    </row>
    <row r="38" customFormat="false" ht="15" hidden="false" customHeight="true" outlineLevel="0" collapsed="false">
      <c r="J38" s="1" t="s">
        <v>92</v>
      </c>
      <c r="K38" s="1" t="n">
        <v>90</v>
      </c>
    </row>
    <row r="39" customFormat="false" ht="15" hidden="false" customHeight="true" outlineLevel="0" collapsed="false">
      <c r="J39" s="1" t="s">
        <v>44</v>
      </c>
      <c r="K39" s="1" t="n">
        <v>341</v>
      </c>
    </row>
    <row r="40" customFormat="false" ht="15" hidden="false" customHeight="true" outlineLevel="0" collapsed="false">
      <c r="J40" s="1" t="s">
        <v>46</v>
      </c>
      <c r="K40" s="1" t="n">
        <v>345.45</v>
      </c>
    </row>
    <row r="41" customFormat="false" ht="15" hidden="false" customHeight="true" outlineLevel="0" collapsed="false">
      <c r="J41" s="1" t="s">
        <v>57</v>
      </c>
      <c r="K41" s="1" t="n">
        <v>168.07</v>
      </c>
    </row>
    <row r="42" customFormat="false" ht="15" hidden="false" customHeight="true" outlineLevel="0" collapsed="false">
      <c r="J42" s="1" t="s">
        <v>74</v>
      </c>
      <c r="K42" s="1" t="n">
        <v>351.37</v>
      </c>
    </row>
    <row r="43" customFormat="false" ht="15" hidden="false" customHeight="true" outlineLevel="0" collapsed="false">
      <c r="J43" s="1" t="s">
        <v>67</v>
      </c>
      <c r="K43" s="1" t="n">
        <v>176.35</v>
      </c>
    </row>
    <row r="44" customFormat="false" ht="15" hidden="false" customHeight="true" outlineLevel="0" collapsed="false">
      <c r="J44" s="1" t="s">
        <v>83</v>
      </c>
      <c r="K44" s="1" t="n">
        <v>677.09</v>
      </c>
    </row>
    <row r="45" customFormat="false" ht="15" hidden="false" customHeight="true" outlineLevel="0" collapsed="false">
      <c r="J45" s="1" t="s">
        <v>80</v>
      </c>
      <c r="K45" s="1" t="n">
        <v>2456.97</v>
      </c>
    </row>
    <row r="46" customFormat="false" ht="15" hidden="false" customHeight="true" outlineLevel="0" collapsed="false">
      <c r="J46" s="1" t="s">
        <v>97</v>
      </c>
      <c r="K46" s="1" t="n">
        <v>293.75</v>
      </c>
    </row>
    <row r="47" customFormat="false" ht="15" hidden="false" customHeight="true" outlineLevel="0" collapsed="false">
      <c r="J47" s="1" t="s">
        <v>32</v>
      </c>
      <c r="K47" s="1" t="n">
        <v>1011.31</v>
      </c>
    </row>
    <row r="48" customFormat="false" ht="15" hidden="false" customHeight="true" outlineLevel="0" collapsed="false">
      <c r="J48" s="1" t="s">
        <v>82</v>
      </c>
      <c r="K48" s="1" t="n">
        <v>1183.59</v>
      </c>
    </row>
    <row r="49" customFormat="false" ht="15" hidden="false" customHeight="true" outlineLevel="0" collapsed="false">
      <c r="J49" s="1" t="s">
        <v>56</v>
      </c>
      <c r="K49" s="1" t="n">
        <v>691.11</v>
      </c>
    </row>
    <row r="50" customFormat="false" ht="15" hidden="false" customHeight="true" outlineLevel="0" collapsed="false">
      <c r="J50" s="1" t="s">
        <v>72</v>
      </c>
      <c r="K50" s="1" t="n">
        <v>664.62</v>
      </c>
    </row>
    <row r="51" customFormat="false" ht="15" hidden="false" customHeight="true" outlineLevel="0" collapsed="false">
      <c r="J51" s="1" t="s">
        <v>88</v>
      </c>
      <c r="K51" s="1" t="n">
        <v>13706.25</v>
      </c>
    </row>
    <row r="52" customFormat="false" ht="15" hidden="false" customHeight="true" outlineLevel="0" collapsed="false">
      <c r="J52" s="1" t="s">
        <v>50</v>
      </c>
      <c r="K52" s="1" t="n">
        <v>3666.91</v>
      </c>
    </row>
    <row r="53" customFormat="false" ht="15" hidden="false" customHeight="true" outlineLevel="0" collapsed="false">
      <c r="J53" s="1" t="s">
        <v>86</v>
      </c>
      <c r="K53" s="1" t="n">
        <v>50000</v>
      </c>
    </row>
    <row r="54" customFormat="false" ht="15" hidden="false" customHeight="true" outlineLevel="0" collapsed="false">
      <c r="J54" s="1" t="s">
        <v>51</v>
      </c>
      <c r="K54" s="1" t="n">
        <v>27996.15</v>
      </c>
    </row>
    <row r="55" customFormat="false" ht="15" hidden="false" customHeight="true" outlineLevel="0" collapsed="false">
      <c r="J55" s="1" t="s">
        <v>62</v>
      </c>
      <c r="K55" s="1" t="n">
        <v>373.59</v>
      </c>
    </row>
    <row r="56" customFormat="false" ht="15" hidden="false" customHeight="true" outlineLevel="0" collapsed="false">
      <c r="J56" s="1" t="s">
        <v>64</v>
      </c>
      <c r="K56" s="1" t="n">
        <v>398.66</v>
      </c>
    </row>
    <row r="57" customFormat="false" ht="15" hidden="false" customHeight="true" outlineLevel="0" collapsed="false">
      <c r="J57" s="1" t="s">
        <v>96</v>
      </c>
      <c r="K57" s="1" t="n">
        <v>98135.45</v>
      </c>
    </row>
    <row r="58" customFormat="false" ht="15" hidden="false" customHeight="true" outlineLevel="0" collapsed="false">
      <c r="J58" s="1" t="s">
        <v>77</v>
      </c>
      <c r="K58" s="1" t="n">
        <v>2433.39</v>
      </c>
    </row>
    <row r="59" customFormat="false" ht="15" hidden="false" customHeight="true" outlineLevel="0" collapsed="false">
      <c r="J59" s="1" t="s">
        <v>26</v>
      </c>
      <c r="K59" s="1" t="n">
        <v>55264.27</v>
      </c>
    </row>
    <row r="60" customFormat="false" ht="15" hidden="false" customHeight="true" outlineLevel="0" collapsed="false">
      <c r="J60" s="1" t="s">
        <v>65</v>
      </c>
      <c r="K60" s="1" t="n">
        <v>135.03</v>
      </c>
    </row>
    <row r="61" customFormat="false" ht="15" hidden="false" customHeight="true" outlineLevel="0" collapsed="false">
      <c r="J61" s="1" t="s">
        <v>78</v>
      </c>
      <c r="K61" s="1" t="n">
        <v>364</v>
      </c>
    </row>
    <row r="62" customFormat="false" ht="15" hidden="false" customHeight="true" outlineLevel="0" collapsed="false">
      <c r="J62" s="1" t="s">
        <v>29</v>
      </c>
      <c r="K62" s="1" t="n">
        <v>5727</v>
      </c>
    </row>
    <row r="63" customFormat="false" ht="15" hidden="false" customHeight="true" outlineLevel="0" collapsed="false">
      <c r="J63" s="1" t="s">
        <v>95</v>
      </c>
      <c r="K63" s="1" t="n">
        <v>1604.6</v>
      </c>
    </row>
    <row r="64" customFormat="false" ht="15" hidden="false" customHeight="true" outlineLevel="0" collapsed="false">
      <c r="J64" s="1" t="s">
        <v>91</v>
      </c>
      <c r="K64" s="1" t="n">
        <v>2448</v>
      </c>
    </row>
    <row r="65" customFormat="false" ht="15" hidden="false" customHeight="true" outlineLevel="0" collapsed="false">
      <c r="J65" s="1" t="s">
        <v>49</v>
      </c>
      <c r="K65" s="1" t="n">
        <v>2481.82</v>
      </c>
    </row>
    <row r="66" customFormat="false" ht="15" hidden="false" customHeight="true" outlineLevel="0" collapsed="false">
      <c r="J66" s="1" t="s">
        <v>59</v>
      </c>
      <c r="K66" s="1" t="n">
        <v>3451.34</v>
      </c>
    </row>
    <row r="67" customFormat="false" ht="15" hidden="false" customHeight="true" outlineLevel="0" collapsed="false">
      <c r="J67" s="1" t="s">
        <v>79</v>
      </c>
      <c r="K67" s="1" t="n">
        <v>618.73</v>
      </c>
    </row>
    <row r="68" customFormat="false" ht="15" hidden="false" customHeight="true" outlineLevel="0" collapsed="false">
      <c r="J68" s="1" t="s">
        <v>54</v>
      </c>
      <c r="K68" s="1" t="n">
        <v>940.13</v>
      </c>
    </row>
    <row r="69" customFormat="false" ht="15" hidden="false" customHeight="true" outlineLevel="0" collapsed="false">
      <c r="J69" s="1" t="s">
        <v>69</v>
      </c>
      <c r="K69" s="1" t="n">
        <v>303.41</v>
      </c>
    </row>
  </sheetData>
  <mergeCells count="11">
    <mergeCell ref="B2:F2"/>
    <mergeCell ref="B3:F3"/>
    <mergeCell ref="B5:C5"/>
    <mergeCell ref="E5:F5"/>
    <mergeCell ref="B11:F11"/>
    <mergeCell ref="B12:E12"/>
    <mergeCell ref="B13:E13"/>
    <mergeCell ref="B14:E14"/>
    <mergeCell ref="B15:E15"/>
    <mergeCell ref="B16:E16"/>
    <mergeCell ref="B18:F18"/>
  </mergeCells>
  <dataValidations count="1">
    <dataValidation allowBlank="true" errorStyle="stop" operator="between" showDropDown="false" showErrorMessage="false" showInputMessage="false" sqref="F9" type="list">
      <formula1>$J$2:$J$69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6" min="3" style="1" width="14"/>
    <col collapsed="false" customWidth="true" hidden="false" outlineLevel="0" max="8" min="7" style="1" width="16"/>
  </cols>
  <sheetData>
    <row r="2" customFormat="false" ht="19.5" hidden="false" customHeight="true" outlineLevel="0" collapsed="false">
      <c r="B2" s="8" t="s">
        <v>863</v>
      </c>
      <c r="C2" s="8"/>
      <c r="D2" s="8"/>
      <c r="E2" s="8"/>
      <c r="F2" s="8"/>
      <c r="G2" s="8"/>
      <c r="H2" s="8"/>
    </row>
    <row r="3" customFormat="false" ht="15" hidden="false" customHeight="true" outlineLevel="0" collapsed="false">
      <c r="B3" s="14" t="s">
        <v>864</v>
      </c>
      <c r="C3" s="14"/>
      <c r="D3" s="14"/>
      <c r="E3" s="14"/>
      <c r="F3" s="14"/>
      <c r="G3" s="14"/>
      <c r="H3" s="14"/>
    </row>
    <row r="5" customFormat="false" ht="26.25" hidden="false" customHeight="true" outlineLevel="0" collapsed="false">
      <c r="B5" s="9" t="s">
        <v>865</v>
      </c>
      <c r="C5" s="9" t="s">
        <v>866</v>
      </c>
      <c r="D5" s="9" t="s">
        <v>867</v>
      </c>
      <c r="E5" s="9" t="s">
        <v>868</v>
      </c>
      <c r="F5" s="9" t="s">
        <v>869</v>
      </c>
      <c r="G5" s="9" t="s">
        <v>870</v>
      </c>
      <c r="H5" s="9" t="s">
        <v>871</v>
      </c>
    </row>
    <row r="6" customFormat="false" ht="15" hidden="false" customHeight="true" outlineLevel="0" collapsed="false">
      <c r="B6" s="16" t="s">
        <v>872</v>
      </c>
      <c r="C6" s="17" t="n">
        <v>500</v>
      </c>
      <c r="D6" s="17" t="n">
        <v>480</v>
      </c>
      <c r="E6" s="17" t="n">
        <v>8</v>
      </c>
      <c r="F6" s="49" t="n">
        <f aca="false">IF(C6=0,"",D6/C6)</f>
        <v>0.96</v>
      </c>
      <c r="G6" s="40" t="n">
        <v>12.5</v>
      </c>
      <c r="H6" s="50" t="str">
        <f aca="false">IF(C6="","",IF(D6&gt;=C6,"Meta atingida",IF(D6&gt;=C6*0.8,"Quase lá","Abaixo da meta")))</f>
        <v>Quase lá</v>
      </c>
    </row>
    <row r="7" customFormat="false" ht="15" hidden="false" customHeight="true" outlineLevel="0" collapsed="false">
      <c r="B7" s="16" t="s">
        <v>873</v>
      </c>
      <c r="C7" s="17" t="n">
        <v>300</v>
      </c>
      <c r="D7" s="17" t="n">
        <v>300</v>
      </c>
      <c r="E7" s="17" t="n">
        <v>2</v>
      </c>
      <c r="F7" s="49" t="n">
        <f aca="false">IF(C7=0,"",D7/C7)</f>
        <v>1</v>
      </c>
      <c r="G7" s="40" t="n">
        <v>22</v>
      </c>
      <c r="H7" s="50" t="str">
        <f aca="false">IF(C7="","",IF(D7&gt;=C7,"Meta atingida",IF(D7&gt;=C7*0.8,"Quase lá","Abaixo da meta")))</f>
        <v>Meta atingida</v>
      </c>
    </row>
    <row r="8" customFormat="false" ht="15" hidden="false" customHeight="true" outlineLevel="0" collapsed="false">
      <c r="B8" s="16" t="s">
        <v>874</v>
      </c>
      <c r="C8" s="17" t="n">
        <v>200</v>
      </c>
      <c r="D8" s="17" t="n">
        <v>140</v>
      </c>
      <c r="E8" s="17" t="n">
        <v>5</v>
      </c>
      <c r="F8" s="49" t="n">
        <f aca="false">IF(C8=0,"",D8/C8)</f>
        <v>0.7</v>
      </c>
      <c r="G8" s="40" t="n">
        <v>18.75</v>
      </c>
      <c r="H8" s="50" t="str">
        <f aca="false">IF(C8="","",IF(D8&gt;=C8,"Meta atingida",IF(D8&gt;=C8*0.8,"Quase lá","Abaixo da meta")))</f>
        <v>Abaixo da meta</v>
      </c>
    </row>
    <row r="9" customFormat="false" ht="15" hidden="false" customHeight="true" outlineLevel="0" collapsed="false">
      <c r="B9" s="16" t="s">
        <v>875</v>
      </c>
      <c r="C9" s="17" t="n">
        <v>600</v>
      </c>
      <c r="D9" s="17" t="n">
        <v>520</v>
      </c>
      <c r="E9" s="17" t="n">
        <v>10</v>
      </c>
      <c r="F9" s="49" t="n">
        <f aca="false">IF(C9=0,"",D9/C9)</f>
        <v>0.866666666666667</v>
      </c>
      <c r="G9" s="40" t="n">
        <v>8.3</v>
      </c>
      <c r="H9" s="50" t="str">
        <f aca="false">IF(C9="","",IF(D9&gt;=C9,"Meta atingida",IF(D9&gt;=C9*0.8,"Quase lá","Abaixo da meta")))</f>
        <v>Quase lá</v>
      </c>
    </row>
    <row r="10" customFormat="false" ht="15" hidden="false" customHeight="true" outlineLevel="0" collapsed="false">
      <c r="B10" s="16"/>
      <c r="C10" s="17"/>
      <c r="D10" s="17"/>
      <c r="E10" s="17"/>
      <c r="F10" s="49" t="str">
        <f aca="false">IF(C10=0,"",D10/C10)</f>
        <v/>
      </c>
      <c r="G10" s="40"/>
      <c r="H10" s="50" t="str">
        <f aca="false">IF(C10="","",IF(D10&gt;=C10,"Meta atingida",IF(D10&gt;=C10*0.8,"Quase lá","Abaixo da meta")))</f>
        <v/>
      </c>
    </row>
    <row r="11" customFormat="false" ht="15" hidden="false" customHeight="true" outlineLevel="0" collapsed="false">
      <c r="B11" s="16"/>
      <c r="C11" s="17"/>
      <c r="D11" s="17"/>
      <c r="E11" s="17"/>
      <c r="F11" s="49" t="str">
        <f aca="false">IF(C11=0,"",D11/C11)</f>
        <v/>
      </c>
      <c r="G11" s="40"/>
      <c r="H11" s="50" t="str">
        <f aca="false">IF(C11="","",IF(D11&gt;=C11,"Meta atingida",IF(D11&gt;=C11*0.8,"Quase lá","Abaixo da meta")))</f>
        <v/>
      </c>
    </row>
    <row r="12" customFormat="false" ht="15" hidden="false" customHeight="true" outlineLevel="0" collapsed="false">
      <c r="B12" s="16"/>
      <c r="C12" s="17"/>
      <c r="D12" s="17"/>
      <c r="E12" s="17"/>
      <c r="F12" s="49" t="str">
        <f aca="false">IF(C12=0,"",D12/C12)</f>
        <v/>
      </c>
      <c r="G12" s="40"/>
      <c r="H12" s="50" t="str">
        <f aca="false">IF(C12="","",IF(D12&gt;=C12,"Meta atingida",IF(D12&gt;=C12*0.8,"Quase lá","Abaixo da meta")))</f>
        <v/>
      </c>
    </row>
    <row r="13" customFormat="false" ht="15" hidden="false" customHeight="true" outlineLevel="0" collapsed="false">
      <c r="B13" s="16"/>
      <c r="C13" s="17"/>
      <c r="D13" s="17"/>
      <c r="E13" s="17"/>
      <c r="F13" s="49" t="str">
        <f aca="false">IF(C13=0,"",D13/C13)</f>
        <v/>
      </c>
      <c r="G13" s="40"/>
      <c r="H13" s="50" t="str">
        <f aca="false">IF(C13="","",IF(D13&gt;=C13,"Meta atingida",IF(D13&gt;=C13*0.8,"Quase lá","Abaixo da meta")))</f>
        <v/>
      </c>
    </row>
    <row r="14" customFormat="false" ht="15" hidden="false" customHeight="true" outlineLevel="0" collapsed="false">
      <c r="B14" s="16"/>
      <c r="C14" s="17"/>
      <c r="D14" s="17"/>
      <c r="E14" s="17"/>
      <c r="F14" s="49" t="str">
        <f aca="false">IF(C14=0,"",D14/C14)</f>
        <v/>
      </c>
      <c r="G14" s="40"/>
      <c r="H14" s="50" t="str">
        <f aca="false">IF(C14="","",IF(D14&gt;=C14,"Meta atingida",IF(D14&gt;=C14*0.8,"Quase lá","Abaixo da meta")))</f>
        <v/>
      </c>
    </row>
    <row r="15" customFormat="false" ht="15" hidden="false" customHeight="true" outlineLevel="0" collapsed="false">
      <c r="B15" s="16"/>
      <c r="C15" s="17"/>
      <c r="D15" s="17"/>
      <c r="E15" s="17"/>
      <c r="F15" s="49" t="str">
        <f aca="false">IF(C15=0,"",D15/C15)</f>
        <v/>
      </c>
      <c r="G15" s="40"/>
      <c r="H15" s="50" t="str">
        <f aca="false">IF(C15="","",IF(D15&gt;=C15,"Meta atingida",IF(D15&gt;=C15*0.8,"Quase lá","Abaixo da meta")))</f>
        <v/>
      </c>
    </row>
    <row r="16" customFormat="false" ht="15" hidden="false" customHeight="true" outlineLevel="0" collapsed="false">
      <c r="B16" s="16"/>
      <c r="C16" s="17"/>
      <c r="D16" s="17"/>
      <c r="E16" s="17"/>
      <c r="F16" s="49" t="str">
        <f aca="false">IF(C16=0,"",D16/C16)</f>
        <v/>
      </c>
      <c r="G16" s="40"/>
      <c r="H16" s="50" t="str">
        <f aca="false">IF(C16="","",IF(D16&gt;=C16,"Meta atingida",IF(D16&gt;=C16*0.8,"Quase lá","Abaixo da meta")))</f>
        <v/>
      </c>
    </row>
    <row r="17" customFormat="false" ht="15" hidden="false" customHeight="true" outlineLevel="0" collapsed="false">
      <c r="B17" s="16"/>
      <c r="C17" s="17"/>
      <c r="D17" s="17"/>
      <c r="E17" s="17"/>
      <c r="F17" s="49" t="str">
        <f aca="false">IF(C17=0,"",D17/C17)</f>
        <v/>
      </c>
      <c r="G17" s="40"/>
      <c r="H17" s="50" t="str">
        <f aca="false">IF(C17="","",IF(D17&gt;=C17,"Meta atingida",IF(D17&gt;=C17*0.8,"Quase lá","Abaixo da meta")))</f>
        <v/>
      </c>
    </row>
    <row r="18" customFormat="false" ht="15" hidden="false" customHeight="true" outlineLevel="0" collapsed="false">
      <c r="B18" s="16"/>
      <c r="C18" s="17"/>
      <c r="D18" s="17"/>
      <c r="E18" s="17"/>
      <c r="F18" s="49" t="str">
        <f aca="false">IF(C18=0,"",D18/C18)</f>
        <v/>
      </c>
      <c r="G18" s="40"/>
      <c r="H18" s="50" t="str">
        <f aca="false">IF(C18="","",IF(D18&gt;=C18,"Meta atingida",IF(D18&gt;=C18*0.8,"Quase lá","Abaixo da meta")))</f>
        <v/>
      </c>
    </row>
    <row r="19" customFormat="false" ht="15" hidden="false" customHeight="true" outlineLevel="0" collapsed="false">
      <c r="B19" s="16"/>
      <c r="C19" s="17"/>
      <c r="D19" s="17"/>
      <c r="E19" s="17"/>
      <c r="F19" s="49" t="str">
        <f aca="false">IF(C19=0,"",D19/C19)</f>
        <v/>
      </c>
      <c r="G19" s="40"/>
      <c r="H19" s="50" t="str">
        <f aca="false">IF(C19="","",IF(D19&gt;=C19,"Meta atingida",IF(D19&gt;=C19*0.8,"Quase lá","Abaixo da meta")))</f>
        <v/>
      </c>
    </row>
    <row r="20" customFormat="false" ht="15" hidden="false" customHeight="true" outlineLevel="0" collapsed="false">
      <c r="B20" s="16"/>
      <c r="C20" s="17"/>
      <c r="D20" s="17"/>
      <c r="E20" s="17"/>
      <c r="F20" s="49" t="str">
        <f aca="false">IF(C20=0,"",D20/C20)</f>
        <v/>
      </c>
      <c r="G20" s="40"/>
      <c r="H20" s="50" t="str">
        <f aca="false">IF(C20="","",IF(D20&gt;=C20,"Meta atingida",IF(D20&gt;=C20*0.8,"Quase lá","Abaixo da meta")))</f>
        <v/>
      </c>
    </row>
    <row r="21" customFormat="false" ht="15" hidden="false" customHeight="true" outlineLevel="0" collapsed="false">
      <c r="B21" s="16"/>
      <c r="C21" s="17"/>
      <c r="D21" s="17"/>
      <c r="E21" s="17"/>
      <c r="F21" s="49" t="str">
        <f aca="false">IF(C21=0,"",D21/C21)</f>
        <v/>
      </c>
      <c r="G21" s="40"/>
      <c r="H21" s="50" t="str">
        <f aca="false">IF(C21="","",IF(D21&gt;=C21,"Meta atingida",IF(D21&gt;=C21*0.8,"Quase lá","Abaixo da meta")))</f>
        <v/>
      </c>
    </row>
    <row r="22" customFormat="false" ht="15" hidden="false" customHeight="true" outlineLevel="0" collapsed="false">
      <c r="B22" s="16"/>
      <c r="C22" s="17"/>
      <c r="D22" s="17"/>
      <c r="E22" s="17"/>
      <c r="F22" s="49" t="str">
        <f aca="false">IF(C22=0,"",D22/C22)</f>
        <v/>
      </c>
      <c r="G22" s="40"/>
      <c r="H22" s="50" t="str">
        <f aca="false">IF(C22="","",IF(D22&gt;=C22,"Meta atingida",IF(D22&gt;=C22*0.8,"Quase lá","Abaixo da meta")))</f>
        <v/>
      </c>
    </row>
    <row r="23" customFormat="false" ht="15" hidden="false" customHeight="true" outlineLevel="0" collapsed="false">
      <c r="B23" s="16"/>
      <c r="C23" s="17"/>
      <c r="D23" s="17"/>
      <c r="E23" s="17"/>
      <c r="F23" s="49" t="str">
        <f aca="false">IF(C23=0,"",D23/C23)</f>
        <v/>
      </c>
      <c r="G23" s="40"/>
      <c r="H23" s="50" t="str">
        <f aca="false">IF(C23="","",IF(D23&gt;=C23,"Meta atingida",IF(D23&gt;=C23*0.8,"Quase lá","Abaixo da meta")))</f>
        <v/>
      </c>
    </row>
    <row r="24" customFormat="false" ht="15" hidden="false" customHeight="true" outlineLevel="0" collapsed="false">
      <c r="B24" s="16"/>
      <c r="C24" s="17"/>
      <c r="D24" s="17"/>
      <c r="E24" s="17"/>
      <c r="F24" s="49" t="str">
        <f aca="false">IF(C24=0,"",D24/C24)</f>
        <v/>
      </c>
      <c r="G24" s="40"/>
      <c r="H24" s="50" t="str">
        <f aca="false">IF(C24="","",IF(D24&gt;=C24,"Meta atingida",IF(D24&gt;=C24*0.8,"Quase lá","Abaixo da meta")))</f>
        <v/>
      </c>
    </row>
    <row r="25" customFormat="false" ht="15" hidden="false" customHeight="true" outlineLevel="0" collapsed="false">
      <c r="B25" s="16"/>
      <c r="C25" s="17"/>
      <c r="D25" s="17"/>
      <c r="E25" s="17"/>
      <c r="F25" s="49" t="str">
        <f aca="false">IF(C25=0,"",D25/C25)</f>
        <v/>
      </c>
      <c r="G25" s="40"/>
      <c r="H25" s="50" t="str">
        <f aca="false">IF(C25="","",IF(D25&gt;=C25,"Meta atingida",IF(D25&gt;=C25*0.8,"Quase lá","Abaixo da meta")))</f>
        <v/>
      </c>
    </row>
    <row r="26" customFormat="false" ht="15" hidden="false" customHeight="true" outlineLevel="0" collapsed="false">
      <c r="B26" s="16"/>
      <c r="C26" s="17"/>
      <c r="D26" s="17"/>
      <c r="E26" s="17"/>
      <c r="F26" s="49" t="str">
        <f aca="false">IF(C26=0,"",D26/C26)</f>
        <v/>
      </c>
      <c r="G26" s="40"/>
      <c r="H26" s="50" t="str">
        <f aca="false">IF(C26="","",IF(D26&gt;=C26,"Meta atingida",IF(D26&gt;=C26*0.8,"Quase lá","Abaixo da meta")))</f>
        <v/>
      </c>
    </row>
    <row r="27" customFormat="false" ht="15" hidden="false" customHeight="true" outlineLevel="0" collapsed="false">
      <c r="B27" s="16"/>
      <c r="C27" s="17"/>
      <c r="D27" s="17"/>
      <c r="E27" s="17"/>
      <c r="F27" s="49" t="str">
        <f aca="false">IF(C27=0,"",D27/C27)</f>
        <v/>
      </c>
      <c r="G27" s="40"/>
      <c r="H27" s="50" t="str">
        <f aca="false">IF(C27="","",IF(D27&gt;=C27,"Meta atingida",IF(D27&gt;=C27*0.8,"Quase lá","Abaixo da meta")))</f>
        <v/>
      </c>
    </row>
    <row r="28" customFormat="false" ht="15" hidden="false" customHeight="true" outlineLevel="0" collapsed="false">
      <c r="B28" s="16"/>
      <c r="C28" s="17"/>
      <c r="D28" s="17"/>
      <c r="E28" s="17"/>
      <c r="F28" s="49" t="str">
        <f aca="false">IF(C28=0,"",D28/C28)</f>
        <v/>
      </c>
      <c r="G28" s="40"/>
      <c r="H28" s="50" t="str">
        <f aca="false">IF(C28="","",IF(D28&gt;=C28,"Meta atingida",IF(D28&gt;=C28*0.8,"Quase lá","Abaixo da meta")))</f>
        <v/>
      </c>
    </row>
    <row r="29" customFormat="false" ht="15" hidden="false" customHeight="true" outlineLevel="0" collapsed="false">
      <c r="B29" s="16"/>
      <c r="C29" s="17"/>
      <c r="D29" s="17"/>
      <c r="E29" s="17"/>
      <c r="F29" s="49" t="str">
        <f aca="false">IF(C29=0,"",D29/C29)</f>
        <v/>
      </c>
      <c r="G29" s="40"/>
      <c r="H29" s="50" t="str">
        <f aca="false">IF(C29="","",IF(D29&gt;=C29,"Meta atingida",IF(D29&gt;=C29*0.8,"Quase lá","Abaixo da meta")))</f>
        <v/>
      </c>
    </row>
    <row r="30" customFormat="false" ht="15" hidden="false" customHeight="true" outlineLevel="0" collapsed="false">
      <c r="B30" s="16"/>
      <c r="C30" s="17"/>
      <c r="D30" s="17"/>
      <c r="E30" s="17"/>
      <c r="F30" s="49" t="str">
        <f aca="false">IF(C30=0,"",D30/C30)</f>
        <v/>
      </c>
      <c r="G30" s="40"/>
      <c r="H30" s="50" t="str">
        <f aca="false">IF(C30="","",IF(D30&gt;=C30,"Meta atingida",IF(D30&gt;=C30*0.8,"Quase lá","Abaixo da meta")))</f>
        <v/>
      </c>
    </row>
    <row r="31" customFormat="false" ht="15" hidden="false" customHeight="true" outlineLevel="0" collapsed="false">
      <c r="B31" s="16"/>
      <c r="C31" s="17"/>
      <c r="D31" s="17"/>
      <c r="E31" s="17"/>
      <c r="F31" s="49" t="str">
        <f aca="false">IF(C31=0,"",D31/C31)</f>
        <v/>
      </c>
      <c r="G31" s="40"/>
      <c r="H31" s="50" t="str">
        <f aca="false">IF(C31="","",IF(D31&gt;=C31,"Meta atingida",IF(D31&gt;=C31*0.8,"Quase lá","Abaixo da meta")))</f>
        <v/>
      </c>
    </row>
    <row r="32" customFormat="false" ht="15" hidden="false" customHeight="true" outlineLevel="0" collapsed="false">
      <c r="B32" s="16"/>
      <c r="C32" s="17"/>
      <c r="D32" s="17"/>
      <c r="E32" s="17"/>
      <c r="F32" s="49" t="str">
        <f aca="false">IF(C32=0,"",D32/C32)</f>
        <v/>
      </c>
      <c r="G32" s="40"/>
      <c r="H32" s="50" t="str">
        <f aca="false">IF(C32="","",IF(D32&gt;=C32,"Meta atingida",IF(D32&gt;=C32*0.8,"Quase lá","Abaixo da meta")))</f>
        <v/>
      </c>
    </row>
    <row r="33" customFormat="false" ht="15" hidden="false" customHeight="true" outlineLevel="0" collapsed="false">
      <c r="B33" s="16"/>
      <c r="C33" s="17"/>
      <c r="D33" s="17"/>
      <c r="E33" s="17"/>
      <c r="F33" s="49" t="str">
        <f aca="false">IF(C33=0,"",D33/C33)</f>
        <v/>
      </c>
      <c r="G33" s="40"/>
      <c r="H33" s="50" t="str">
        <f aca="false">IF(C33="","",IF(D33&gt;=C33,"Meta atingida",IF(D33&gt;=C33*0.8,"Quase lá","Abaixo da meta")))</f>
        <v/>
      </c>
    </row>
    <row r="34" customFormat="false" ht="15" hidden="false" customHeight="true" outlineLevel="0" collapsed="false">
      <c r="B34" s="16"/>
      <c r="C34" s="17"/>
      <c r="D34" s="17"/>
      <c r="E34" s="17"/>
      <c r="F34" s="49" t="str">
        <f aca="false">IF(C34=0,"",D34/C34)</f>
        <v/>
      </c>
      <c r="G34" s="40"/>
      <c r="H34" s="50" t="str">
        <f aca="false">IF(C34="","",IF(D34&gt;=C34,"Meta atingida",IF(D34&gt;=C34*0.8,"Quase lá","Abaixo da meta")))</f>
        <v/>
      </c>
    </row>
    <row r="35" customFormat="false" ht="15" hidden="false" customHeight="true" outlineLevel="0" collapsed="false">
      <c r="B35" s="16"/>
      <c r="C35" s="17"/>
      <c r="D35" s="17"/>
      <c r="E35" s="17"/>
      <c r="F35" s="49" t="str">
        <f aca="false">IF(C35=0,"",D35/C35)</f>
        <v/>
      </c>
      <c r="G35" s="40"/>
      <c r="H35" s="50" t="str">
        <f aca="false">IF(C35="","",IF(D35&gt;=C35,"Meta atingida",IF(D35&gt;=C35*0.8,"Quase lá","Abaixo da meta")))</f>
        <v/>
      </c>
    </row>
    <row r="36" customFormat="false" ht="15" hidden="false" customHeight="true" outlineLevel="0" collapsed="false">
      <c r="B36" s="16"/>
      <c r="C36" s="17"/>
      <c r="D36" s="17"/>
      <c r="E36" s="17"/>
      <c r="F36" s="49" t="str">
        <f aca="false">IF(C36=0,"",D36/C36)</f>
        <v/>
      </c>
      <c r="G36" s="40"/>
      <c r="H36" s="50" t="str">
        <f aca="false">IF(C36="","",IF(D36&gt;=C36,"Meta atingida",IF(D36&gt;=C36*0.8,"Quase lá","Abaixo da meta")))</f>
        <v/>
      </c>
    </row>
    <row r="37" customFormat="false" ht="15" hidden="false" customHeight="true" outlineLevel="0" collapsed="false">
      <c r="B37" s="16"/>
      <c r="C37" s="17"/>
      <c r="D37" s="17"/>
      <c r="E37" s="17"/>
      <c r="F37" s="49" t="str">
        <f aca="false">IF(C37=0,"",D37/C37)</f>
        <v/>
      </c>
      <c r="G37" s="40"/>
      <c r="H37" s="50" t="str">
        <f aca="false">IF(C37="","",IF(D37&gt;=C37,"Meta atingida",IF(D37&gt;=C37*0.8,"Quase lá","Abaixo da meta")))</f>
        <v/>
      </c>
    </row>
    <row r="38" customFormat="false" ht="15" hidden="false" customHeight="true" outlineLevel="0" collapsed="false">
      <c r="B38" s="16"/>
      <c r="C38" s="17"/>
      <c r="D38" s="17"/>
      <c r="E38" s="17"/>
      <c r="F38" s="49" t="str">
        <f aca="false">IF(C38=0,"",D38/C38)</f>
        <v/>
      </c>
      <c r="G38" s="40"/>
      <c r="H38" s="50" t="str">
        <f aca="false">IF(C38="","",IF(D38&gt;=C38,"Meta atingida",IF(D38&gt;=C38*0.8,"Quase lá","Abaixo da meta")))</f>
        <v/>
      </c>
    </row>
    <row r="39" customFormat="false" ht="15" hidden="false" customHeight="true" outlineLevel="0" collapsed="false">
      <c r="B39" s="16"/>
      <c r="C39" s="17"/>
      <c r="D39" s="17"/>
      <c r="E39" s="17"/>
      <c r="F39" s="49" t="str">
        <f aca="false">IF(C39=0,"",D39/C39)</f>
        <v/>
      </c>
      <c r="G39" s="40"/>
      <c r="H39" s="50" t="str">
        <f aca="false">IF(C39="","",IF(D39&gt;=C39,"Meta atingida",IF(D39&gt;=C39*0.8,"Quase lá","Abaixo da meta")))</f>
        <v/>
      </c>
    </row>
    <row r="40" customFormat="false" ht="15" hidden="false" customHeight="true" outlineLevel="0" collapsed="false">
      <c r="B40" s="16"/>
      <c r="C40" s="17"/>
      <c r="D40" s="17"/>
      <c r="E40" s="17"/>
      <c r="F40" s="49" t="str">
        <f aca="false">IF(C40=0,"",D40/C40)</f>
        <v/>
      </c>
      <c r="G40" s="40"/>
      <c r="H40" s="50" t="str">
        <f aca="false">IF(C40="","",IF(D40&gt;=C40,"Meta atingida",IF(D40&gt;=C40*0.8,"Quase lá","Abaixo da meta")))</f>
        <v/>
      </c>
    </row>
    <row r="41" customFormat="false" ht="15" hidden="false" customHeight="true" outlineLevel="0" collapsed="false">
      <c r="B41" s="16"/>
      <c r="C41" s="17"/>
      <c r="D41" s="17"/>
      <c r="E41" s="17"/>
      <c r="F41" s="49" t="str">
        <f aca="false">IF(C41=0,"",D41/C41)</f>
        <v/>
      </c>
      <c r="G41" s="40"/>
      <c r="H41" s="50" t="str">
        <f aca="false">IF(C41="","",IF(D41&gt;=C41,"Meta atingida",IF(D41&gt;=C41*0.8,"Quase lá","Abaixo da meta")))</f>
        <v/>
      </c>
    </row>
    <row r="42" customFormat="false" ht="15" hidden="false" customHeight="true" outlineLevel="0" collapsed="false">
      <c r="B42" s="16"/>
      <c r="C42" s="17"/>
      <c r="D42" s="17"/>
      <c r="E42" s="17"/>
      <c r="F42" s="49" t="str">
        <f aca="false">IF(C42=0,"",D42/C42)</f>
        <v/>
      </c>
      <c r="G42" s="40"/>
      <c r="H42" s="50" t="str">
        <f aca="false">IF(C42="","",IF(D42&gt;=C42,"Meta atingida",IF(D42&gt;=C42*0.8,"Quase lá","Abaixo da meta")))</f>
        <v/>
      </c>
    </row>
    <row r="43" customFormat="false" ht="15" hidden="false" customHeight="true" outlineLevel="0" collapsed="false">
      <c r="B43" s="16"/>
      <c r="C43" s="17"/>
      <c r="D43" s="17"/>
      <c r="E43" s="17"/>
      <c r="F43" s="49" t="str">
        <f aca="false">IF(C43=0,"",D43/C43)</f>
        <v/>
      </c>
      <c r="G43" s="40"/>
      <c r="H43" s="50" t="str">
        <f aca="false">IF(C43="","",IF(D43&gt;=C43,"Meta atingida",IF(D43&gt;=C43*0.8,"Quase lá","Abaixo da meta")))</f>
        <v/>
      </c>
    </row>
    <row r="44" customFormat="false" ht="15" hidden="false" customHeight="true" outlineLevel="0" collapsed="false">
      <c r="B44" s="16"/>
      <c r="C44" s="17"/>
      <c r="D44" s="17"/>
      <c r="E44" s="17"/>
      <c r="F44" s="49" t="str">
        <f aca="false">IF(C44=0,"",D44/C44)</f>
        <v/>
      </c>
      <c r="G44" s="40"/>
      <c r="H44" s="50" t="str">
        <f aca="false">IF(C44="","",IF(D44&gt;=C44,"Meta atingida",IF(D44&gt;=C44*0.8,"Quase lá","Abaixo da meta")))</f>
        <v/>
      </c>
    </row>
    <row r="45" customFormat="false" ht="15" hidden="false" customHeight="true" outlineLevel="0" collapsed="false">
      <c r="B45" s="16"/>
      <c r="C45" s="17"/>
      <c r="D45" s="17"/>
      <c r="E45" s="17"/>
      <c r="F45" s="49" t="str">
        <f aca="false">IF(C45=0,"",D45/C45)</f>
        <v/>
      </c>
      <c r="G45" s="40"/>
      <c r="H45" s="50" t="str">
        <f aca="false">IF(C45="","",IF(D45&gt;=C45,"Meta atingida",IF(D45&gt;=C45*0.8,"Quase lá","Abaixo da meta")))</f>
        <v/>
      </c>
    </row>
    <row r="46" customFormat="false" ht="15" hidden="false" customHeight="true" outlineLevel="0" collapsed="false">
      <c r="B46" s="11" t="s">
        <v>750</v>
      </c>
      <c r="C46" s="51" t="n">
        <f aca="false">SUM(C6:C45)</f>
        <v>1600</v>
      </c>
      <c r="D46" s="51" t="n">
        <f aca="false">SUM(D6:D45)</f>
        <v>1440</v>
      </c>
      <c r="E46" s="51" t="n">
        <f aca="false">SUM(E6:E45)</f>
        <v>25</v>
      </c>
      <c r="F46" s="52" t="n">
        <f aca="false">IF(C46=0,"",D46/C46)</f>
        <v>0.9</v>
      </c>
      <c r="G46" s="28"/>
      <c r="H46" s="28"/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4"/>
    <col collapsed="false" customWidth="true" hidden="false" outlineLevel="0" max="4" min="4" style="1" width="18"/>
  </cols>
  <sheetData>
    <row r="2" customFormat="false" ht="19.5" hidden="false" customHeight="true" outlineLevel="0" collapsed="false">
      <c r="B2" s="8" t="s">
        <v>876</v>
      </c>
      <c r="C2" s="8"/>
      <c r="D2" s="8"/>
    </row>
    <row r="3" customFormat="false" ht="15" hidden="false" customHeight="true" outlineLevel="0" collapsed="false">
      <c r="B3" s="14" t="s">
        <v>877</v>
      </c>
      <c r="C3" s="14"/>
      <c r="D3" s="14"/>
    </row>
    <row r="5" customFormat="false" ht="15" hidden="false" customHeight="true" outlineLevel="0" collapsed="false">
      <c r="B5" s="9" t="s">
        <v>878</v>
      </c>
      <c r="C5" s="9" t="s">
        <v>879</v>
      </c>
      <c r="D5" s="9" t="s">
        <v>880</v>
      </c>
    </row>
    <row r="6" customFormat="false" ht="15" hidden="false" customHeight="true" outlineLevel="0" collapsed="false">
      <c r="B6" s="12" t="s">
        <v>881</v>
      </c>
      <c r="C6" s="17" t="s">
        <v>882</v>
      </c>
      <c r="D6" s="19" t="n">
        <f aca="false">IF(C6="Sim",15,0)</f>
        <v>0</v>
      </c>
    </row>
    <row r="7" customFormat="false" ht="15" hidden="false" customHeight="true" outlineLevel="0" collapsed="false">
      <c r="B7" s="12" t="s">
        <v>883</v>
      </c>
      <c r="C7" s="17" t="s">
        <v>882</v>
      </c>
      <c r="D7" s="19" t="n">
        <f aca="false">IF(C7="Sim",25,0)</f>
        <v>0</v>
      </c>
    </row>
    <row r="8" customFormat="false" ht="15" hidden="false" customHeight="true" outlineLevel="0" collapsed="false">
      <c r="B8" s="12" t="s">
        <v>884</v>
      </c>
      <c r="C8" s="17" t="s">
        <v>882</v>
      </c>
      <c r="D8" s="19" t="n">
        <f aca="false">IF(C8="Sim",15,0)</f>
        <v>0</v>
      </c>
    </row>
    <row r="9" customFormat="false" ht="15" hidden="false" customHeight="true" outlineLevel="0" collapsed="false">
      <c r="B9" s="12" t="s">
        <v>885</v>
      </c>
      <c r="C9" s="17" t="s">
        <v>882</v>
      </c>
      <c r="D9" s="19" t="n">
        <f aca="false">IF(C9="Sim",25,0)</f>
        <v>0</v>
      </c>
    </row>
    <row r="10" customFormat="false" ht="15" hidden="false" customHeight="true" outlineLevel="0" collapsed="false">
      <c r="B10" s="12" t="s">
        <v>886</v>
      </c>
      <c r="C10" s="17" t="s">
        <v>882</v>
      </c>
      <c r="D10" s="19" t="n">
        <f aca="false">IF(C10="Sim",10,0)</f>
        <v>0</v>
      </c>
    </row>
    <row r="11" customFormat="false" ht="15" hidden="false" customHeight="true" outlineLevel="0" collapsed="false">
      <c r="B11" s="12" t="s">
        <v>887</v>
      </c>
      <c r="C11" s="17" t="s">
        <v>882</v>
      </c>
      <c r="D11" s="19" t="n">
        <f aca="false">IF(C11="Sim",10,0)</f>
        <v>0</v>
      </c>
    </row>
    <row r="12" customFormat="false" ht="15" hidden="false" customHeight="true" outlineLevel="0" collapsed="false">
      <c r="B12" s="11" t="s">
        <v>888</v>
      </c>
      <c r="C12" s="28"/>
      <c r="D12" s="53" t="n">
        <f aca="false">SUM(D6:D11)</f>
        <v>0</v>
      </c>
    </row>
    <row r="14" customFormat="false" ht="45" hidden="false" customHeight="true" outlineLevel="0" collapsed="false">
      <c r="B14" s="48" t="str">
        <f aca="false"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48"/>
      <c r="D14" s="48"/>
    </row>
    <row r="16" customFormat="false" ht="15" hidden="false" customHeight="true" outlineLevel="0" collapsed="false">
      <c r="B16" s="54" t="s">
        <v>889</v>
      </c>
    </row>
    <row r="17" customFormat="false" ht="15" hidden="false" customHeight="true" outlineLevel="0" collapsed="false">
      <c r="B17" s="55" t="s">
        <v>890</v>
      </c>
    </row>
    <row r="18" customFormat="false" ht="15" hidden="false" customHeight="true" outlineLevel="0" collapsed="false">
      <c r="B18" s="55" t="s">
        <v>891</v>
      </c>
    </row>
    <row r="19" customFormat="false" ht="15" hidden="false" customHeight="true" outlineLevel="0" collapsed="false">
      <c r="B19" s="55" t="s">
        <v>892</v>
      </c>
    </row>
  </sheetData>
  <mergeCells count="3">
    <mergeCell ref="B2:D2"/>
    <mergeCell ref="B3:D3"/>
    <mergeCell ref="B14:D14"/>
  </mergeCells>
  <dataValidations count="1">
    <dataValidation allowBlank="true" errorStyle="stop" operator="between" showDropDown="false" showErrorMessage="false" showInputMessage="false" sqref="C6:C1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2026-06-05T21:45:15Z</dcterms:created>
  <dc:creator>openpyxl</dc:creator>
  <dc:description/>
  <dc:language>en-US</dc:language>
  <cp:lastModifiedBy/>
  <dcterms:modified xsi:type="dcterms:W3CDTF">2026-06-05T23:19:16Z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