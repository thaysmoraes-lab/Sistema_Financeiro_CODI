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Lançamentos DRE" sheetId="3" state="visible" r:id="rId3"/>
    <sheet xmlns:r="http://schemas.openxmlformats.org/officeDocument/2006/relationships" name="Lançamentos Fluxo" sheetId="4" state="visible" r:id="rId4"/>
    <sheet xmlns:r="http://schemas.openxmlformats.org/officeDocument/2006/relationships" name="Contas a Pagar" sheetId="5" state="visible" r:id="rId5"/>
    <sheet xmlns:r="http://schemas.openxmlformats.org/officeDocument/2006/relationships" name="Fluxo de Caixa" sheetId="6" state="visible" r:id="rId6"/>
    <sheet xmlns:r="http://schemas.openxmlformats.org/officeDocument/2006/relationships" name="DRE" sheetId="7" state="visible" r:id="rId7"/>
    <sheet xmlns:r="http://schemas.openxmlformats.org/officeDocument/2006/relationships" name="Simulador de Compra" sheetId="8" state="visible" r:id="rId8"/>
    <sheet xmlns:r="http://schemas.openxmlformats.org/officeDocument/2006/relationships" name="Produção de Peças" sheetId="9" state="visible" r:id="rId9"/>
    <sheet xmlns:r="http://schemas.openxmlformats.org/officeDocument/2006/relationships" name="Régua de Crédito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dd/mm/yyyy"/>
    <numFmt numFmtId="165" formatCode="&quot;R$ &quot;#,##0.00"/>
    <numFmt numFmtId="166" formatCode="&quot;R$ &quot;#,##0.00;[RED]&quot;(R$ &quot;#,##0.00\);\-"/>
    <numFmt numFmtId="167" formatCode="0.0%;[RED]\-0.0%"/>
    <numFmt numFmtId="168" formatCode="0.0%"/>
    <numFmt numFmtId="169" formatCode="DD/MM/YYYY"/>
    <numFmt numFmtId="170" formatCode="R$ #,##0.00"/>
    <numFmt numFmtId="171" formatCode="R$ #,##0.00;[RED](R$ #,##0.00);&quot;-&quot;"/>
    <numFmt numFmtId="172" formatCode="0.0%;[RED]-0.0%"/>
    <numFmt numFmtId="173" formatCode="yyyy-mm-dd h:mm:ss"/>
  </numFmts>
  <fonts count="3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0"/>
    </font>
    <font>
      <name val="Arial"/>
      <charset val="1"/>
      <family val="0"/>
      <b val="1"/>
      <color rgb="FF1A1A1A"/>
      <sz val="11"/>
    </font>
    <font>
      <name val="Arial"/>
      <charset val="1"/>
      <family val="0"/>
      <b val="1"/>
      <color rgb="FF1A1A1A"/>
      <sz val="12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333333"/>
      <sz val="12"/>
    </font>
    <font>
      <name val="Arial"/>
      <charset val="1"/>
      <family val="0"/>
      <b val="1"/>
      <color rgb="FFC62828"/>
      <sz val="12"/>
    </font>
    <font>
      <name val="Arial"/>
      <charset val="1"/>
      <family val="0"/>
      <b val="1"/>
      <color rgb="FF1A1A1A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E7D32"/>
      <sz val="11"/>
    </font>
    <font>
      <name val="Arial"/>
      <charset val="1"/>
      <family val="0"/>
      <b val="1"/>
      <color rgb="FFD4B035"/>
      <sz val="10"/>
    </font>
    <font>
      <name val="Arial"/>
      <charset val="1"/>
      <family val="0"/>
      <color rgb="FF666666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2E7D32"/>
      <sz val="11"/>
    </font>
    <font>
      <name val="Arial"/>
      <charset val="1"/>
      <family val="0"/>
      <color rgb="FFC62828"/>
      <sz val="11"/>
    </font>
    <font>
      <name val="Arial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b val="1"/>
      <color rgb="FF1A1A1A"/>
      <sz val="8"/>
    </font>
    <font>
      <name val="Arial"/>
      <charset val="1"/>
      <family val="0"/>
      <sz val="11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555555"/>
      <sz val="11"/>
    </font>
    <font>
      <name val="Arial"/>
      <b val="1"/>
      <color rgb="001A1A1A"/>
    </font>
    <font>
      <name val="Arial"/>
      <color rgb="002E7D32"/>
    </font>
    <font>
      <name val="Arial"/>
      <color rgb="00C62828"/>
    </font>
    <font>
      <name val="Arial"/>
      <color rgb="00000000"/>
    </font>
    <font>
      <name val="Arial"/>
      <b val="1"/>
      <color rgb="00000000"/>
    </font>
    <font>
      <name val="Arial"/>
      <b val="1"/>
      <color rgb="001A1A1A"/>
      <sz val="16"/>
    </font>
    <font>
      <name val="Arial"/>
      <b val="1"/>
      <color rgb="00D4B035"/>
      <sz val="10"/>
    </font>
    <font>
      <name val="Arial"/>
      <b val="1"/>
      <color rgb="00FFFFFF"/>
    </font>
    <font>
      <name val="Arial"/>
    </font>
    <font>
      <name val="Arial"/>
      <b val="1"/>
      <color rgb="00FFFFFF"/>
      <sz val="11"/>
    </font>
    <font>
      <name val="Arial"/>
      <b val="1"/>
      <color rgb="001A1A1A"/>
      <sz val="8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FF1A1A1A"/>
        <bgColor rgb="FF333333"/>
      </patternFill>
    </fill>
    <fill>
      <patternFill patternType="solid">
        <fgColor rgb="FFD4B035"/>
        <bgColor rgb="FFFFCC00"/>
      </patternFill>
    </fill>
    <fill>
      <patternFill patternType="solid">
        <fgColor rgb="FF333333"/>
        <bgColor rgb="FF1A1A1A"/>
      </patternFill>
    </fill>
    <fill>
      <patternFill patternType="solid">
        <fgColor rgb="FFFFF8E1"/>
        <bgColor rgb="FFFFFFFF"/>
      </patternFill>
    </fill>
    <fill>
      <patternFill patternType="solid">
        <fgColor rgb="FFF5ECCB"/>
        <bgColor rgb="FFFFF8E1"/>
      </patternFill>
    </fill>
    <fill>
      <patternFill patternType="solid">
        <fgColor rgb="00D4B035"/>
      </patternFill>
    </fill>
    <fill>
      <patternFill patternType="solid">
        <fgColor rgb="00F5ECCB"/>
      </patternFill>
    </fill>
    <fill>
      <patternFill patternType="solid">
        <fgColor rgb="001A1A1A"/>
      </patternFill>
    </fill>
    <fill>
      <patternFill patternType="solid">
        <fgColor rgb="00333333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/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6" fontId="16" fillId="5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center" vertical="bottom"/>
    </xf>
    <xf numFmtId="166" fontId="17" fillId="0" borderId="1" applyAlignment="1" pivotButton="0" quotePrefix="0" xfId="0">
      <alignment horizontal="right" vertical="bottom"/>
    </xf>
    <xf numFmtId="166" fontId="18" fillId="0" borderId="1" applyAlignment="1" pivotButton="0" quotePrefix="0" xfId="0">
      <alignment horizontal="right" vertical="bottom"/>
    </xf>
    <xf numFmtId="166" fontId="7" fillId="0" borderId="1" applyAlignment="1" pivotButton="0" quotePrefix="0" xfId="0">
      <alignment horizontal="right" vertical="bottom"/>
    </xf>
    <xf numFmtId="166" fontId="15" fillId="0" borderId="1" applyAlignment="1" pivotButton="0" quotePrefix="0" xfId="0">
      <alignment horizontal="right" vertical="bottom"/>
    </xf>
    <xf numFmtId="0" fontId="5" fillId="3" borderId="1" applyAlignment="1" pivotButton="0" quotePrefix="0" xfId="0">
      <alignment horizontal="center" vertical="bottom"/>
    </xf>
    <xf numFmtId="166" fontId="15" fillId="6" borderId="1" applyAlignment="1" pivotButton="0" quotePrefix="0" xfId="0">
      <alignment horizontal="right" vertical="bottom"/>
    </xf>
    <xf numFmtId="166" fontId="19" fillId="6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bottom"/>
    </xf>
    <xf numFmtId="166" fontId="17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right" vertical="bottom"/>
    </xf>
    <xf numFmtId="166" fontId="7" fillId="0" borderId="0" applyAlignment="1" pivotButton="0" quotePrefix="0" xfId="0">
      <alignment horizontal="right" vertical="bottom"/>
    </xf>
    <xf numFmtId="166" fontId="19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right" vertical="bottom"/>
    </xf>
    <xf numFmtId="0" fontId="11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right" vertical="bottom"/>
    </xf>
    <xf numFmtId="167" fontId="24" fillId="0" borderId="1" applyAlignment="1" pivotButton="0" quotePrefix="0" xfId="0">
      <alignment horizontal="right" vertical="bottom"/>
    </xf>
    <xf numFmtId="168" fontId="24" fillId="0" borderId="1" applyAlignment="1" pivotButton="0" quotePrefix="0" xfId="0">
      <alignment horizontal="right" vertical="bottom"/>
    </xf>
    <xf numFmtId="0" fontId="5" fillId="6" borderId="1" applyAlignment="1" pivotButton="0" quotePrefix="0" xfId="0">
      <alignment horizontal="general" vertical="bottom"/>
    </xf>
    <xf numFmtId="166" fontId="15" fillId="6" borderId="1" applyAlignment="1" pivotButton="0" quotePrefix="0" xfId="0">
      <alignment horizontal="right" vertical="bottom"/>
    </xf>
    <xf numFmtId="0" fontId="11" fillId="2" borderId="1" applyAlignment="1" pivotButton="0" quotePrefix="0" xfId="0">
      <alignment horizontal="general" vertical="bottom"/>
    </xf>
    <xf numFmtId="166" fontId="11" fillId="2" borderId="1" applyAlignment="1" pivotButton="0" quotePrefix="0" xfId="0">
      <alignment horizontal="right" vertical="bottom"/>
    </xf>
    <xf numFmtId="165" fontId="16" fillId="5" borderId="1" applyAlignment="1" pivotButton="0" quotePrefix="0" xfId="0">
      <alignment horizontal="right" vertical="bottom"/>
    </xf>
    <xf numFmtId="1" fontId="16" fillId="5" borderId="1" applyAlignment="1" pivotButton="0" quotePrefix="0" xfId="0">
      <alignment horizontal="right" vertical="bottom"/>
    </xf>
    <xf numFmtId="9" fontId="16" fillId="5" borderId="1" applyAlignment="1" pivotButton="0" quotePrefix="0" xfId="0">
      <alignment horizontal="right" vertical="bottom"/>
    </xf>
    <xf numFmtId="10" fontId="16" fillId="5" borderId="1" applyAlignment="1" pivotButton="0" quotePrefix="0" xfId="0">
      <alignment horizontal="right" vertical="bottom"/>
    </xf>
    <xf numFmtId="0" fontId="15" fillId="0" borderId="1" applyAlignment="1" pivotButton="0" quotePrefix="0" xfId="0">
      <alignment horizontal="left" vertical="bottom"/>
    </xf>
    <xf numFmtId="0" fontId="16" fillId="5" borderId="1" applyAlignment="1" pivotButton="0" quotePrefix="0" xfId="0">
      <alignment horizontal="left" vertical="bottom"/>
    </xf>
    <xf numFmtId="165" fontId="19" fillId="0" borderId="1" applyAlignment="1" pivotButton="0" quotePrefix="0" xfId="0">
      <alignment horizontal="right" vertical="bottom"/>
    </xf>
    <xf numFmtId="0" fontId="15" fillId="0" borderId="1" applyAlignment="1" pivotButton="0" quotePrefix="0" xfId="0">
      <alignment horizontal="left" vertical="center"/>
    </xf>
    <xf numFmtId="166" fontId="19" fillId="0" borderId="1" applyAlignment="1" pivotButton="0" quotePrefix="0" xfId="0">
      <alignment horizontal="right" vertical="bottom"/>
    </xf>
    <xf numFmtId="0" fontId="25" fillId="4" borderId="0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center" vertical="bottom"/>
    </xf>
    <xf numFmtId="9" fontId="7" fillId="0" borderId="1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9" fontId="5" fillId="6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6" fillId="6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9" fontId="0" fillId="0" borderId="7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70" fontId="0" fillId="0" borderId="7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/>
    </xf>
    <xf numFmtId="164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65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169" fontId="0" fillId="0" borderId="7" pivotButton="0" quotePrefix="0" xfId="0"/>
    <xf numFmtId="0" fontId="0" fillId="0" borderId="7" pivotButton="0" quotePrefix="0" xfId="0"/>
    <xf numFmtId="170" fontId="0" fillId="0" borderId="7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6" fontId="16" fillId="5" borderId="1" applyAlignment="1" pivotButton="0" quotePrefix="0" xfId="0">
      <alignment horizontal="right" vertical="bottom"/>
    </xf>
    <xf numFmtId="0" fontId="27" fillId="0" borderId="7" applyAlignment="1" pivotButton="0" quotePrefix="0" xfId="0">
      <alignment horizontal="center"/>
    </xf>
    <xf numFmtId="171" fontId="28" fillId="0" borderId="7" applyAlignment="1" pivotButton="0" quotePrefix="0" xfId="0">
      <alignment horizontal="right"/>
    </xf>
    <xf numFmtId="171" fontId="29" fillId="0" borderId="7" applyAlignment="1" pivotButton="0" quotePrefix="0" xfId="0">
      <alignment horizontal="right"/>
    </xf>
    <xf numFmtId="171" fontId="30" fillId="0" borderId="7" applyAlignment="1" pivotButton="0" quotePrefix="0" xfId="0">
      <alignment horizontal="right"/>
    </xf>
    <xf numFmtId="171" fontId="31" fillId="0" borderId="7" applyAlignment="1" pivotButton="0" quotePrefix="0" xfId="0">
      <alignment horizontal="right"/>
    </xf>
    <xf numFmtId="0" fontId="27" fillId="7" borderId="7" applyAlignment="1" pivotButton="0" quotePrefix="0" xfId="0">
      <alignment horizontal="center"/>
    </xf>
    <xf numFmtId="171" fontId="31" fillId="8" borderId="7" applyAlignment="1" pivotButton="0" quotePrefix="0" xfId="0">
      <alignment horizontal="right"/>
    </xf>
    <xf numFmtId="166" fontId="19" fillId="8" borderId="7" applyAlignment="1" pivotButton="0" quotePrefix="0" xfId="0">
      <alignment horizontal="right" vertical="bottom"/>
    </xf>
    <xf numFmtId="0" fontId="5" fillId="0" borderId="6" applyAlignment="1" pivotButton="0" quotePrefix="0" xfId="0">
      <alignment horizontal="center" vertical="center" wrapText="1"/>
    </xf>
    <xf numFmtId="166" fontId="5" fillId="0" borderId="6" applyAlignment="1" pivotButton="0" quotePrefix="0" xfId="0">
      <alignment horizontal="right" vertical="bottom"/>
    </xf>
    <xf numFmtId="0" fontId="0" fillId="0" borderId="6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9" borderId="7" applyAlignment="1" pivotButton="0" quotePrefix="0" xfId="0">
      <alignment horizontal="left" vertical="center"/>
    </xf>
    <xf numFmtId="0" fontId="34" fillId="9" borderId="7" applyAlignment="1" pivotButton="0" quotePrefix="0" xfId="0">
      <alignment horizontal="center" vertical="center"/>
    </xf>
    <xf numFmtId="0" fontId="27" fillId="7" borderId="7" applyAlignment="1" pivotButton="0" quotePrefix="0" xfId="0">
      <alignment horizontal="center" vertical="center"/>
    </xf>
    <xf numFmtId="0" fontId="37" fillId="7" borderId="7" applyAlignment="1" pivotButton="0" quotePrefix="0" xfId="0">
      <alignment horizontal="center" vertical="center" wrapText="1"/>
    </xf>
    <xf numFmtId="0" fontId="34" fillId="10" borderId="7" pivotButton="0" quotePrefix="0" xfId="0"/>
    <xf numFmtId="0" fontId="0" fillId="10" borderId="7" pivotButton="0" quotePrefix="0" xfId="0"/>
    <xf numFmtId="0" fontId="35" fillId="0" borderId="7" pivotButton="0" quotePrefix="0" xfId="0"/>
    <xf numFmtId="172" fontId="38" fillId="0" borderId="7" applyAlignment="1" pivotButton="0" quotePrefix="0" xfId="0">
      <alignment horizontal="right"/>
    </xf>
    <xf numFmtId="168" fontId="38" fillId="0" borderId="7" applyAlignment="1" pivotButton="0" quotePrefix="0" xfId="0">
      <alignment horizontal="right"/>
    </xf>
    <xf numFmtId="0" fontId="27" fillId="8" borderId="7" pivotButton="0" quotePrefix="0" xfId="0"/>
    <xf numFmtId="0" fontId="36" fillId="9" borderId="7" pivotButton="0" quotePrefix="0" xfId="0"/>
    <xf numFmtId="171" fontId="34" fillId="9" borderId="7" applyAlignment="1" pivotButton="0" quotePrefix="0" xfId="0">
      <alignment horizontal="right"/>
    </xf>
    <xf numFmtId="0" fontId="0" fillId="0" borderId="4" pivotButton="0" quotePrefix="0" xfId="0"/>
    <xf numFmtId="165" fontId="16" fillId="5" borderId="1" applyAlignment="1" pivotButton="0" quotePrefix="0" xfId="0">
      <alignment horizontal="right" vertical="bottom"/>
    </xf>
    <xf numFmtId="1" fontId="16" fillId="5" borderId="1" applyAlignment="1" pivotButton="0" quotePrefix="0" xfId="0">
      <alignment horizontal="right" vertical="bottom"/>
    </xf>
    <xf numFmtId="9" fontId="16" fillId="5" borderId="1" applyAlignment="1" pivotButton="0" quotePrefix="0" xfId="0">
      <alignment horizontal="right" vertical="bottom"/>
    </xf>
    <xf numFmtId="10" fontId="16" fillId="5" borderId="1" applyAlignment="1" pivotButton="0" quotePrefix="0" xfId="0">
      <alignment horizontal="right" vertical="bottom"/>
    </xf>
    <xf numFmtId="0" fontId="15" fillId="0" borderId="1" applyAlignment="1" pivotButton="0" quotePrefix="0" xfId="0">
      <alignment horizontal="left" vertical="bottom"/>
    </xf>
    <xf numFmtId="0" fontId="16" fillId="5" borderId="1" applyAlignment="1" pivotButton="0" quotePrefix="0" xfId="0">
      <alignment horizontal="left" vertical="bottom"/>
    </xf>
    <xf numFmtId="165" fontId="19" fillId="0" borderId="1" applyAlignment="1" pivotButton="0" quotePrefix="0" xfId="0">
      <alignment horizontal="right" vertical="bottom"/>
    </xf>
    <xf numFmtId="0" fontId="0" fillId="0" borderId="5" pivotButton="0" quotePrefix="0" xfId="0"/>
    <xf numFmtId="0" fontId="15" fillId="0" borderId="1" applyAlignment="1" pivotButton="0" quotePrefix="0" xfId="0">
      <alignment horizontal="left" vertical="center"/>
    </xf>
    <xf numFmtId="166" fontId="19" fillId="0" borderId="1" applyAlignment="1" pivotButton="0" quotePrefix="0" xfId="0">
      <alignment horizontal="right" vertical="bottom"/>
    </xf>
    <xf numFmtId="0" fontId="25" fillId="4" borderId="0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center" vertical="bottom"/>
    </xf>
    <xf numFmtId="9" fontId="7" fillId="0" borderId="1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9" fontId="5" fillId="6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6" fillId="6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71" fontId="28" fillId="0" borderId="7" applyAlignment="1" pivotButton="0" quotePrefix="0" xfId="0">
      <alignment horizontal="right"/>
    </xf>
    <xf numFmtId="171" fontId="29" fillId="0" borderId="7" applyAlignment="1" pivotButton="0" quotePrefix="0" xfId="0">
      <alignment horizontal="right"/>
    </xf>
    <xf numFmtId="171" fontId="30" fillId="0" borderId="7" applyAlignment="1" pivotButton="0" quotePrefix="0" xfId="0">
      <alignment horizontal="right"/>
    </xf>
    <xf numFmtId="171" fontId="31" fillId="0" borderId="7" applyAlignment="1" pivotButton="0" quotePrefix="0" xfId="0">
      <alignment horizontal="right"/>
    </xf>
    <xf numFmtId="171" fontId="31" fillId="8" borderId="7" applyAlignment="1" pivotButton="0" quotePrefix="0" xfId="0">
      <alignment horizontal="right"/>
    </xf>
    <xf numFmtId="172" fontId="38" fillId="0" borderId="7" applyAlignment="1" pivotButton="0" quotePrefix="0" xfId="0">
      <alignment horizontal="right"/>
    </xf>
    <xf numFmtId="171" fontId="34" fillId="9" borderId="7" applyAlignment="1" pivotButton="0" quotePrefix="0" xfId="0">
      <alignment horizontal="right"/>
    </xf>
    <xf numFmtId="0" fontId="0" fillId="8" borderId="7" pivotButton="0" quotePrefix="0" xfId="0"/>
    <xf numFmtId="169" fontId="0" fillId="0" borderId="6" applyAlignment="1" pivotButton="0" quotePrefix="0" xfId="0">
      <alignment horizontal="general" vertical="bottom"/>
    </xf>
    <xf numFmtId="170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/>
    </xf>
    <xf numFmtId="0" fontId="34" fillId="9" borderId="7" applyAlignment="1" pivotButton="0" quotePrefix="0" xfId="0">
      <alignment horizontal="center"/>
    </xf>
    <xf numFmtId="0" fontId="37" fillId="7" borderId="7" applyAlignment="1" pivotButton="0" quotePrefix="0" xfId="0">
      <alignment horizontal="center" wrapText="1"/>
    </xf>
    <xf numFmtId="0" fontId="34" fillId="9" borderId="7" applyAlignment="1" pivotButton="0" quotePrefix="0" xfId="0">
      <alignment horizontal="lef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8E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CCB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D4B035"/>
      <rgbColor rgb="FFFF6600"/>
      <rgbColor rgb="FF666666"/>
      <rgbColor rgb="FFB3B3B3"/>
      <rgbColor rgb="FF003366"/>
      <rgbColor rgb="FF2E7D32"/>
      <rgbColor rgb="FF003300"/>
      <rgbColor rgb="FF1A1A1A"/>
      <rgbColor rgb="FFC62828"/>
      <rgbColor rgb="FF993366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Entradas x Saídas (Caixa)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'Fluxo de Caixa'!C7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'Fluxo de Caixa'!$B$8:$B$28</f>
            </numRef>
          </cat>
          <val>
            <numRef>
              <f>'Fluxo de Caixa'!$C$8:$C$28</f>
            </numRef>
          </val>
        </ser>
        <ser>
          <idx val="1"/>
          <order val="1"/>
          <tx>
            <strRef>
              <f>'Fluxo de Caixa'!D7</f>
            </strRef>
          </tx>
          <spPr>
            <a:ln xmlns:a="http://schemas.openxmlformats.org/drawingml/2006/main">
              <a:prstDash val="solid"/>
            </a:ln>
          </spPr>
          <cat>
            <numRef>
              <f>'Fluxo de Caixa'!$B$8:$B$28</f>
            </numRef>
          </cat>
          <val>
            <numRef>
              <f>'Fluxo de Caixa'!$D$8:$D$28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'Fluxo de Caixa'!F7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'Fluxo de Caixa'!$B$8:$B$28</f>
            </numRef>
          </cat>
          <val>
            <numRef>
              <f>'Fluxo de Caixa'!$F$8:$F$28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Meta x Produzido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'Produção de Peças'!C5</f>
              <strCache>
                <ptCount val="1"/>
                <pt idx="0">
                  <v>Meta (un)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'Produção de Peças'!$B$6:$B$9</f>
              <strCache>
                <ptCount val="4"/>
                <pt idx="0">
                  <v>Camisa Social</v>
                </pt>
                <pt idx="1">
                  <v>Calça Jeans</v>
                </pt>
                <pt idx="2">
                  <v>Vestido</v>
                </pt>
                <pt idx="3">
                  <v>Camiseta Básica</v>
                </pt>
              </strCache>
            </strRef>
          </cat>
          <val>
            <numRef>
              <f>'Produção de Peças'!$C$6:$C$9</f>
              <numCache>
                <formatCode>General</formatCode>
                <ptCount val="4"/>
                <pt idx="0">
                  <v>500</v>
                </pt>
                <pt idx="1">
                  <v>300</v>
                </pt>
                <pt idx="2">
                  <v>200</v>
                </pt>
                <pt idx="3">
                  <v>600</v>
                </pt>
              </numCache>
            </numRef>
          </val>
        </ser>
        <ser>
          <idx val="1"/>
          <order val="1"/>
          <tx>
            <strRef>
              <f>'Produção de Peças'!D5</f>
              <strCache>
                <ptCount val="1"/>
                <pt idx="0">
                  <v>Produzido (un)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'Produção de Peças'!$B$6:$B$9</f>
              <strCache>
                <ptCount val="4"/>
                <pt idx="0">
                  <v>Camisa Social</v>
                </pt>
                <pt idx="1">
                  <v>Calça Jeans</v>
                </pt>
                <pt idx="2">
                  <v>Vestido</v>
                </pt>
                <pt idx="3">
                  <v>Camiseta Básica</v>
                </pt>
              </strCache>
            </strRef>
          </cat>
          <val>
            <numRef>
              <f>'Produção de Peças'!$D$6:$D$9</f>
              <numCache>
                <formatCode>General</formatCode>
                <ptCount val="4"/>
                <pt idx="0">
                  <v>480</v>
                </pt>
                <pt idx="1">
                  <v>300</v>
                </pt>
                <pt idx="2">
                  <v>140</v>
                </pt>
                <pt idx="3">
                  <v>520</v>
                </pt>
              </numCache>
            </numRef>
          </val>
        </ser>
        <gapWidth val="150"/>
        <overlap val="0"/>
        <axId val="61708218"/>
        <axId val="36298786"/>
      </barChart>
      <catAx>
        <axId val="6170821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6298786"/>
        <crosses val="autoZero"/>
        <auto val="1"/>
        <lblAlgn val="ctr"/>
        <lblOffset val="100"/>
        <noMultiLvlLbl val="0"/>
      </catAx>
      <valAx>
        <axId val="3629878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170821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2</col>
      <colOff>485640</colOff>
      <row>1</row>
      <rowOff>584640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1320" y="228600"/>
          <a:ext cx="1613520" cy="584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7</col>
      <colOff>0</colOff>
      <row>6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twoCellAnchor editAs="oneCell">
    <from>
      <col>9</col>
      <colOff>0</colOff>
      <row>3</row>
      <rowOff>131040</rowOff>
    </from>
    <to>
      <col>18</col>
      <colOff>245520</colOff>
      <row>17</row>
      <rowOff>182880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4:G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85" min="1" max="1"/>
    <col width="16" customWidth="1" style="85" min="2" max="7"/>
  </cols>
  <sheetData>
    <row r="1" ht="18" customHeight="1" s="86"/>
    <row r="2" ht="54.75" customHeight="1" s="86"/>
    <row r="3" ht="15" customHeight="1" s="86"/>
    <row r="4" ht="24" customHeight="1" s="86">
      <c r="B4" s="87" t="inlineStr">
        <is>
          <t>SISTEMA DE GESTÃO FINANCEIRA</t>
        </is>
      </c>
    </row>
    <row r="5" ht="15" customHeight="1" s="86">
      <c r="B5" s="88" t="inlineStr">
        <is>
          <t>Confecção · Modelo pronto para uso</t>
        </is>
      </c>
    </row>
    <row r="6" ht="15" customHeight="1" s="86"/>
    <row r="7" ht="15" customHeight="1" s="86">
      <c r="B7" s="89" t="inlineStr">
        <is>
          <t>COMO USAR ESTE ARQUIVO</t>
        </is>
      </c>
    </row>
    <row r="8" ht="15" customHeight="1" s="86">
      <c r="B8" s="90" t="n"/>
    </row>
    <row r="9" ht="15" customHeight="1" s="86">
      <c r="B9" s="90" t="inlineStr">
        <is>
          <t>As células com fundo AMARELO e texto AZUL são as que você preenche.</t>
        </is>
      </c>
    </row>
    <row r="10" ht="15" customHeight="1" s="86">
      <c r="B10" s="90" t="inlineStr">
        <is>
          <t>Todo o resto é calculado automaticamente. Não precisa mexer.</t>
        </is>
      </c>
    </row>
    <row r="11" ht="15" customHeight="1" s="86">
      <c r="B11" s="90" t="n"/>
    </row>
    <row r="12" ht="15" customHeight="1" s="86">
      <c r="B12" s="91" t="inlineStr">
        <is>
          <t>ABAS:</t>
        </is>
      </c>
    </row>
    <row r="13" ht="15" customHeight="1" s="86">
      <c r="B13" s="90" t="inlineStr">
        <is>
          <t>1. Lançamentos  →  registre toda entrada e saída de dinheiro</t>
        </is>
      </c>
    </row>
    <row r="14" ht="15" customHeight="1" s="86">
      <c r="B14" s="90" t="inlineStr">
        <is>
          <t>2. Fluxo de Caixa  →  resumo mensal automático</t>
        </is>
      </c>
    </row>
    <row r="15" ht="15" customHeight="1" s="86">
      <c r="B15" s="90" t="inlineStr">
        <is>
          <t>3. DRE  →  resultado (lucro/prejuízo) automático</t>
        </is>
      </c>
    </row>
    <row r="16" ht="15" customHeight="1" s="86">
      <c r="B16" s="90" t="inlineStr">
        <is>
          <t>4. Simulador de Compra  →  calcula parcela e limite de pagamento</t>
        </is>
      </c>
    </row>
    <row r="17" ht="15" customHeight="1" s="86">
      <c r="B17" s="90" t="inlineStr">
        <is>
          <t>5. Produção de Peças  →  acompanhe metas e produção</t>
        </is>
      </c>
    </row>
    <row r="18" ht="15" customHeight="1" s="86">
      <c r="B18" s="90" t="inlineStr">
        <is>
          <t>6. Régua de Crédito  →  decide liberar crédito ou não</t>
        </is>
      </c>
    </row>
    <row r="19" ht="15" customHeight="1" s="86">
      <c r="B19" s="90" t="inlineStr">
        <is>
          <t>7. Categorias  →  seu plano de contas (pode editar)</t>
        </is>
      </c>
    </row>
    <row r="20" ht="15" customHeight="1" s="86">
      <c r="B20" s="90" t="n"/>
    </row>
    <row r="21" ht="15" customHeight="1" s="86">
      <c r="B21" s="92" t="inlineStr">
        <is>
          <t>IMPORTANTE — DATAS:</t>
        </is>
      </c>
    </row>
    <row r="22" ht="15" customHeight="1" s="86">
      <c r="B22" s="90" t="inlineStr">
        <is>
          <t>Na aba Lançamentos, digite a data no formato DD/MM/AAAA (ex.: 05/06/2026).</t>
        </is>
      </c>
    </row>
    <row r="23" ht="15" customHeight="1" s="86">
      <c r="B23" s="90" t="inlineStr">
        <is>
          <t>Se o fluxo de caixa não somar, é porque a data foi digitada como texto.</t>
        </is>
      </c>
    </row>
    <row r="24" ht="15" customHeight="1" s="86">
      <c r="B24" s="90" t="inlineStr">
        <is>
          <t>Confira se a célula da data está alinhada à direita (data real), não à esquerda.</t>
        </is>
      </c>
    </row>
  </sheetData>
  <mergeCells count="17">
    <mergeCell ref="B24:G24"/>
    <mergeCell ref="B16:G16"/>
    <mergeCell ref="B19:G19"/>
    <mergeCell ref="B10:G10"/>
    <mergeCell ref="B5:G5"/>
    <mergeCell ref="B14:G14"/>
    <mergeCell ref="B22:G22"/>
    <mergeCell ref="B17:G17"/>
    <mergeCell ref="B9:G9"/>
    <mergeCell ref="B23:G23"/>
    <mergeCell ref="B4:G4"/>
    <mergeCell ref="B12:G12"/>
    <mergeCell ref="B13:G13"/>
    <mergeCell ref="B18:G18"/>
    <mergeCell ref="B21:G21"/>
    <mergeCell ref="B15:G15"/>
    <mergeCell ref="B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G7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85" min="1" max="1"/>
    <col width="38" customWidth="1" style="85" min="2" max="2"/>
    <col width="14" customWidth="1" style="85" min="3" max="3"/>
    <col width="3" customWidth="1" style="85" min="4" max="4"/>
    <col width="38" customWidth="1" style="85" min="5" max="5"/>
    <col width="3" customWidth="1" style="85" min="6" max="6"/>
    <col width="38" customWidth="1" style="85" min="7" max="7"/>
  </cols>
  <sheetData>
    <row r="2" ht="19.5" customHeight="1" s="86">
      <c r="B2" s="93" t="inlineStr">
        <is>
          <t>Categorias (Plano de Contas)</t>
        </is>
      </c>
    </row>
    <row r="4" ht="15" customHeight="1" s="86">
      <c r="B4" s="94" t="inlineStr">
        <is>
          <t>Categoria de RECEITA</t>
        </is>
      </c>
      <c r="C4" s="94" t="inlineStr">
        <is>
          <t>Tipo</t>
        </is>
      </c>
      <c r="E4" s="95" t="inlineStr">
        <is>
          <t>Categoria de DESPESA</t>
        </is>
      </c>
      <c r="G4" s="96" t="inlineStr">
        <is>
          <t>Lista (auto)</t>
        </is>
      </c>
    </row>
    <row r="5" ht="15" customHeight="1" s="86">
      <c r="B5" s="97" t="inlineStr">
        <is>
          <t>Vendas</t>
        </is>
      </c>
      <c r="C5" s="98" t="inlineStr">
        <is>
          <t>Receita</t>
        </is>
      </c>
      <c r="E5" s="97" t="inlineStr">
        <is>
          <t>Custo de Mercadoria Vendida</t>
        </is>
      </c>
      <c r="G5" s="97" t="inlineStr">
        <is>
          <t>Vendas</t>
        </is>
      </c>
    </row>
    <row r="6" ht="15" customHeight="1" s="86">
      <c r="B6" s="97" t="inlineStr">
        <is>
          <t>Receita Financeira</t>
        </is>
      </c>
      <c r="C6" s="98" t="inlineStr">
        <is>
          <t>Receita</t>
        </is>
      </c>
      <c r="E6" s="97" t="inlineStr">
        <is>
          <t>Tecidos</t>
        </is>
      </c>
      <c r="G6" s="97" t="inlineStr">
        <is>
          <t>Receita Financeira</t>
        </is>
      </c>
    </row>
    <row r="7" ht="15" customHeight="1" s="86">
      <c r="B7" s="97" t="inlineStr">
        <is>
          <t>Outras Receitas</t>
        </is>
      </c>
      <c r="C7" s="98" t="inlineStr">
        <is>
          <t>Receita</t>
        </is>
      </c>
      <c r="E7" s="97" t="inlineStr">
        <is>
          <t>Lavanderia</t>
        </is>
      </c>
      <c r="G7" s="97" t="inlineStr">
        <is>
          <t>Outras Receitas</t>
        </is>
      </c>
    </row>
    <row r="8" ht="15" customHeight="1" s="86">
      <c r="E8" s="97" t="inlineStr">
        <is>
          <t>Travete</t>
        </is>
      </c>
      <c r="G8" s="97" t="inlineStr">
        <is>
          <t>Custo de Mercadoria Vendida</t>
        </is>
      </c>
    </row>
    <row r="9" ht="15" customHeight="1" s="86">
      <c r="E9" s="97" t="inlineStr">
        <is>
          <t>Facção</t>
        </is>
      </c>
      <c r="G9" s="97" t="inlineStr">
        <is>
          <t>Tecidos</t>
        </is>
      </c>
    </row>
    <row r="10" ht="15" customHeight="1" s="86">
      <c r="E10" s="97" t="inlineStr">
        <is>
          <t>Acabamento Externo</t>
        </is>
      </c>
      <c r="G10" s="97" t="inlineStr">
        <is>
          <t>Lavanderia</t>
        </is>
      </c>
    </row>
    <row r="11" ht="15" customHeight="1" s="86">
      <c r="E11" s="97" t="inlineStr">
        <is>
          <t>Outros Insumos</t>
        </is>
      </c>
      <c r="G11" s="97" t="inlineStr">
        <is>
          <t>Travete</t>
        </is>
      </c>
    </row>
    <row r="12" ht="15" customHeight="1" s="86">
      <c r="E12" s="97" t="inlineStr">
        <is>
          <t>Criação de Modelos</t>
        </is>
      </c>
      <c r="G12" s="97" t="inlineStr">
        <is>
          <t>Facção</t>
        </is>
      </c>
    </row>
    <row r="13" ht="15" customHeight="1" s="86">
      <c r="E13" s="97" t="inlineStr">
        <is>
          <t>Aviamento</t>
        </is>
      </c>
      <c r="G13" s="97" t="inlineStr">
        <is>
          <t>Acabamento Externo</t>
        </is>
      </c>
    </row>
    <row r="14" ht="15" customHeight="1" s="86">
      <c r="E14" s="97" t="inlineStr">
        <is>
          <t>Etiquetas</t>
        </is>
      </c>
      <c r="G14" s="97" t="inlineStr">
        <is>
          <t>Outros Insumos</t>
        </is>
      </c>
    </row>
    <row r="15" ht="15" customHeight="1" s="86">
      <c r="E15" s="97" t="inlineStr">
        <is>
          <t>Simples Nacional</t>
        </is>
      </c>
      <c r="G15" s="97" t="inlineStr">
        <is>
          <t>Criação de Modelos</t>
        </is>
      </c>
    </row>
    <row r="16" ht="15" customHeight="1" s="86">
      <c r="E16" s="97" t="inlineStr">
        <is>
          <t>Embalagens</t>
        </is>
      </c>
      <c r="G16" s="97" t="inlineStr">
        <is>
          <t>Aviamento</t>
        </is>
      </c>
    </row>
    <row r="17" ht="15" customHeight="1" s="86">
      <c r="E17" s="97" t="inlineStr">
        <is>
          <t>Bordado Industrial</t>
        </is>
      </c>
      <c r="G17" s="97" t="inlineStr">
        <is>
          <t>Etiquetas</t>
        </is>
      </c>
    </row>
    <row r="18" ht="15" customHeight="1" s="86">
      <c r="E18" s="97" t="inlineStr">
        <is>
          <t>Comissão de Assessores</t>
        </is>
      </c>
      <c r="G18" s="97" t="inlineStr">
        <is>
          <t>Simples Nacional</t>
        </is>
      </c>
    </row>
    <row r="19" ht="15" customHeight="1" s="86">
      <c r="E19" s="97" t="inlineStr">
        <is>
          <t>Bordado Manual</t>
        </is>
      </c>
      <c r="G19" s="97" t="inlineStr">
        <is>
          <t>Embalagens</t>
        </is>
      </c>
    </row>
    <row r="20" ht="15" customHeight="1" s="86">
      <c r="E20" s="97" t="inlineStr">
        <is>
          <t>Comissão de vendedores</t>
        </is>
      </c>
      <c r="G20" s="97" t="inlineStr">
        <is>
          <t>Bordado Industrial</t>
        </is>
      </c>
    </row>
    <row r="21" ht="15" customHeight="1" s="86">
      <c r="E21" s="97" t="inlineStr">
        <is>
          <t>Darf</t>
        </is>
      </c>
      <c r="G21" s="97" t="inlineStr">
        <is>
          <t>Comissão de Assessores</t>
        </is>
      </c>
    </row>
    <row r="22" ht="15" customHeight="1" s="86">
      <c r="E22" s="97" t="inlineStr">
        <is>
          <t>Combustíveis</t>
        </is>
      </c>
      <c r="G22" s="97" t="inlineStr">
        <is>
          <t>Bordado Manual</t>
        </is>
      </c>
    </row>
    <row r="23" ht="15" customHeight="1" s="86">
      <c r="E23" s="97" t="inlineStr">
        <is>
          <t>Manutenção de Máquinas e Peças</t>
        </is>
      </c>
      <c r="G23" s="97" t="inlineStr">
        <is>
          <t>Comissão de vendedores</t>
        </is>
      </c>
    </row>
    <row r="24" ht="15" customHeight="1" s="86">
      <c r="E24" s="97" t="inlineStr">
        <is>
          <t>Alimentação</t>
        </is>
      </c>
      <c r="G24" s="97" t="inlineStr">
        <is>
          <t>Darf</t>
        </is>
      </c>
    </row>
    <row r="25" ht="15" customHeight="1" s="86">
      <c r="E25" s="97" t="inlineStr">
        <is>
          <t>Manutenção de Veiculos e Estacionamento</t>
        </is>
      </c>
      <c r="G25" s="97" t="inlineStr">
        <is>
          <t>Combustíveis</t>
        </is>
      </c>
    </row>
    <row r="26" ht="15" customHeight="1" s="86">
      <c r="E26" s="97" t="inlineStr">
        <is>
          <t>Compra de Computadores e Eletrônicos</t>
        </is>
      </c>
      <c r="G26" s="97" t="inlineStr">
        <is>
          <t>Manutenção de Máquinas e Peças</t>
        </is>
      </c>
    </row>
    <row r="27" ht="15" customHeight="1" s="86">
      <c r="E27" s="97" t="inlineStr">
        <is>
          <t>Exame Adminissional/Demissional</t>
        </is>
      </c>
      <c r="G27" s="97" t="inlineStr">
        <is>
          <t>Alimentação</t>
        </is>
      </c>
    </row>
    <row r="28" ht="15" customHeight="1" s="86">
      <c r="E28" s="97" t="inlineStr">
        <is>
          <t>Vale Transporte</t>
        </is>
      </c>
      <c r="G28" s="97" t="inlineStr">
        <is>
          <t>Manutenção de Veiculos e Estacionamento</t>
        </is>
      </c>
    </row>
    <row r="29" ht="15" customHeight="1" s="86">
      <c r="E29" s="97" t="inlineStr">
        <is>
          <t>Publicidade</t>
        </is>
      </c>
      <c r="G29" s="97" t="inlineStr">
        <is>
          <t>Compra de Computadores e Eletrônicos</t>
        </is>
      </c>
    </row>
    <row r="30" ht="15" customHeight="1" s="86">
      <c r="E30" s="97" t="inlineStr">
        <is>
          <t>Salário e Ordenados</t>
        </is>
      </c>
      <c r="G30" s="97" t="inlineStr">
        <is>
          <t>Exame Adminissional/Demissional</t>
        </is>
      </c>
    </row>
    <row r="31" ht="15" customHeight="1" s="86">
      <c r="E31" s="97" t="inlineStr">
        <is>
          <t>Aluguéis e Condomínios</t>
        </is>
      </c>
      <c r="G31" s="97" t="inlineStr">
        <is>
          <t>Vale Transporte</t>
        </is>
      </c>
    </row>
    <row r="32" ht="15" customHeight="1" s="86">
      <c r="E32" s="97" t="inlineStr">
        <is>
          <t>Despesa com Sindicatos</t>
        </is>
      </c>
      <c r="G32" s="97" t="inlineStr">
        <is>
          <t>Publicidade</t>
        </is>
      </c>
    </row>
    <row r="33" ht="15" customHeight="1" s="86">
      <c r="E33" s="97" t="inlineStr">
        <is>
          <t>Web Site e Sistema ERP</t>
        </is>
      </c>
      <c r="G33" s="97" t="inlineStr">
        <is>
          <t>Salário e Ordenados</t>
        </is>
      </c>
    </row>
    <row r="34" ht="15" customHeight="1" s="86">
      <c r="E34" s="97" t="inlineStr">
        <is>
          <t>Ipva</t>
        </is>
      </c>
      <c r="G34" s="97" t="inlineStr">
        <is>
          <t>Aluguéis e Condomínios</t>
        </is>
      </c>
    </row>
    <row r="35" ht="15" customHeight="1" s="86">
      <c r="E35" s="97" t="inlineStr">
        <is>
          <t>Patrocínio</t>
        </is>
      </c>
      <c r="G35" s="97" t="inlineStr">
        <is>
          <t>Despesa com Sindicatos</t>
        </is>
      </c>
    </row>
    <row r="36" ht="15" customHeight="1" s="86">
      <c r="E36" s="97" t="inlineStr">
        <is>
          <t>Material de Copa e Cozinha</t>
        </is>
      </c>
      <c r="G36" s="97" t="inlineStr">
        <is>
          <t>Web Site e Sistema ERP</t>
        </is>
      </c>
    </row>
    <row r="37" ht="15" customHeight="1" s="86">
      <c r="E37" s="97" t="inlineStr">
        <is>
          <t>Empréstimos</t>
        </is>
      </c>
      <c r="G37" s="97" t="inlineStr">
        <is>
          <t>Ipva</t>
        </is>
      </c>
    </row>
    <row r="38" ht="15" customHeight="1" s="86">
      <c r="E38" s="97" t="inlineStr">
        <is>
          <t>Vales e Adiantamentos</t>
        </is>
      </c>
      <c r="G38" s="97" t="inlineStr">
        <is>
          <t>Patrocínio</t>
        </is>
      </c>
    </row>
    <row r="39" ht="15" customHeight="1" s="86">
      <c r="E39" s="97" t="inlineStr">
        <is>
          <t>Consulta de Crédito Cliente</t>
        </is>
      </c>
      <c r="G39" s="97" t="inlineStr">
        <is>
          <t>Material de Copa e Cozinha</t>
        </is>
      </c>
    </row>
    <row r="40" ht="15" customHeight="1" s="86">
      <c r="E40" s="97" t="inlineStr">
        <is>
          <t>Frete e Transporte de Mercadorias</t>
        </is>
      </c>
      <c r="G40" s="97" t="inlineStr">
        <is>
          <t>Empréstimos</t>
        </is>
      </c>
    </row>
    <row r="41" ht="15" customHeight="1" s="86">
      <c r="E41" s="97" t="inlineStr">
        <is>
          <t>Segurança e Monitoramento</t>
        </is>
      </c>
      <c r="G41" s="97" t="inlineStr">
        <is>
          <t>Vales e Adiantamentos</t>
        </is>
      </c>
    </row>
    <row r="42" ht="15" customHeight="1" s="86">
      <c r="E42" s="97" t="inlineStr">
        <is>
          <t>Títulos de Capitalização</t>
        </is>
      </c>
      <c r="G42" s="97" t="inlineStr">
        <is>
          <t>Consulta de Crédito Cliente</t>
        </is>
      </c>
    </row>
    <row r="43" ht="15" customHeight="1" s="86">
      <c r="E43" s="97" t="inlineStr">
        <is>
          <t>Seguros</t>
        </is>
      </c>
      <c r="G43" s="97" t="inlineStr">
        <is>
          <t>Frete e Transporte de Mercadorias</t>
        </is>
      </c>
    </row>
    <row r="44" ht="15" customHeight="1" s="86">
      <c r="E44" s="97" t="inlineStr">
        <is>
          <t>Telefonia Fixa e Internet</t>
        </is>
      </c>
      <c r="G44" s="97" t="inlineStr">
        <is>
          <t>Segurança e Monitoramento</t>
        </is>
      </c>
    </row>
    <row r="45" ht="15" customHeight="1" s="86">
      <c r="E45" s="97" t="inlineStr">
        <is>
          <t>Compra de Veículos</t>
        </is>
      </c>
      <c r="G45" s="97" t="inlineStr">
        <is>
          <t>Títulos de Capitalização</t>
        </is>
      </c>
    </row>
    <row r="46" ht="15" customHeight="1" s="86">
      <c r="E46" s="97" t="inlineStr">
        <is>
          <t>Material de Limpeza e Higiene</t>
        </is>
      </c>
      <c r="G46" s="97" t="inlineStr">
        <is>
          <t>Seguros</t>
        </is>
      </c>
    </row>
    <row r="47" ht="15" customHeight="1" s="86">
      <c r="E47" s="97" t="inlineStr">
        <is>
          <t>Energia Elétrica</t>
        </is>
      </c>
      <c r="G47" s="97" t="inlineStr">
        <is>
          <t>Telefonia Fixa e Internet</t>
        </is>
      </c>
    </row>
    <row r="48" ht="15" customHeight="1" s="86">
      <c r="E48" s="97" t="inlineStr">
        <is>
          <t>Água</t>
        </is>
      </c>
      <c r="G48" s="97" t="inlineStr">
        <is>
          <t>Compra de Veículos</t>
        </is>
      </c>
    </row>
    <row r="49" ht="15" customHeight="1" s="86">
      <c r="E49" s="97" t="inlineStr">
        <is>
          <t>Juros de Empréstimos</t>
        </is>
      </c>
      <c r="G49" s="97" t="inlineStr">
        <is>
          <t>Material de Limpeza e Higiene</t>
        </is>
      </c>
    </row>
    <row r="50" ht="15" customHeight="1" s="86">
      <c r="E50" s="97" t="inlineStr">
        <is>
          <t>Acertos e Recisões</t>
        </is>
      </c>
      <c r="G50" s="97" t="inlineStr">
        <is>
          <t>Energia Elétrica</t>
        </is>
      </c>
    </row>
    <row r="51" ht="15" customHeight="1" s="86">
      <c r="E51" s="97" t="inlineStr">
        <is>
          <t>Premiações e Abonos</t>
        </is>
      </c>
      <c r="G51" s="97" t="inlineStr">
        <is>
          <t>Água</t>
        </is>
      </c>
    </row>
    <row r="52" ht="15" customHeight="1" s="86">
      <c r="E52" s="97" t="inlineStr">
        <is>
          <t>Despesa não Identificada</t>
        </is>
      </c>
      <c r="G52" s="97" t="inlineStr">
        <is>
          <t>Juros de Empréstimos</t>
        </is>
      </c>
    </row>
    <row r="53" ht="15" customHeight="1" s="86">
      <c r="E53" s="97" t="inlineStr">
        <is>
          <t>Material de Escritório</t>
        </is>
      </c>
      <c r="G53" s="97" t="inlineStr">
        <is>
          <t>Acertos e Recisões</t>
        </is>
      </c>
    </row>
    <row r="54" ht="15" customHeight="1" s="86">
      <c r="E54" s="97" t="inlineStr">
        <is>
          <t>Despesas com Documentos e Xerox</t>
        </is>
      </c>
      <c r="G54" s="97" t="inlineStr">
        <is>
          <t>Premiações e Abonos</t>
        </is>
      </c>
    </row>
    <row r="55" ht="15" customHeight="1" s="86">
      <c r="E55" s="97" t="inlineStr">
        <is>
          <t>Honorários Contábeis (Contabilidade)</t>
        </is>
      </c>
      <c r="G55" s="97" t="inlineStr">
        <is>
          <t>Despesa não Identificada</t>
        </is>
      </c>
    </row>
    <row r="56" ht="15" customHeight="1" s="86">
      <c r="E56" s="97" t="inlineStr">
        <is>
          <t>Tarifas e Custos de Op. Bancárias</t>
        </is>
      </c>
      <c r="G56" s="97" t="inlineStr">
        <is>
          <t>Material de Escritório</t>
        </is>
      </c>
    </row>
    <row r="57" ht="15" customHeight="1" s="86">
      <c r="E57" s="97" t="inlineStr">
        <is>
          <t>Telefonia Móvel</t>
        </is>
      </c>
      <c r="G57" s="97" t="inlineStr">
        <is>
          <t>Despesas com Documentos e Xerox</t>
        </is>
      </c>
    </row>
    <row r="58" ht="15" customHeight="1" s="86">
      <c r="E58" s="97" t="inlineStr">
        <is>
          <t>Viagens e estadas</t>
        </is>
      </c>
      <c r="G58" s="97" t="inlineStr">
        <is>
          <t>Honorários Contábeis (Contabilidade)</t>
        </is>
      </c>
    </row>
    <row r="59" ht="15" customHeight="1" s="86">
      <c r="E59" s="97" t="inlineStr">
        <is>
          <t>Multas e Juros por Atraso</t>
        </is>
      </c>
      <c r="G59" s="97" t="inlineStr">
        <is>
          <t>Tarifas e Custos de Op. Bancárias</t>
        </is>
      </c>
    </row>
    <row r="60" ht="15" customHeight="1" s="86">
      <c r="E60" s="97" t="inlineStr">
        <is>
          <t>Assessoria Técnica Profissional</t>
        </is>
      </c>
      <c r="G60" s="97" t="inlineStr">
        <is>
          <t>Telefonia Móvel</t>
        </is>
      </c>
    </row>
    <row r="61" ht="15" customHeight="1" s="86">
      <c r="E61" s="97" t="inlineStr">
        <is>
          <t>Outros Tributos</t>
        </is>
      </c>
      <c r="G61" s="97" t="inlineStr">
        <is>
          <t>Viagens e estadas</t>
        </is>
      </c>
    </row>
    <row r="62" ht="15" customHeight="1" s="86">
      <c r="E62" s="97" t="inlineStr">
        <is>
          <t>Multas</t>
        </is>
      </c>
      <c r="G62" s="97" t="inlineStr">
        <is>
          <t>Multas e Juros por Atraso</t>
        </is>
      </c>
    </row>
    <row r="63" ht="15" customHeight="1" s="86">
      <c r="E63" s="97" t="inlineStr">
        <is>
          <t>Advogados - Honorários</t>
        </is>
      </c>
      <c r="G63" s="97" t="inlineStr">
        <is>
          <t>Assessoria Técnica Profissional</t>
        </is>
      </c>
    </row>
    <row r="64" ht="15" customHeight="1" s="86">
      <c r="E64" s="97" t="inlineStr">
        <is>
          <t>Fgts, Gps e Pis</t>
        </is>
      </c>
      <c r="G64" s="97" t="inlineStr">
        <is>
          <t>Outros Tributos</t>
        </is>
      </c>
    </row>
    <row r="65" ht="15" customHeight="1" s="86">
      <c r="E65" s="97" t="inlineStr">
        <is>
          <t>Retiradas de Sócios</t>
        </is>
      </c>
      <c r="G65" s="97" t="inlineStr">
        <is>
          <t>Multas</t>
        </is>
      </c>
    </row>
    <row r="66" ht="15" customHeight="1" s="86">
      <c r="E66" s="97" t="inlineStr">
        <is>
          <t>Férias</t>
        </is>
      </c>
      <c r="G66" s="97" t="inlineStr">
        <is>
          <t>Advogados - Honorários</t>
        </is>
      </c>
    </row>
    <row r="67" ht="15" customHeight="1" s="86">
      <c r="E67" s="97" t="inlineStr">
        <is>
          <t>Produção Externa</t>
        </is>
      </c>
      <c r="G67" s="97" t="inlineStr">
        <is>
          <t>Fgts, Gps e Pis</t>
        </is>
      </c>
    </row>
    <row r="68" ht="15" customHeight="1" s="86">
      <c r="E68" s="97" t="inlineStr">
        <is>
          <t>Consórcio</t>
        </is>
      </c>
      <c r="G68" s="97" t="inlineStr">
        <is>
          <t>Retiradas de Sócios</t>
        </is>
      </c>
    </row>
    <row r="69" ht="15" customHeight="1" s="86">
      <c r="E69" s="97" t="inlineStr">
        <is>
          <t>Manutenção de Imóveis</t>
        </is>
      </c>
      <c r="G69" s="97" t="inlineStr">
        <is>
          <t>Férias</t>
        </is>
      </c>
    </row>
    <row r="70" ht="15" customHeight="1" s="86">
      <c r="E70" s="97" t="inlineStr">
        <is>
          <t>Uniforme e EPIs</t>
        </is>
      </c>
      <c r="G70" s="97" t="inlineStr">
        <is>
          <t>Produção Externa</t>
        </is>
      </c>
    </row>
    <row r="71" ht="15" customHeight="1" s="86">
      <c r="E71" s="97" t="inlineStr">
        <is>
          <t>Manutenção de Moveis e Utensílios</t>
        </is>
      </c>
      <c r="G71" s="97" t="inlineStr">
        <is>
          <t>Consórcio</t>
        </is>
      </c>
    </row>
    <row r="72" ht="15" customHeight="1" s="86">
      <c r="E72" s="97" t="inlineStr">
        <is>
          <t>Coquetéis, festas e outros eventos</t>
        </is>
      </c>
      <c r="G72" s="97" t="inlineStr">
        <is>
          <t>Manutenção de Imóveis</t>
        </is>
      </c>
    </row>
    <row r="73" ht="15" customHeight="1" s="86">
      <c r="E73" s="97" t="inlineStr">
        <is>
          <t>Gasto com Reforma</t>
        </is>
      </c>
      <c r="G73" s="97" t="inlineStr">
        <is>
          <t>Uniforme e EPIs</t>
        </is>
      </c>
    </row>
    <row r="74" ht="15" customHeight="1" s="86">
      <c r="E74" s="97" t="inlineStr">
        <is>
          <t>Tráfego/Social Mídia</t>
        </is>
      </c>
      <c r="G74" s="97" t="inlineStr">
        <is>
          <t>Manutenção de Moveis e Utensílios</t>
        </is>
      </c>
    </row>
    <row r="75" ht="15" customHeight="1" s="86">
      <c r="E75" s="97" t="inlineStr">
        <is>
          <t>Suspenso (a classificar)</t>
        </is>
      </c>
      <c r="G75" s="97" t="inlineStr">
        <is>
          <t>Coquetéis, festas e outros eventos</t>
        </is>
      </c>
    </row>
    <row r="76" ht="15" customHeight="1" s="86">
      <c r="E76" s="97" t="inlineStr">
        <is>
          <t>Outras Despesas</t>
        </is>
      </c>
      <c r="G76" s="97" t="inlineStr">
        <is>
          <t>Gasto com Reforma</t>
        </is>
      </c>
    </row>
    <row r="77" ht="15" customHeight="1" s="86">
      <c r="G77" s="97" t="inlineStr">
        <is>
          <t>Tráfego/Social Mídia</t>
        </is>
      </c>
    </row>
    <row r="78" ht="15" customHeight="1" s="86">
      <c r="G78" s="97" t="inlineStr">
        <is>
          <t>Suspenso (a classificar)</t>
        </is>
      </c>
    </row>
    <row r="79" ht="15" customHeight="1" s="86">
      <c r="G79" s="97" t="inlineStr">
        <is>
          <t>Outras Despesas</t>
        </is>
      </c>
    </row>
  </sheetData>
  <mergeCells count="1">
    <mergeCell ref="B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H10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85" min="1" max="1"/>
    <col width="12" customWidth="1" style="85" min="2" max="2"/>
    <col width="34" customWidth="1" style="85" min="3" max="3"/>
    <col width="14" customWidth="1" style="85" min="4" max="4"/>
    <col width="26" customWidth="1" style="85" min="5" max="5"/>
    <col width="16" customWidth="1" style="85" min="6" max="6"/>
    <col width="12" customWidth="1" style="85" min="7" max="7"/>
    <col width="16" customWidth="1" style="86" min="8" max="8"/>
  </cols>
  <sheetData>
    <row r="2" ht="19.5" customHeight="1" s="86">
      <c r="B2" s="99" t="inlineStr">
        <is>
          <t>Lançamentos DRE</t>
        </is>
      </c>
    </row>
    <row r="3" ht="15" customHeight="1" s="86">
      <c r="B3" s="100" t="inlineStr">
        <is>
          <t>Regime de COMPETÊNCIA (data de vencimento)</t>
        </is>
      </c>
    </row>
    <row r="5" ht="15" customHeight="1" s="86">
      <c r="B5" s="94" t="inlineStr">
        <is>
          <t>Data</t>
        </is>
      </c>
      <c r="C5" s="94" t="inlineStr">
        <is>
          <t>Descrição</t>
        </is>
      </c>
      <c r="D5" s="94" t="inlineStr">
        <is>
          <t>Tipo</t>
        </is>
      </c>
      <c r="E5" s="94" t="inlineStr">
        <is>
          <t>Categoria</t>
        </is>
      </c>
      <c r="F5" s="94" t="inlineStr">
        <is>
          <t>Valor (R$)</t>
        </is>
      </c>
      <c r="G5" s="94" t="inlineStr">
        <is>
          <t>Mês</t>
        </is>
      </c>
      <c r="H5" s="178" t="inlineStr">
        <is>
          <t>Centro de Custo</t>
        </is>
      </c>
    </row>
    <row r="6" ht="15" customHeight="1" s="86">
      <c r="B6" s="101" t="n">
        <v>45536</v>
      </c>
      <c r="C6" s="102" t="inlineStr">
        <is>
          <t>Tarifas e Custos de Op. Bancárias - 09/2024</t>
        </is>
      </c>
      <c r="D6" s="102" t="inlineStr">
        <is>
          <t>Saída</t>
        </is>
      </c>
      <c r="E6" s="102" t="inlineStr">
        <is>
          <t>Tarifas e Custos de Op. Bancárias</t>
        </is>
      </c>
      <c r="F6" s="103" t="n">
        <v>13783</v>
      </c>
      <c r="G6" s="104" t="inlineStr">
        <is>
          <t>09/2024</t>
        </is>
      </c>
      <c r="H6" s="104" t="inlineStr">
        <is>
          <t>CODI</t>
        </is>
      </c>
    </row>
    <row r="7" ht="15" customHeight="1" s="86">
      <c r="B7" s="101" t="n">
        <v>45536</v>
      </c>
      <c r="C7" s="102" t="inlineStr">
        <is>
          <t>Aluguéis e Condomínios - 09/2024</t>
        </is>
      </c>
      <c r="D7" s="102" t="inlineStr">
        <is>
          <t>Saída</t>
        </is>
      </c>
      <c r="E7" s="102" t="inlineStr">
        <is>
          <t>Aluguéis e Condomínios</t>
        </is>
      </c>
      <c r="F7" s="103" t="n">
        <v>3885</v>
      </c>
      <c r="G7" s="104" t="inlineStr">
        <is>
          <t>09/2024</t>
        </is>
      </c>
      <c r="H7" s="104" t="inlineStr">
        <is>
          <t>CODI</t>
        </is>
      </c>
    </row>
    <row r="8" ht="15" customHeight="1" s="86">
      <c r="B8" s="101" t="n">
        <v>45597</v>
      </c>
      <c r="C8" s="102" t="inlineStr">
        <is>
          <t>Tarifas e Custos de Op. Bancárias - 11/2024</t>
        </is>
      </c>
      <c r="D8" s="102" t="inlineStr">
        <is>
          <t>Saída</t>
        </is>
      </c>
      <c r="E8" s="102" t="inlineStr">
        <is>
          <t>Tarifas e Custos de Op. Bancárias</t>
        </is>
      </c>
      <c r="F8" s="103" t="n">
        <v>17592</v>
      </c>
      <c r="G8" s="104" t="inlineStr">
        <is>
          <t>11/2024</t>
        </is>
      </c>
      <c r="H8" s="104" t="inlineStr">
        <is>
          <t>CODI</t>
        </is>
      </c>
    </row>
    <row r="9" ht="15" customHeight="1" s="86">
      <c r="B9" s="101" t="n">
        <v>45627</v>
      </c>
      <c r="C9" s="102" t="inlineStr">
        <is>
          <t>Tarifas e Custos de Op. Bancárias - 12/2024</t>
        </is>
      </c>
      <c r="D9" s="102" t="inlineStr">
        <is>
          <t>Saída</t>
        </is>
      </c>
      <c r="E9" s="102" t="inlineStr">
        <is>
          <t>Tarifas e Custos de Op. Bancárias</t>
        </is>
      </c>
      <c r="F9" s="103" t="n">
        <v>20252</v>
      </c>
      <c r="G9" s="104" t="inlineStr">
        <is>
          <t>12/2024</t>
        </is>
      </c>
      <c r="H9" s="104" t="inlineStr">
        <is>
          <t>CODI</t>
        </is>
      </c>
    </row>
    <row r="10" ht="15" customHeight="1" s="86">
      <c r="B10" s="101" t="n">
        <v>45627</v>
      </c>
      <c r="C10" s="102" t="inlineStr">
        <is>
          <t>Salário e Ordenados - 12/2024</t>
        </is>
      </c>
      <c r="D10" s="102" t="inlineStr">
        <is>
          <t>Saída</t>
        </is>
      </c>
      <c r="E10" s="102" t="inlineStr">
        <is>
          <t>Salário e Ordenados</t>
        </is>
      </c>
      <c r="F10" s="103" t="n">
        <v>5000</v>
      </c>
      <c r="G10" s="104" t="inlineStr">
        <is>
          <t>12/2024</t>
        </is>
      </c>
      <c r="H10" s="104" t="inlineStr">
        <is>
          <t>CODI</t>
        </is>
      </c>
    </row>
    <row r="11" ht="15" customHeight="1" s="86">
      <c r="B11" s="101" t="n">
        <v>45627</v>
      </c>
      <c r="C11" s="102" t="inlineStr">
        <is>
          <t>Vales e Adiantamentos - 12/2024</t>
        </is>
      </c>
      <c r="D11" s="102" t="inlineStr">
        <is>
          <t>Saída</t>
        </is>
      </c>
      <c r="E11" s="102" t="inlineStr">
        <is>
          <t>Vales e Adiantamentos</t>
        </is>
      </c>
      <c r="F11" s="103" t="n">
        <v>300</v>
      </c>
      <c r="G11" s="104" t="inlineStr">
        <is>
          <t>12/2024</t>
        </is>
      </c>
      <c r="H11" s="104" t="inlineStr">
        <is>
          <t>CODI</t>
        </is>
      </c>
    </row>
    <row r="12" ht="15" customHeight="1" s="86">
      <c r="B12" s="101" t="n">
        <v>45658</v>
      </c>
      <c r="C12" s="102" t="inlineStr">
        <is>
          <t>Vendas - 01/2025</t>
        </is>
      </c>
      <c r="D12" s="102" t="inlineStr">
        <is>
          <t>Entrada</t>
        </is>
      </c>
      <c r="E12" s="102" t="inlineStr">
        <is>
          <t>Vendas</t>
        </is>
      </c>
      <c r="F12" s="103" t="n">
        <v>121549.92</v>
      </c>
      <c r="G12" s="104" t="inlineStr">
        <is>
          <t>01/2025</t>
        </is>
      </c>
      <c r="H12" s="104" t="inlineStr">
        <is>
          <t>CODI</t>
        </is>
      </c>
    </row>
    <row r="13" ht="15" customHeight="1" s="86">
      <c r="B13" s="101" t="n">
        <v>45658</v>
      </c>
      <c r="C13" s="102" t="inlineStr">
        <is>
          <t>Aluguéis e Condomínios - 01/2025</t>
        </is>
      </c>
      <c r="D13" s="102" t="inlineStr">
        <is>
          <t>Saída</t>
        </is>
      </c>
      <c r="E13" s="102" t="inlineStr">
        <is>
          <t>Aluguéis e Condomínios</t>
        </is>
      </c>
      <c r="F13" s="103" t="n">
        <v>5263</v>
      </c>
      <c r="G13" s="104" t="inlineStr">
        <is>
          <t>01/2025</t>
        </is>
      </c>
      <c r="H13" s="104" t="inlineStr">
        <is>
          <t>CODI</t>
        </is>
      </c>
    </row>
    <row r="14" ht="15" customHeight="1" s="86">
      <c r="B14" s="101" t="n">
        <v>45658</v>
      </c>
      <c r="C14" s="102" t="inlineStr">
        <is>
          <t>Salário e Ordenados - 01/2025</t>
        </is>
      </c>
      <c r="D14" s="102" t="inlineStr">
        <is>
          <t>Saída</t>
        </is>
      </c>
      <c r="E14" s="102" t="inlineStr">
        <is>
          <t>Salário e Ordenados</t>
        </is>
      </c>
      <c r="F14" s="103" t="n">
        <v>23868.1</v>
      </c>
      <c r="G14" s="104" t="inlineStr">
        <is>
          <t>01/2025</t>
        </is>
      </c>
      <c r="H14" s="104" t="inlineStr">
        <is>
          <t>CODI</t>
        </is>
      </c>
    </row>
    <row r="15" ht="15" customHeight="1" s="86">
      <c r="B15" s="101" t="n">
        <v>45658</v>
      </c>
      <c r="C15" s="102" t="inlineStr">
        <is>
          <t>Férias - 01/2025</t>
        </is>
      </c>
      <c r="D15" s="102" t="inlineStr">
        <is>
          <t>Saída</t>
        </is>
      </c>
      <c r="E15" s="102" t="inlineStr">
        <is>
          <t>Férias</t>
        </is>
      </c>
      <c r="F15" s="103" t="n">
        <v>7473.57</v>
      </c>
      <c r="G15" s="104" t="inlineStr">
        <is>
          <t>01/2025</t>
        </is>
      </c>
      <c r="H15" s="104" t="inlineStr">
        <is>
          <t>CODI</t>
        </is>
      </c>
    </row>
    <row r="16" ht="15" customHeight="1" s="86">
      <c r="B16" s="101" t="n">
        <v>45658</v>
      </c>
      <c r="C16" s="102" t="inlineStr">
        <is>
          <t>Material de Limpeza e Higiene - 01/2025</t>
        </is>
      </c>
      <c r="D16" s="102" t="inlineStr">
        <is>
          <t>Saída</t>
        </is>
      </c>
      <c r="E16" s="102" t="inlineStr">
        <is>
          <t>Material de Limpeza e Higiene</t>
        </is>
      </c>
      <c r="F16" s="103" t="n">
        <v>383</v>
      </c>
      <c r="G16" s="104" t="inlineStr">
        <is>
          <t>01/2025</t>
        </is>
      </c>
      <c r="H16" s="104" t="inlineStr">
        <is>
          <t>CODI</t>
        </is>
      </c>
    </row>
    <row r="17" ht="15" customHeight="1" s="86">
      <c r="B17" s="101" t="n">
        <v>45658</v>
      </c>
      <c r="C17" s="102" t="inlineStr">
        <is>
          <t>Acertos e Recisões - 01/2025</t>
        </is>
      </c>
      <c r="D17" s="102" t="inlineStr">
        <is>
          <t>Saída</t>
        </is>
      </c>
      <c r="E17" s="102" t="inlineStr">
        <is>
          <t>Acertos e Recisões</t>
        </is>
      </c>
      <c r="F17" s="103" t="n">
        <v>760.38</v>
      </c>
      <c r="G17" s="104" t="inlineStr">
        <is>
          <t>01/2025</t>
        </is>
      </c>
      <c r="H17" s="104" t="inlineStr">
        <is>
          <t>CODI</t>
        </is>
      </c>
    </row>
    <row r="18" ht="15" customHeight="1" s="86">
      <c r="B18" s="101" t="n">
        <v>45658</v>
      </c>
      <c r="C18" s="102" t="inlineStr">
        <is>
          <t>Frete e Transporte de Mercadorias - 01/2025</t>
        </is>
      </c>
      <c r="D18" s="102" t="inlineStr">
        <is>
          <t>Saída</t>
        </is>
      </c>
      <c r="E18" s="102" t="inlineStr">
        <is>
          <t>Frete e Transporte de Mercadorias</t>
        </is>
      </c>
      <c r="F18" s="103" t="n">
        <v>3266.32</v>
      </c>
      <c r="G18" s="104" t="inlineStr">
        <is>
          <t>01/2025</t>
        </is>
      </c>
      <c r="H18" s="104" t="inlineStr">
        <is>
          <t>CODI</t>
        </is>
      </c>
    </row>
    <row r="19" ht="15" customHeight="1" s="86">
      <c r="B19" s="101" t="n">
        <v>45658</v>
      </c>
      <c r="C19" s="102" t="inlineStr">
        <is>
          <t>Seguros - 01/2025</t>
        </is>
      </c>
      <c r="D19" s="102" t="inlineStr">
        <is>
          <t>Saída</t>
        </is>
      </c>
      <c r="E19" s="102" t="inlineStr">
        <is>
          <t>Seguros</t>
        </is>
      </c>
      <c r="F19" s="103" t="n">
        <v>428.66</v>
      </c>
      <c r="G19" s="104" t="inlineStr">
        <is>
          <t>01/2025</t>
        </is>
      </c>
      <c r="H19" s="104" t="inlineStr">
        <is>
          <t>CODI</t>
        </is>
      </c>
    </row>
    <row r="20" ht="15" customHeight="1" s="86">
      <c r="B20" s="101" t="n">
        <v>45658</v>
      </c>
      <c r="C20" s="102" t="inlineStr">
        <is>
          <t>Segurança e Monitoramento - 01/2025</t>
        </is>
      </c>
      <c r="D20" s="102" t="inlineStr">
        <is>
          <t>Saída</t>
        </is>
      </c>
      <c r="E20" s="102" t="inlineStr">
        <is>
          <t>Segurança e Monitoramento</t>
        </is>
      </c>
      <c r="F20" s="103" t="n">
        <v>140</v>
      </c>
      <c r="G20" s="104" t="inlineStr">
        <is>
          <t>01/2025</t>
        </is>
      </c>
      <c r="H20" s="104" t="inlineStr">
        <is>
          <t>CODI</t>
        </is>
      </c>
    </row>
    <row r="21" ht="15" customHeight="1" s="86">
      <c r="B21" s="101" t="n">
        <v>45658</v>
      </c>
      <c r="C21" s="102" t="inlineStr">
        <is>
          <t>Vale Transporte - 01/2025</t>
        </is>
      </c>
      <c r="D21" s="102" t="inlineStr">
        <is>
          <t>Saída</t>
        </is>
      </c>
      <c r="E21" s="102" t="inlineStr">
        <is>
          <t>Vale Transporte</t>
        </is>
      </c>
      <c r="F21" s="103" t="n">
        <v>2380</v>
      </c>
      <c r="G21" s="104" t="inlineStr">
        <is>
          <t>01/2025</t>
        </is>
      </c>
      <c r="H21" s="104" t="inlineStr">
        <is>
          <t>CODI</t>
        </is>
      </c>
    </row>
    <row r="22" ht="15" customHeight="1" s="86">
      <c r="B22" s="101" t="n">
        <v>45658</v>
      </c>
      <c r="C22" s="102" t="inlineStr">
        <is>
          <t>Publicidade - 01/2025</t>
        </is>
      </c>
      <c r="D22" s="102" t="inlineStr">
        <is>
          <t>Saída</t>
        </is>
      </c>
      <c r="E22" s="102" t="inlineStr">
        <is>
          <t>Publicidade</t>
        </is>
      </c>
      <c r="F22" s="103" t="n">
        <v>3930</v>
      </c>
      <c r="G22" s="104" t="inlineStr">
        <is>
          <t>01/2025</t>
        </is>
      </c>
      <c r="H22" s="104" t="inlineStr">
        <is>
          <t>CODI</t>
        </is>
      </c>
    </row>
    <row r="23" ht="15" customHeight="1" s="86">
      <c r="B23" s="101" t="n">
        <v>45658</v>
      </c>
      <c r="C23" s="102" t="inlineStr">
        <is>
          <t>Energia Elétrica - 01/2025</t>
        </is>
      </c>
      <c r="D23" s="102" t="inlineStr">
        <is>
          <t>Saída</t>
        </is>
      </c>
      <c r="E23" s="102" t="inlineStr">
        <is>
          <t>Energia Elétrica</t>
        </is>
      </c>
      <c r="F23" s="103" t="n">
        <v>124.84</v>
      </c>
      <c r="G23" s="104" t="inlineStr">
        <is>
          <t>01/2025</t>
        </is>
      </c>
      <c r="H23" s="104" t="inlineStr">
        <is>
          <t>CODI</t>
        </is>
      </c>
    </row>
    <row r="24" ht="15" customHeight="1" s="86">
      <c r="B24" s="101" t="n">
        <v>45658</v>
      </c>
      <c r="C24" s="102" t="inlineStr">
        <is>
          <t>Água - 01/2025</t>
        </is>
      </c>
      <c r="D24" s="102" t="inlineStr">
        <is>
          <t>Saída</t>
        </is>
      </c>
      <c r="E24" s="102" t="inlineStr">
        <is>
          <t>Água</t>
        </is>
      </c>
      <c r="F24" s="103" t="n">
        <v>224.36</v>
      </c>
      <c r="G24" s="104" t="inlineStr">
        <is>
          <t>01/2025</t>
        </is>
      </c>
      <c r="H24" s="104" t="inlineStr">
        <is>
          <t>CODI</t>
        </is>
      </c>
    </row>
    <row r="25" ht="15" customHeight="1" s="86">
      <c r="B25" s="101" t="n">
        <v>45658</v>
      </c>
      <c r="C25" s="102" t="inlineStr">
        <is>
          <t>Exame Adminissional/Demissional - 01/2025</t>
        </is>
      </c>
      <c r="D25" s="102" t="inlineStr">
        <is>
          <t>Saída</t>
        </is>
      </c>
      <c r="E25" s="102" t="inlineStr">
        <is>
          <t>Exame Adminissional/Demissional</t>
        </is>
      </c>
      <c r="F25" s="103" t="n">
        <v>20</v>
      </c>
      <c r="G25" s="104" t="inlineStr">
        <is>
          <t>01/2025</t>
        </is>
      </c>
      <c r="H25" s="104" t="inlineStr">
        <is>
          <t>CODI</t>
        </is>
      </c>
    </row>
    <row r="26" ht="15" customHeight="1" s="86">
      <c r="B26" s="101" t="n">
        <v>45658</v>
      </c>
      <c r="C26" s="102" t="inlineStr">
        <is>
          <t>Custo de Mercadoria Vendida - 01/2025</t>
        </is>
      </c>
      <c r="D26" s="102" t="inlineStr">
        <is>
          <t>Saída</t>
        </is>
      </c>
      <c r="E26" s="102" t="inlineStr">
        <is>
          <t>Custo de Mercadoria Vendida</t>
        </is>
      </c>
      <c r="F26" s="103" t="n">
        <v>137102.37</v>
      </c>
      <c r="G26" s="104" t="inlineStr">
        <is>
          <t>01/2025</t>
        </is>
      </c>
      <c r="H26" s="104" t="inlineStr">
        <is>
          <t>CODI</t>
        </is>
      </c>
    </row>
    <row r="27" ht="15" customHeight="1" s="86">
      <c r="B27" s="101" t="n">
        <v>45689</v>
      </c>
      <c r="C27" s="102" t="inlineStr">
        <is>
          <t>Vendas - 02/2025</t>
        </is>
      </c>
      <c r="D27" s="102" t="inlineStr">
        <is>
          <t>Entrada</t>
        </is>
      </c>
      <c r="E27" s="102" t="inlineStr">
        <is>
          <t>Vendas</t>
        </is>
      </c>
      <c r="F27" s="103" t="n">
        <v>250599.51</v>
      </c>
      <c r="G27" s="104" t="inlineStr">
        <is>
          <t>02/2025</t>
        </is>
      </c>
      <c r="H27" s="104" t="inlineStr">
        <is>
          <t>CODI</t>
        </is>
      </c>
    </row>
    <row r="28" ht="15" customHeight="1" s="86">
      <c r="B28" s="101" t="n">
        <v>45689</v>
      </c>
      <c r="C28" s="102" t="inlineStr">
        <is>
          <t>Aluguéis e Condomínios - 02/2025</t>
        </is>
      </c>
      <c r="D28" s="102" t="inlineStr">
        <is>
          <t>Saída</t>
        </is>
      </c>
      <c r="E28" s="102" t="inlineStr">
        <is>
          <t>Aluguéis e Condomínios</t>
        </is>
      </c>
      <c r="F28" s="103" t="n">
        <v>5275.93</v>
      </c>
      <c r="G28" s="104" t="inlineStr">
        <is>
          <t>02/2025</t>
        </is>
      </c>
      <c r="H28" s="104" t="inlineStr">
        <is>
          <t>CODI</t>
        </is>
      </c>
    </row>
    <row r="29" ht="15" customHeight="1" s="86">
      <c r="B29" s="101" t="n">
        <v>45689</v>
      </c>
      <c r="C29" s="102" t="inlineStr">
        <is>
          <t>Salário e Ordenados - 02/2025</t>
        </is>
      </c>
      <c r="D29" s="102" t="inlineStr">
        <is>
          <t>Saída</t>
        </is>
      </c>
      <c r="E29" s="102" t="inlineStr">
        <is>
          <t>Salário e Ordenados</t>
        </is>
      </c>
      <c r="F29" s="103" t="n">
        <v>21582.64</v>
      </c>
      <c r="G29" s="104" t="inlineStr">
        <is>
          <t>02/2025</t>
        </is>
      </c>
      <c r="H29" s="104" t="inlineStr">
        <is>
          <t>CODI</t>
        </is>
      </c>
    </row>
    <row r="30" ht="15" customHeight="1" s="86">
      <c r="B30" s="101" t="n">
        <v>45689</v>
      </c>
      <c r="C30" s="102" t="inlineStr">
        <is>
          <t>Vales e Adiantamentos - 02/2025</t>
        </is>
      </c>
      <c r="D30" s="102" t="inlineStr">
        <is>
          <t>Saída</t>
        </is>
      </c>
      <c r="E30" s="102" t="inlineStr">
        <is>
          <t>Vales e Adiantamentos</t>
        </is>
      </c>
      <c r="F30" s="103" t="n">
        <v>1000</v>
      </c>
      <c r="G30" s="104" t="inlineStr">
        <is>
          <t>02/2025</t>
        </is>
      </c>
      <c r="H30" s="104" t="inlineStr">
        <is>
          <t>CODI</t>
        </is>
      </c>
    </row>
    <row r="31" ht="15" customHeight="1" s="86">
      <c r="B31" s="101" t="n">
        <v>45689</v>
      </c>
      <c r="C31" s="102" t="inlineStr">
        <is>
          <t>Férias - 02/2025</t>
        </is>
      </c>
      <c r="D31" s="102" t="inlineStr">
        <is>
          <t>Saída</t>
        </is>
      </c>
      <c r="E31" s="102" t="inlineStr">
        <is>
          <t>Férias</t>
        </is>
      </c>
      <c r="F31" s="103" t="n">
        <v>4205.34</v>
      </c>
      <c r="G31" s="104" t="inlineStr">
        <is>
          <t>02/2025</t>
        </is>
      </c>
      <c r="H31" s="104" t="inlineStr">
        <is>
          <t>CODI</t>
        </is>
      </c>
    </row>
    <row r="32" ht="15" customHeight="1" s="86">
      <c r="B32" s="101" t="n">
        <v>45689</v>
      </c>
      <c r="C32" s="102" t="inlineStr">
        <is>
          <t>Material de Limpeza e Higiene - 02/2025</t>
        </is>
      </c>
      <c r="D32" s="102" t="inlineStr">
        <is>
          <t>Saída</t>
        </is>
      </c>
      <c r="E32" s="102" t="inlineStr">
        <is>
          <t>Material de Limpeza e Higiene</t>
        </is>
      </c>
      <c r="F32" s="103" t="n">
        <v>316.58</v>
      </c>
      <c r="G32" s="104" t="inlineStr">
        <is>
          <t>02/2025</t>
        </is>
      </c>
      <c r="H32" s="104" t="inlineStr">
        <is>
          <t>CODI</t>
        </is>
      </c>
    </row>
    <row r="33" ht="15" customHeight="1" s="86">
      <c r="B33" s="101" t="n">
        <v>45689</v>
      </c>
      <c r="C33" s="102" t="inlineStr">
        <is>
          <t>Frete e Transporte de Mercadorias - 02/2025</t>
        </is>
      </c>
      <c r="D33" s="102" t="inlineStr">
        <is>
          <t>Saída</t>
        </is>
      </c>
      <c r="E33" s="102" t="inlineStr">
        <is>
          <t>Frete e Transporte de Mercadorias</t>
        </is>
      </c>
      <c r="F33" s="103" t="n">
        <v>4119.21</v>
      </c>
      <c r="G33" s="104" t="inlineStr">
        <is>
          <t>02/2025</t>
        </is>
      </c>
      <c r="H33" s="104" t="inlineStr">
        <is>
          <t>CODI</t>
        </is>
      </c>
    </row>
    <row r="34" ht="15" customHeight="1" s="86">
      <c r="B34" s="101" t="n">
        <v>45689</v>
      </c>
      <c r="C34" s="102" t="inlineStr">
        <is>
          <t>Seguros - 02/2025</t>
        </is>
      </c>
      <c r="D34" s="102" t="inlineStr">
        <is>
          <t>Saída</t>
        </is>
      </c>
      <c r="E34" s="102" t="inlineStr">
        <is>
          <t>Seguros</t>
        </is>
      </c>
      <c r="F34" s="103" t="n">
        <v>463</v>
      </c>
      <c r="G34" s="104" t="inlineStr">
        <is>
          <t>02/2025</t>
        </is>
      </c>
      <c r="H34" s="104" t="inlineStr">
        <is>
          <t>CODI</t>
        </is>
      </c>
    </row>
    <row r="35" ht="15" customHeight="1" s="86">
      <c r="B35" s="101" t="n">
        <v>45689</v>
      </c>
      <c r="C35" s="102" t="inlineStr">
        <is>
          <t>Segurança e Monitoramento - 02/2025</t>
        </is>
      </c>
      <c r="D35" s="102" t="inlineStr">
        <is>
          <t>Saída</t>
        </is>
      </c>
      <c r="E35" s="102" t="inlineStr">
        <is>
          <t>Segurança e Monitoramento</t>
        </is>
      </c>
      <c r="F35" s="103" t="n">
        <v>1240</v>
      </c>
      <c r="G35" s="104" t="inlineStr">
        <is>
          <t>02/2025</t>
        </is>
      </c>
      <c r="H35" s="104" t="inlineStr">
        <is>
          <t>CODI</t>
        </is>
      </c>
    </row>
    <row r="36" ht="15" customHeight="1" s="86">
      <c r="B36" s="101" t="n">
        <v>45689</v>
      </c>
      <c r="C36" s="102" t="inlineStr">
        <is>
          <t>Publicidade - 02/2025</t>
        </is>
      </c>
      <c r="D36" s="102" t="inlineStr">
        <is>
          <t>Saída</t>
        </is>
      </c>
      <c r="E36" s="102" t="inlineStr">
        <is>
          <t>Publicidade</t>
        </is>
      </c>
      <c r="F36" s="103" t="n">
        <v>2195.42</v>
      </c>
      <c r="G36" s="104" t="inlineStr">
        <is>
          <t>02/2025</t>
        </is>
      </c>
      <c r="H36" s="104" t="inlineStr">
        <is>
          <t>CODI</t>
        </is>
      </c>
    </row>
    <row r="37" ht="15" customHeight="1" s="86">
      <c r="B37" s="101" t="n">
        <v>45689</v>
      </c>
      <c r="C37" s="102" t="inlineStr">
        <is>
          <t>Água - 02/2025</t>
        </is>
      </c>
      <c r="D37" s="102" t="inlineStr">
        <is>
          <t>Saída</t>
        </is>
      </c>
      <c r="E37" s="102" t="inlineStr">
        <is>
          <t>Água</t>
        </is>
      </c>
      <c r="F37" s="103" t="n">
        <v>293.24</v>
      </c>
      <c r="G37" s="104" t="inlineStr">
        <is>
          <t>02/2025</t>
        </is>
      </c>
      <c r="H37" s="104" t="inlineStr">
        <is>
          <t>CODI</t>
        </is>
      </c>
    </row>
    <row r="38" ht="15" customHeight="1" s="86">
      <c r="B38" s="101" t="n">
        <v>45689</v>
      </c>
      <c r="C38" s="102" t="inlineStr">
        <is>
          <t>Exame Adminissional/Demissional - 02/2025</t>
        </is>
      </c>
      <c r="D38" s="102" t="inlineStr">
        <is>
          <t>Saída</t>
        </is>
      </c>
      <c r="E38" s="102" t="inlineStr">
        <is>
          <t>Exame Adminissional/Demissional</t>
        </is>
      </c>
      <c r="F38" s="103" t="n">
        <v>30</v>
      </c>
      <c r="G38" s="104" t="inlineStr">
        <is>
          <t>02/2025</t>
        </is>
      </c>
      <c r="H38" s="104" t="inlineStr">
        <is>
          <t>CODI</t>
        </is>
      </c>
    </row>
    <row r="39" ht="15" customHeight="1" s="86">
      <c r="B39" s="101" t="n">
        <v>45689</v>
      </c>
      <c r="C39" s="102" t="inlineStr">
        <is>
          <t>Custo de Mercadoria Vendida - 02/2025</t>
        </is>
      </c>
      <c r="D39" s="102" t="inlineStr">
        <is>
          <t>Saída</t>
        </is>
      </c>
      <c r="E39" s="102" t="inlineStr">
        <is>
          <t>Custo de Mercadoria Vendida</t>
        </is>
      </c>
      <c r="F39" s="103" t="n">
        <v>225127.02</v>
      </c>
      <c r="G39" s="104" t="inlineStr">
        <is>
          <t>02/2025</t>
        </is>
      </c>
      <c r="H39" s="104" t="inlineStr">
        <is>
          <t>CODI</t>
        </is>
      </c>
    </row>
    <row r="40" ht="15" customHeight="1" s="86">
      <c r="B40" s="101" t="n">
        <v>45689</v>
      </c>
      <c r="C40" s="102" t="inlineStr">
        <is>
          <t>Darf - 02/2025</t>
        </is>
      </c>
      <c r="D40" s="102" t="inlineStr">
        <is>
          <t>Saída</t>
        </is>
      </c>
      <c r="E40" s="102" t="inlineStr">
        <is>
          <t>Darf</t>
        </is>
      </c>
      <c r="F40" s="103" t="n">
        <v>10917.99</v>
      </c>
      <c r="G40" s="104" t="inlineStr">
        <is>
          <t>02/2025</t>
        </is>
      </c>
      <c r="H40" s="104" t="inlineStr">
        <is>
          <t>CODI</t>
        </is>
      </c>
    </row>
    <row r="41" ht="15" customHeight="1" s="86">
      <c r="B41" s="101" t="n">
        <v>45689</v>
      </c>
      <c r="C41" s="102" t="inlineStr">
        <is>
          <t>Multas - 02/2025</t>
        </is>
      </c>
      <c r="D41" s="102" t="inlineStr">
        <is>
          <t>Saída</t>
        </is>
      </c>
      <c r="E41" s="102" t="inlineStr">
        <is>
          <t>Multas</t>
        </is>
      </c>
      <c r="F41" s="103" t="n">
        <v>156.18</v>
      </c>
      <c r="G41" s="104" t="inlineStr">
        <is>
          <t>02/2025</t>
        </is>
      </c>
      <c r="H41" s="104" t="inlineStr">
        <is>
          <t>CODI</t>
        </is>
      </c>
    </row>
    <row r="42" ht="15" customHeight="1" s="86">
      <c r="B42" s="101" t="n">
        <v>45689</v>
      </c>
      <c r="C42" s="102" t="inlineStr">
        <is>
          <t>Coquetéis, festas e outros eventos - 02/2025</t>
        </is>
      </c>
      <c r="D42" s="102" t="inlineStr">
        <is>
          <t>Saída</t>
        </is>
      </c>
      <c r="E42" s="102" t="inlineStr">
        <is>
          <t>Coquetéis, festas e outros eventos</t>
        </is>
      </c>
      <c r="F42" s="103" t="n">
        <v>1131.91</v>
      </c>
      <c r="G42" s="104" t="inlineStr">
        <is>
          <t>02/2025</t>
        </is>
      </c>
      <c r="H42" s="104" t="inlineStr">
        <is>
          <t>CODI</t>
        </is>
      </c>
    </row>
    <row r="43" ht="15" customHeight="1" s="86">
      <c r="B43" s="101" t="n">
        <v>45689</v>
      </c>
      <c r="C43" s="102" t="inlineStr">
        <is>
          <t>Honorários Contábeis (Contabilidade) - 02/2025</t>
        </is>
      </c>
      <c r="D43" s="102" t="inlineStr">
        <is>
          <t>Saída</t>
        </is>
      </c>
      <c r="E43" s="102" t="inlineStr">
        <is>
          <t>Honorários Contábeis (Contabilidade)</t>
        </is>
      </c>
      <c r="F43" s="103" t="n">
        <v>1100</v>
      </c>
      <c r="G43" s="104" t="inlineStr">
        <is>
          <t>02/2025</t>
        </is>
      </c>
      <c r="H43" s="104" t="inlineStr">
        <is>
          <t>CODI</t>
        </is>
      </c>
    </row>
    <row r="44" ht="15" customHeight="1" s="86">
      <c r="B44" s="101" t="n">
        <v>45689</v>
      </c>
      <c r="C44" s="102" t="inlineStr">
        <is>
          <t>Outras Despesas - 02/2025</t>
        </is>
      </c>
      <c r="D44" s="102" t="inlineStr">
        <is>
          <t>Saída</t>
        </is>
      </c>
      <c r="E44" s="102" t="inlineStr">
        <is>
          <t>Outras Despesas</t>
        </is>
      </c>
      <c r="F44" s="103" t="n">
        <v>50000</v>
      </c>
      <c r="G44" s="104" t="inlineStr">
        <is>
          <t>02/2025</t>
        </is>
      </c>
      <c r="H44" s="104" t="inlineStr">
        <is>
          <t>CODI</t>
        </is>
      </c>
    </row>
    <row r="45" ht="15" customHeight="1" s="86">
      <c r="B45" s="101" t="n">
        <v>45689</v>
      </c>
      <c r="C45" s="102" t="inlineStr">
        <is>
          <t>Alimentação - 02/2025</t>
        </is>
      </c>
      <c r="D45" s="102" t="inlineStr">
        <is>
          <t>Saída</t>
        </is>
      </c>
      <c r="E45" s="102" t="inlineStr">
        <is>
          <t>Alimentação</t>
        </is>
      </c>
      <c r="F45" s="103" t="n">
        <v>70.61</v>
      </c>
      <c r="G45" s="104" t="inlineStr">
        <is>
          <t>02/2025</t>
        </is>
      </c>
      <c r="H45" s="104" t="inlineStr">
        <is>
          <t>CODI</t>
        </is>
      </c>
    </row>
    <row r="46" ht="15" customHeight="1" s="86">
      <c r="B46" s="101" t="n">
        <v>45689</v>
      </c>
      <c r="C46" s="102" t="inlineStr">
        <is>
          <t>Combustíveis - 02/2025</t>
        </is>
      </c>
      <c r="D46" s="102" t="inlineStr">
        <is>
          <t>Saída</t>
        </is>
      </c>
      <c r="E46" s="102" t="inlineStr">
        <is>
          <t>Combustíveis</t>
        </is>
      </c>
      <c r="F46" s="103" t="n">
        <v>670.3</v>
      </c>
      <c r="G46" s="104" t="inlineStr">
        <is>
          <t>02/2025</t>
        </is>
      </c>
      <c r="H46" s="104" t="inlineStr">
        <is>
          <t>CODI</t>
        </is>
      </c>
    </row>
    <row r="47" ht="15" customHeight="1" s="86">
      <c r="B47" s="101" t="n">
        <v>45689</v>
      </c>
      <c r="C47" s="102" t="inlineStr">
        <is>
          <t>Manutenção de Máquinas e Peças - 02/2025</t>
        </is>
      </c>
      <c r="D47" s="102" t="inlineStr">
        <is>
          <t>Saída</t>
        </is>
      </c>
      <c r="E47" s="102" t="inlineStr">
        <is>
          <t>Manutenção de Máquinas e Peças</t>
        </is>
      </c>
      <c r="F47" s="103" t="n">
        <v>39</v>
      </c>
      <c r="G47" s="104" t="inlineStr">
        <is>
          <t>02/2025</t>
        </is>
      </c>
      <c r="H47" s="104" t="inlineStr">
        <is>
          <t>CODI</t>
        </is>
      </c>
    </row>
    <row r="48" ht="15" customHeight="1" s="86">
      <c r="B48" s="101" t="n">
        <v>45717</v>
      </c>
      <c r="C48" s="102" t="inlineStr">
        <is>
          <t>Vendas - 03/2025</t>
        </is>
      </c>
      <c r="D48" s="102" t="inlineStr">
        <is>
          <t>Entrada</t>
        </is>
      </c>
      <c r="E48" s="102" t="inlineStr">
        <is>
          <t>Vendas</t>
        </is>
      </c>
      <c r="F48" s="103" t="n">
        <v>302093.57</v>
      </c>
      <c r="G48" s="104" t="inlineStr">
        <is>
          <t>03/2025</t>
        </is>
      </c>
      <c r="H48" s="104" t="inlineStr">
        <is>
          <t>CODI</t>
        </is>
      </c>
    </row>
    <row r="49" ht="15" customHeight="1" s="86">
      <c r="B49" s="101" t="n">
        <v>45717</v>
      </c>
      <c r="C49" s="102" t="inlineStr">
        <is>
          <t>Tarifas e Custos de Op. Bancárias - 03/2025</t>
        </is>
      </c>
      <c r="D49" s="102" t="inlineStr">
        <is>
          <t>Saída</t>
        </is>
      </c>
      <c r="E49" s="102" t="inlineStr">
        <is>
          <t>Tarifas e Custos de Op. Bancárias</t>
        </is>
      </c>
      <c r="F49" s="103" t="n">
        <v>3.3</v>
      </c>
      <c r="G49" s="104" t="inlineStr">
        <is>
          <t>03/2025</t>
        </is>
      </c>
      <c r="H49" s="104" t="inlineStr">
        <is>
          <t>CODI</t>
        </is>
      </c>
    </row>
    <row r="50" ht="15" customHeight="1" s="86">
      <c r="B50" s="101" t="n">
        <v>45717</v>
      </c>
      <c r="C50" s="102" t="inlineStr">
        <is>
          <t>Aluguéis e Condomínios - 03/2025</t>
        </is>
      </c>
      <c r="D50" s="102" t="inlineStr">
        <is>
          <t>Saída</t>
        </is>
      </c>
      <c r="E50" s="102" t="inlineStr">
        <is>
          <t>Aluguéis e Condomínios</t>
        </is>
      </c>
      <c r="F50" s="103" t="n">
        <v>5919.74</v>
      </c>
      <c r="G50" s="104" t="inlineStr">
        <is>
          <t>03/2025</t>
        </is>
      </c>
      <c r="H50" s="104" t="inlineStr">
        <is>
          <t>CODI</t>
        </is>
      </c>
    </row>
    <row r="51" ht="15" customHeight="1" s="86">
      <c r="B51" s="101" t="n">
        <v>45717</v>
      </c>
      <c r="C51" s="102" t="inlineStr">
        <is>
          <t>Salário e Ordenados - 03/2025</t>
        </is>
      </c>
      <c r="D51" s="102" t="inlineStr">
        <is>
          <t>Saída</t>
        </is>
      </c>
      <c r="E51" s="102" t="inlineStr">
        <is>
          <t>Salário e Ordenados</t>
        </is>
      </c>
      <c r="F51" s="103" t="n">
        <v>23176.52</v>
      </c>
      <c r="G51" s="104" t="inlineStr">
        <is>
          <t>03/2025</t>
        </is>
      </c>
      <c r="H51" s="104" t="inlineStr">
        <is>
          <t>CODI</t>
        </is>
      </c>
    </row>
    <row r="52" ht="15" customHeight="1" s="86">
      <c r="B52" s="101" t="n">
        <v>45717</v>
      </c>
      <c r="C52" s="102" t="inlineStr">
        <is>
          <t>Vales e Adiantamentos - 03/2025</t>
        </is>
      </c>
      <c r="D52" s="102" t="inlineStr">
        <is>
          <t>Saída</t>
        </is>
      </c>
      <c r="E52" s="102" t="inlineStr">
        <is>
          <t>Vales e Adiantamentos</t>
        </is>
      </c>
      <c r="F52" s="103" t="n">
        <v>1500.02</v>
      </c>
      <c r="G52" s="104" t="inlineStr">
        <is>
          <t>03/2025</t>
        </is>
      </c>
      <c r="H52" s="104" t="inlineStr">
        <is>
          <t>CODI</t>
        </is>
      </c>
    </row>
    <row r="53" ht="15" customHeight="1" s="86">
      <c r="B53" s="101" t="n">
        <v>45717</v>
      </c>
      <c r="C53" s="102" t="inlineStr">
        <is>
          <t>Férias - 03/2025</t>
        </is>
      </c>
      <c r="D53" s="102" t="inlineStr">
        <is>
          <t>Saída</t>
        </is>
      </c>
      <c r="E53" s="102" t="inlineStr">
        <is>
          <t>Férias</t>
        </is>
      </c>
      <c r="F53" s="103" t="n">
        <v>6201.8</v>
      </c>
      <c r="G53" s="104" t="inlineStr">
        <is>
          <t>03/2025</t>
        </is>
      </c>
      <c r="H53" s="104" t="inlineStr">
        <is>
          <t>CODI</t>
        </is>
      </c>
    </row>
    <row r="54" ht="15" customHeight="1" s="86">
      <c r="B54" s="101" t="n">
        <v>45717</v>
      </c>
      <c r="C54" s="102" t="inlineStr">
        <is>
          <t>Material de Limpeza e Higiene - 03/2025</t>
        </is>
      </c>
      <c r="D54" s="102" t="inlineStr">
        <is>
          <t>Saída</t>
        </is>
      </c>
      <c r="E54" s="102" t="inlineStr">
        <is>
          <t>Material de Limpeza e Higiene</t>
        </is>
      </c>
      <c r="F54" s="103" t="n">
        <v>250</v>
      </c>
      <c r="G54" s="104" t="inlineStr">
        <is>
          <t>03/2025</t>
        </is>
      </c>
      <c r="H54" s="104" t="inlineStr">
        <is>
          <t>CODI</t>
        </is>
      </c>
    </row>
    <row r="55" ht="15" customHeight="1" s="86">
      <c r="B55" s="101" t="n">
        <v>45717</v>
      </c>
      <c r="C55" s="102" t="inlineStr">
        <is>
          <t>Acertos e Recisões - 03/2025</t>
        </is>
      </c>
      <c r="D55" s="102" t="inlineStr">
        <is>
          <t>Saída</t>
        </is>
      </c>
      <c r="E55" s="102" t="inlineStr">
        <is>
          <t>Acertos e Recisões</t>
        </is>
      </c>
      <c r="F55" s="103" t="n">
        <v>2849.74</v>
      </c>
      <c r="G55" s="104" t="inlineStr">
        <is>
          <t>03/2025</t>
        </is>
      </c>
      <c r="H55" s="104" t="inlineStr">
        <is>
          <t>CODI</t>
        </is>
      </c>
    </row>
    <row r="56" ht="15" customHeight="1" s="86">
      <c r="B56" s="101" t="n">
        <v>45717</v>
      </c>
      <c r="C56" s="102" t="inlineStr">
        <is>
          <t>Frete e Transporte de Mercadorias - 03/2025</t>
        </is>
      </c>
      <c r="D56" s="102" t="inlineStr">
        <is>
          <t>Saída</t>
        </is>
      </c>
      <c r="E56" s="102" t="inlineStr">
        <is>
          <t>Frete e Transporte de Mercadorias</t>
        </is>
      </c>
      <c r="F56" s="103" t="n">
        <v>3285.31</v>
      </c>
      <c r="G56" s="104" t="inlineStr">
        <is>
          <t>03/2025</t>
        </is>
      </c>
      <c r="H56" s="104" t="inlineStr">
        <is>
          <t>CODI</t>
        </is>
      </c>
    </row>
    <row r="57" ht="15" customHeight="1" s="86">
      <c r="B57" s="101" t="n">
        <v>45717</v>
      </c>
      <c r="C57" s="102" t="inlineStr">
        <is>
          <t>Seguros - 03/2025</t>
        </is>
      </c>
      <c r="D57" s="102" t="inlineStr">
        <is>
          <t>Saída</t>
        </is>
      </c>
      <c r="E57" s="102" t="inlineStr">
        <is>
          <t>Seguros</t>
        </is>
      </c>
      <c r="F57" s="103" t="n">
        <v>269.82</v>
      </c>
      <c r="G57" s="104" t="inlineStr">
        <is>
          <t>03/2025</t>
        </is>
      </c>
      <c r="H57" s="104" t="inlineStr">
        <is>
          <t>CODI</t>
        </is>
      </c>
    </row>
    <row r="58" ht="15" customHeight="1" s="86">
      <c r="B58" s="101" t="n">
        <v>45717</v>
      </c>
      <c r="C58" s="102" t="inlineStr">
        <is>
          <t>Segurança e Monitoramento - 03/2025</t>
        </is>
      </c>
      <c r="D58" s="102" t="inlineStr">
        <is>
          <t>Saída</t>
        </is>
      </c>
      <c r="E58" s="102" t="inlineStr">
        <is>
          <t>Segurança e Monitoramento</t>
        </is>
      </c>
      <c r="F58" s="103" t="n">
        <v>140</v>
      </c>
      <c r="G58" s="104" t="inlineStr">
        <is>
          <t>03/2025</t>
        </is>
      </c>
      <c r="H58" s="104" t="inlineStr">
        <is>
          <t>CODI</t>
        </is>
      </c>
    </row>
    <row r="59" ht="15" customHeight="1" s="86">
      <c r="B59" s="101" t="n">
        <v>45717</v>
      </c>
      <c r="C59" s="102" t="inlineStr">
        <is>
          <t>Vale Transporte - 03/2025</t>
        </is>
      </c>
      <c r="D59" s="102" t="inlineStr">
        <is>
          <t>Saída</t>
        </is>
      </c>
      <c r="E59" s="102" t="inlineStr">
        <is>
          <t>Vale Transporte</t>
        </is>
      </c>
      <c r="F59" s="103" t="n">
        <v>2780</v>
      </c>
      <c r="G59" s="104" t="inlineStr">
        <is>
          <t>03/2025</t>
        </is>
      </c>
      <c r="H59" s="104" t="inlineStr">
        <is>
          <t>CODI</t>
        </is>
      </c>
    </row>
    <row r="60" ht="15" customHeight="1" s="86">
      <c r="B60" s="101" t="n">
        <v>45717</v>
      </c>
      <c r="C60" s="102" t="inlineStr">
        <is>
          <t>Publicidade - 03/2025</t>
        </is>
      </c>
      <c r="D60" s="102" t="inlineStr">
        <is>
          <t>Saída</t>
        </is>
      </c>
      <c r="E60" s="102" t="inlineStr">
        <is>
          <t>Publicidade</t>
        </is>
      </c>
      <c r="F60" s="103" t="n">
        <v>572.47</v>
      </c>
      <c r="G60" s="104" t="inlineStr">
        <is>
          <t>03/2025</t>
        </is>
      </c>
      <c r="H60" s="104" t="inlineStr">
        <is>
          <t>CODI</t>
        </is>
      </c>
    </row>
    <row r="61" ht="15" customHeight="1" s="86">
      <c r="B61" s="101" t="n">
        <v>45717</v>
      </c>
      <c r="C61" s="102" t="inlineStr">
        <is>
          <t>Energia Elétrica - 03/2025</t>
        </is>
      </c>
      <c r="D61" s="102" t="inlineStr">
        <is>
          <t>Saída</t>
        </is>
      </c>
      <c r="E61" s="102" t="inlineStr">
        <is>
          <t>Energia Elétrica</t>
        </is>
      </c>
      <c r="F61" s="103" t="n">
        <v>109.53</v>
      </c>
      <c r="G61" s="104" t="inlineStr">
        <is>
          <t>03/2025</t>
        </is>
      </c>
      <c r="H61" s="104" t="inlineStr">
        <is>
          <t>CODI</t>
        </is>
      </c>
    </row>
    <row r="62" ht="15" customHeight="1" s="86">
      <c r="B62" s="101" t="n">
        <v>45717</v>
      </c>
      <c r="C62" s="102" t="inlineStr">
        <is>
          <t>Água - 03/2025</t>
        </is>
      </c>
      <c r="D62" s="102" t="inlineStr">
        <is>
          <t>Saída</t>
        </is>
      </c>
      <c r="E62" s="102" t="inlineStr">
        <is>
          <t>Água</t>
        </is>
      </c>
      <c r="F62" s="103" t="n">
        <v>196.62</v>
      </c>
      <c r="G62" s="104" t="inlineStr">
        <is>
          <t>03/2025</t>
        </is>
      </c>
      <c r="H62" s="104" t="inlineStr">
        <is>
          <t>CODI</t>
        </is>
      </c>
    </row>
    <row r="63" ht="15" customHeight="1" s="86">
      <c r="B63" s="101" t="n">
        <v>45717</v>
      </c>
      <c r="C63" s="102" t="inlineStr">
        <is>
          <t>Exame Adminissional/Demissional - 03/2025</t>
        </is>
      </c>
      <c r="D63" s="102" t="inlineStr">
        <is>
          <t>Saída</t>
        </is>
      </c>
      <c r="E63" s="102" t="inlineStr">
        <is>
          <t>Exame Adminissional/Demissional</t>
        </is>
      </c>
      <c r="F63" s="103" t="n">
        <v>40</v>
      </c>
      <c r="G63" s="104" t="inlineStr">
        <is>
          <t>03/2025</t>
        </is>
      </c>
      <c r="H63" s="104" t="inlineStr">
        <is>
          <t>CODI</t>
        </is>
      </c>
    </row>
    <row r="64" ht="15" customHeight="1" s="86">
      <c r="B64" s="101" t="n">
        <v>45717</v>
      </c>
      <c r="C64" s="102" t="inlineStr">
        <is>
          <t>Custo de Mercadoria Vendida - 03/2025</t>
        </is>
      </c>
      <c r="D64" s="102" t="inlineStr">
        <is>
          <t>Saída</t>
        </is>
      </c>
      <c r="E64" s="102" t="inlineStr">
        <is>
          <t>Custo de Mercadoria Vendida</t>
        </is>
      </c>
      <c r="F64" s="103" t="n">
        <v>215036.99</v>
      </c>
      <c r="G64" s="104" t="inlineStr">
        <is>
          <t>03/2025</t>
        </is>
      </c>
      <c r="H64" s="104" t="inlineStr">
        <is>
          <t>CODI</t>
        </is>
      </c>
    </row>
    <row r="65" ht="15" customHeight="1" s="86">
      <c r="B65" s="101" t="n">
        <v>45717</v>
      </c>
      <c r="C65" s="102" t="inlineStr">
        <is>
          <t>Multas - 03/2025</t>
        </is>
      </c>
      <c r="D65" s="102" t="inlineStr">
        <is>
          <t>Saída</t>
        </is>
      </c>
      <c r="E65" s="102" t="inlineStr">
        <is>
          <t>Multas</t>
        </is>
      </c>
      <c r="F65" s="103" t="n">
        <v>156.18</v>
      </c>
      <c r="G65" s="104" t="inlineStr">
        <is>
          <t>03/2025</t>
        </is>
      </c>
      <c r="H65" s="104" t="inlineStr">
        <is>
          <t>CODI</t>
        </is>
      </c>
    </row>
    <row r="66" ht="15" customHeight="1" s="86">
      <c r="B66" s="101" t="n">
        <v>45717</v>
      </c>
      <c r="C66" s="102" t="inlineStr">
        <is>
          <t>Honorários Contábeis (Contabilidade) - 03/2025</t>
        </is>
      </c>
      <c r="D66" s="102" t="inlineStr">
        <is>
          <t>Saída</t>
        </is>
      </c>
      <c r="E66" s="102" t="inlineStr">
        <is>
          <t>Honorários Contábeis (Contabilidade)</t>
        </is>
      </c>
      <c r="F66" s="103" t="n">
        <v>1100</v>
      </c>
      <c r="G66" s="104" t="inlineStr">
        <is>
          <t>03/2025</t>
        </is>
      </c>
      <c r="H66" s="104" t="inlineStr">
        <is>
          <t>CODI</t>
        </is>
      </c>
    </row>
    <row r="67" ht="15" customHeight="1" s="86">
      <c r="B67" s="101" t="n">
        <v>45717</v>
      </c>
      <c r="C67" s="102" t="inlineStr">
        <is>
          <t>Outras Despesas - 03/2025</t>
        </is>
      </c>
      <c r="D67" s="102" t="inlineStr">
        <is>
          <t>Saída</t>
        </is>
      </c>
      <c r="E67" s="102" t="inlineStr">
        <is>
          <t>Outras Despesas</t>
        </is>
      </c>
      <c r="F67" s="103" t="n">
        <v>50000</v>
      </c>
      <c r="G67" s="104" t="inlineStr">
        <is>
          <t>03/2025</t>
        </is>
      </c>
      <c r="H67" s="104" t="inlineStr">
        <is>
          <t>CODI</t>
        </is>
      </c>
    </row>
    <row r="68" ht="15" customHeight="1" s="86">
      <c r="B68" s="101" t="n">
        <v>45717</v>
      </c>
      <c r="C68" s="102" t="inlineStr">
        <is>
          <t>Alimentação - 03/2025</t>
        </is>
      </c>
      <c r="D68" s="102" t="inlineStr">
        <is>
          <t>Saída</t>
        </is>
      </c>
      <c r="E68" s="102" t="inlineStr">
        <is>
          <t>Alimentação</t>
        </is>
      </c>
      <c r="F68" s="103" t="n">
        <v>132.6</v>
      </c>
      <c r="G68" s="104" t="inlineStr">
        <is>
          <t>03/2025</t>
        </is>
      </c>
      <c r="H68" s="104" t="inlineStr">
        <is>
          <t>CODI</t>
        </is>
      </c>
    </row>
    <row r="69" ht="15" customHeight="1" s="86">
      <c r="B69" s="101" t="n">
        <v>45717</v>
      </c>
      <c r="C69" s="102" t="inlineStr">
        <is>
          <t>Combustíveis - 03/2025</t>
        </is>
      </c>
      <c r="D69" s="102" t="inlineStr">
        <is>
          <t>Saída</t>
        </is>
      </c>
      <c r="E69" s="102" t="inlineStr">
        <is>
          <t>Combustíveis</t>
        </is>
      </c>
      <c r="F69" s="103" t="n">
        <v>887.51</v>
      </c>
      <c r="G69" s="104" t="inlineStr">
        <is>
          <t>03/2025</t>
        </is>
      </c>
      <c r="H69" s="104" t="inlineStr">
        <is>
          <t>CODI</t>
        </is>
      </c>
    </row>
    <row r="70" ht="15" customHeight="1" s="86">
      <c r="B70" s="101" t="n">
        <v>45717</v>
      </c>
      <c r="C70" s="102" t="inlineStr">
        <is>
          <t>Telefonia Móvel - 03/2025</t>
        </is>
      </c>
      <c r="D70" s="102" t="inlineStr">
        <is>
          <t>Saída</t>
        </is>
      </c>
      <c r="E70" s="102" t="inlineStr">
        <is>
          <t>Telefonia Móvel</t>
        </is>
      </c>
      <c r="F70" s="103" t="n">
        <v>520</v>
      </c>
      <c r="G70" s="104" t="inlineStr">
        <is>
          <t>03/2025</t>
        </is>
      </c>
      <c r="H70" s="104" t="inlineStr">
        <is>
          <t>CODI</t>
        </is>
      </c>
    </row>
    <row r="71" ht="15" customHeight="1" s="86">
      <c r="B71" s="101" t="n">
        <v>45717</v>
      </c>
      <c r="C71" s="102" t="inlineStr">
        <is>
          <t>Manutenção de Moveis e Utensílios - 03/2025</t>
        </is>
      </c>
      <c r="D71" s="102" t="inlineStr">
        <is>
          <t>Saída</t>
        </is>
      </c>
      <c r="E71" s="102" t="inlineStr">
        <is>
          <t>Manutenção de Moveis e Utensílios</t>
        </is>
      </c>
      <c r="F71" s="103" t="n">
        <v>50</v>
      </c>
      <c r="G71" s="104" t="inlineStr">
        <is>
          <t>03/2025</t>
        </is>
      </c>
      <c r="H71" s="104" t="inlineStr">
        <is>
          <t>CODI</t>
        </is>
      </c>
    </row>
    <row r="72" ht="15" customHeight="1" s="86">
      <c r="B72" s="101" t="n">
        <v>45717</v>
      </c>
      <c r="C72" s="102" t="inlineStr">
        <is>
          <t>Manutenção de Veiculos e Estacionamento - 03/2025</t>
        </is>
      </c>
      <c r="D72" s="102" t="inlineStr">
        <is>
          <t>Saída</t>
        </is>
      </c>
      <c r="E72" s="102" t="inlineStr">
        <is>
          <t>Manutenção de Veiculos e Estacionamento</t>
        </is>
      </c>
      <c r="F72" s="103" t="n">
        <v>86</v>
      </c>
      <c r="G72" s="104" t="inlineStr">
        <is>
          <t>03/2025</t>
        </is>
      </c>
      <c r="H72" s="104" t="inlineStr">
        <is>
          <t>CODI</t>
        </is>
      </c>
    </row>
    <row r="73" ht="15" customHeight="1" s="86">
      <c r="B73" s="101" t="n">
        <v>45717</v>
      </c>
      <c r="C73" s="102" t="inlineStr">
        <is>
          <t>Consulta de Crédito Cliente - 03/2025</t>
        </is>
      </c>
      <c r="D73" s="102" t="inlineStr">
        <is>
          <t>Saída</t>
        </is>
      </c>
      <c r="E73" s="102" t="inlineStr">
        <is>
          <t>Consulta de Crédito Cliente</t>
        </is>
      </c>
      <c r="F73" s="103" t="n">
        <v>487.21</v>
      </c>
      <c r="G73" s="104" t="inlineStr">
        <is>
          <t>03/2025</t>
        </is>
      </c>
      <c r="H73" s="104" t="inlineStr">
        <is>
          <t>CODI</t>
        </is>
      </c>
    </row>
    <row r="74" ht="15" customHeight="1" s="86">
      <c r="B74" s="101" t="n">
        <v>45717</v>
      </c>
      <c r="C74" s="102" t="inlineStr">
        <is>
          <t>Multas e Juros por Atraso - 03/2025</t>
        </is>
      </c>
      <c r="D74" s="102" t="inlineStr">
        <is>
          <t>Saída</t>
        </is>
      </c>
      <c r="E74" s="102" t="inlineStr">
        <is>
          <t>Multas e Juros por Atraso</t>
        </is>
      </c>
      <c r="F74" s="103" t="n">
        <v>3.7</v>
      </c>
      <c r="G74" s="104" t="inlineStr">
        <is>
          <t>03/2025</t>
        </is>
      </c>
      <c r="H74" s="104" t="inlineStr">
        <is>
          <t>CODI</t>
        </is>
      </c>
    </row>
    <row r="75" ht="15" customHeight="1" s="86">
      <c r="B75" s="101" t="n">
        <v>45717</v>
      </c>
      <c r="C75" s="102" t="inlineStr">
        <is>
          <t>Despesa com Sindicatos - 03/2025</t>
        </is>
      </c>
      <c r="D75" s="102" t="inlineStr">
        <is>
          <t>Saída</t>
        </is>
      </c>
      <c r="E75" s="102" t="inlineStr">
        <is>
          <t>Despesa com Sindicatos</t>
        </is>
      </c>
      <c r="F75" s="103" t="n">
        <v>800</v>
      </c>
      <c r="G75" s="104" t="inlineStr">
        <is>
          <t>03/2025</t>
        </is>
      </c>
      <c r="H75" s="104" t="inlineStr">
        <is>
          <t>CODI</t>
        </is>
      </c>
    </row>
    <row r="76" ht="15" customHeight="1" s="86">
      <c r="B76" s="101" t="n">
        <v>45717</v>
      </c>
      <c r="C76" s="102" t="inlineStr">
        <is>
          <t>Premiações e Abonos - 03/2025</t>
        </is>
      </c>
      <c r="D76" s="102" t="inlineStr">
        <is>
          <t>Saída</t>
        </is>
      </c>
      <c r="E76" s="102" t="inlineStr">
        <is>
          <t>Premiações e Abonos</t>
        </is>
      </c>
      <c r="F76" s="103" t="n">
        <v>300</v>
      </c>
      <c r="G76" s="104" t="inlineStr">
        <is>
          <t>03/2025</t>
        </is>
      </c>
      <c r="H76" s="104" t="inlineStr">
        <is>
          <t>CODI</t>
        </is>
      </c>
    </row>
    <row r="77" ht="15" customHeight="1" s="86">
      <c r="B77" s="101" t="n">
        <v>45748</v>
      </c>
      <c r="C77" s="102" t="inlineStr">
        <is>
          <t>Vendas - 04/2025</t>
        </is>
      </c>
      <c r="D77" s="102" t="inlineStr">
        <is>
          <t>Entrada</t>
        </is>
      </c>
      <c r="E77" s="102" t="inlineStr">
        <is>
          <t>Vendas</t>
        </is>
      </c>
      <c r="F77" s="103" t="n">
        <v>350632.1</v>
      </c>
      <c r="G77" s="104" t="inlineStr">
        <is>
          <t>04/2025</t>
        </is>
      </c>
      <c r="H77" s="104" t="inlineStr">
        <is>
          <t>CODI</t>
        </is>
      </c>
    </row>
    <row r="78" ht="15" customHeight="1" s="86">
      <c r="B78" s="101" t="n">
        <v>45748</v>
      </c>
      <c r="C78" s="102" t="inlineStr">
        <is>
          <t>Tarifas e Custos de Op. Bancárias - 04/2025</t>
        </is>
      </c>
      <c r="D78" s="102" t="inlineStr">
        <is>
          <t>Saída</t>
        </is>
      </c>
      <c r="E78" s="102" t="inlineStr">
        <is>
          <t>Tarifas e Custos de Op. Bancárias</t>
        </is>
      </c>
      <c r="F78" s="103" t="n">
        <v>646.87</v>
      </c>
      <c r="G78" s="104" t="inlineStr">
        <is>
          <t>04/2025</t>
        </is>
      </c>
      <c r="H78" s="104" t="inlineStr">
        <is>
          <t>CODI</t>
        </is>
      </c>
    </row>
    <row r="79" ht="15" customHeight="1" s="86">
      <c r="B79" s="101" t="n">
        <v>45748</v>
      </c>
      <c r="C79" s="102" t="inlineStr">
        <is>
          <t>Aluguéis e Condomínios - 04/2025</t>
        </is>
      </c>
      <c r="D79" s="102" t="inlineStr">
        <is>
          <t>Saída</t>
        </is>
      </c>
      <c r="E79" s="102" t="inlineStr">
        <is>
          <t>Aluguéis e Condomínios</t>
        </is>
      </c>
      <c r="F79" s="103" t="n">
        <v>5514.62</v>
      </c>
      <c r="G79" s="104" t="inlineStr">
        <is>
          <t>04/2025</t>
        </is>
      </c>
      <c r="H79" s="104" t="inlineStr">
        <is>
          <t>CODI</t>
        </is>
      </c>
    </row>
    <row r="80" ht="15" customHeight="1" s="86">
      <c r="B80" s="101" t="n">
        <v>45748</v>
      </c>
      <c r="C80" s="102" t="inlineStr">
        <is>
          <t>Salário e Ordenados - 04/2025</t>
        </is>
      </c>
      <c r="D80" s="102" t="inlineStr">
        <is>
          <t>Saída</t>
        </is>
      </c>
      <c r="E80" s="102" t="inlineStr">
        <is>
          <t>Salário e Ordenados</t>
        </is>
      </c>
      <c r="F80" s="103" t="n">
        <v>27082.92</v>
      </c>
      <c r="G80" s="104" t="inlineStr">
        <is>
          <t>04/2025</t>
        </is>
      </c>
      <c r="H80" s="104" t="inlineStr">
        <is>
          <t>CODI</t>
        </is>
      </c>
    </row>
    <row r="81" ht="15" customHeight="1" s="86">
      <c r="B81" s="101" t="n">
        <v>45748</v>
      </c>
      <c r="C81" s="102" t="inlineStr">
        <is>
          <t>Vales e Adiantamentos - 04/2025</t>
        </is>
      </c>
      <c r="D81" s="102" t="inlineStr">
        <is>
          <t>Saída</t>
        </is>
      </c>
      <c r="E81" s="102" t="inlineStr">
        <is>
          <t>Vales e Adiantamentos</t>
        </is>
      </c>
      <c r="F81" s="103" t="n">
        <v>1000</v>
      </c>
      <c r="G81" s="104" t="inlineStr">
        <is>
          <t>04/2025</t>
        </is>
      </c>
      <c r="H81" s="104" t="inlineStr">
        <is>
          <t>CODI</t>
        </is>
      </c>
    </row>
    <row r="82" ht="15" customHeight="1" s="86">
      <c r="B82" s="101" t="n">
        <v>45748</v>
      </c>
      <c r="C82" s="102" t="inlineStr">
        <is>
          <t>Material de Limpeza e Higiene - 04/2025</t>
        </is>
      </c>
      <c r="D82" s="102" t="inlineStr">
        <is>
          <t>Saída</t>
        </is>
      </c>
      <c r="E82" s="102" t="inlineStr">
        <is>
          <t>Material de Limpeza e Higiene</t>
        </is>
      </c>
      <c r="F82" s="103" t="n">
        <v>48.93</v>
      </c>
      <c r="G82" s="104" t="inlineStr">
        <is>
          <t>04/2025</t>
        </is>
      </c>
      <c r="H82" s="104" t="inlineStr">
        <is>
          <t>CODI</t>
        </is>
      </c>
    </row>
    <row r="83" ht="15" customHeight="1" s="86">
      <c r="B83" s="101" t="n">
        <v>45748</v>
      </c>
      <c r="C83" s="102" t="inlineStr">
        <is>
          <t>Acertos e Recisões - 04/2025</t>
        </is>
      </c>
      <c r="D83" s="102" t="inlineStr">
        <is>
          <t>Saída</t>
        </is>
      </c>
      <c r="E83" s="102" t="inlineStr">
        <is>
          <t>Acertos e Recisões</t>
        </is>
      </c>
      <c r="F83" s="103" t="n">
        <v>5353.37</v>
      </c>
      <c r="G83" s="104" t="inlineStr">
        <is>
          <t>04/2025</t>
        </is>
      </c>
      <c r="H83" s="104" t="inlineStr">
        <is>
          <t>CODI</t>
        </is>
      </c>
    </row>
    <row r="84" ht="15" customHeight="1" s="86">
      <c r="B84" s="101" t="n">
        <v>45748</v>
      </c>
      <c r="C84" s="102" t="inlineStr">
        <is>
          <t>Frete e Transporte de Mercadorias - 04/2025</t>
        </is>
      </c>
      <c r="D84" s="102" t="inlineStr">
        <is>
          <t>Saída</t>
        </is>
      </c>
      <c r="E84" s="102" t="inlineStr">
        <is>
          <t>Frete e Transporte de Mercadorias</t>
        </is>
      </c>
      <c r="F84" s="103" t="n">
        <v>4631.51</v>
      </c>
      <c r="G84" s="104" t="inlineStr">
        <is>
          <t>04/2025</t>
        </is>
      </c>
      <c r="H84" s="104" t="inlineStr">
        <is>
          <t>CODI</t>
        </is>
      </c>
    </row>
    <row r="85" ht="15" customHeight="1" s="86">
      <c r="B85" s="101" t="n">
        <v>45748</v>
      </c>
      <c r="C85" s="102" t="inlineStr">
        <is>
          <t>Seguros - 04/2025</t>
        </is>
      </c>
      <c r="D85" s="102" t="inlineStr">
        <is>
          <t>Saída</t>
        </is>
      </c>
      <c r="E85" s="102" t="inlineStr">
        <is>
          <t>Seguros</t>
        </is>
      </c>
      <c r="F85" s="103" t="n">
        <v>269.82</v>
      </c>
      <c r="G85" s="104" t="inlineStr">
        <is>
          <t>04/2025</t>
        </is>
      </c>
      <c r="H85" s="104" t="inlineStr">
        <is>
          <t>CODI</t>
        </is>
      </c>
    </row>
    <row r="86" ht="15" customHeight="1" s="86">
      <c r="B86" s="101" t="n">
        <v>45748</v>
      </c>
      <c r="C86" s="102" t="inlineStr">
        <is>
          <t>Segurança e Monitoramento - 04/2025</t>
        </is>
      </c>
      <c r="D86" s="102" t="inlineStr">
        <is>
          <t>Saída</t>
        </is>
      </c>
      <c r="E86" s="102" t="inlineStr">
        <is>
          <t>Segurança e Monitoramento</t>
        </is>
      </c>
      <c r="F86" s="103" t="n">
        <v>140</v>
      </c>
      <c r="G86" s="104" t="inlineStr">
        <is>
          <t>04/2025</t>
        </is>
      </c>
      <c r="H86" s="104" t="inlineStr">
        <is>
          <t>CODI</t>
        </is>
      </c>
    </row>
    <row r="87" ht="15" customHeight="1" s="86">
      <c r="B87" s="101" t="n">
        <v>45748</v>
      </c>
      <c r="C87" s="102" t="inlineStr">
        <is>
          <t>Vale Transporte - 04/2025</t>
        </is>
      </c>
      <c r="D87" s="102" t="inlineStr">
        <is>
          <t>Saída</t>
        </is>
      </c>
      <c r="E87" s="102" t="inlineStr">
        <is>
          <t>Vale Transporte</t>
        </is>
      </c>
      <c r="F87" s="103" t="n">
        <v>2460</v>
      </c>
      <c r="G87" s="104" t="inlineStr">
        <is>
          <t>04/2025</t>
        </is>
      </c>
      <c r="H87" s="104" t="inlineStr">
        <is>
          <t>CODI</t>
        </is>
      </c>
    </row>
    <row r="88" ht="15" customHeight="1" s="86">
      <c r="B88" s="101" t="n">
        <v>45748</v>
      </c>
      <c r="C88" s="102" t="inlineStr">
        <is>
          <t>Publicidade - 04/2025</t>
        </is>
      </c>
      <c r="D88" s="102" t="inlineStr">
        <is>
          <t>Saída</t>
        </is>
      </c>
      <c r="E88" s="102" t="inlineStr">
        <is>
          <t>Publicidade</t>
        </is>
      </c>
      <c r="F88" s="103" t="n">
        <v>3907.98</v>
      </c>
      <c r="G88" s="104" t="inlineStr">
        <is>
          <t>04/2025</t>
        </is>
      </c>
      <c r="H88" s="104" t="inlineStr">
        <is>
          <t>CODI</t>
        </is>
      </c>
    </row>
    <row r="89" ht="15" customHeight="1" s="86">
      <c r="B89" s="101" t="n">
        <v>45748</v>
      </c>
      <c r="C89" s="102" t="inlineStr">
        <is>
          <t>Energia Elétrica - 04/2025</t>
        </is>
      </c>
      <c r="D89" s="102" t="inlineStr">
        <is>
          <t>Saída</t>
        </is>
      </c>
      <c r="E89" s="102" t="inlineStr">
        <is>
          <t>Energia Elétrica</t>
        </is>
      </c>
      <c r="F89" s="103" t="n">
        <v>290.1</v>
      </c>
      <c r="G89" s="104" t="inlineStr">
        <is>
          <t>04/2025</t>
        </is>
      </c>
      <c r="H89" s="104" t="inlineStr">
        <is>
          <t>CODI</t>
        </is>
      </c>
    </row>
    <row r="90" ht="15" customHeight="1" s="86">
      <c r="B90" s="101" t="n">
        <v>45748</v>
      </c>
      <c r="C90" s="102" t="inlineStr">
        <is>
          <t>Água - 04/2025</t>
        </is>
      </c>
      <c r="D90" s="102" t="inlineStr">
        <is>
          <t>Saída</t>
        </is>
      </c>
      <c r="E90" s="102" t="inlineStr">
        <is>
          <t>Água</t>
        </is>
      </c>
      <c r="F90" s="103" t="n">
        <v>332.28</v>
      </c>
      <c r="G90" s="104" t="inlineStr">
        <is>
          <t>04/2025</t>
        </is>
      </c>
      <c r="H90" s="104" t="inlineStr">
        <is>
          <t>CODI</t>
        </is>
      </c>
    </row>
    <row r="91" ht="15" customHeight="1" s="86">
      <c r="B91" s="101" t="n">
        <v>45748</v>
      </c>
      <c r="C91" s="102" t="inlineStr">
        <is>
          <t>Exame Adminissional/Demissional - 04/2025</t>
        </is>
      </c>
      <c r="D91" s="102" t="inlineStr">
        <is>
          <t>Saída</t>
        </is>
      </c>
      <c r="E91" s="102" t="inlineStr">
        <is>
          <t>Exame Adminissional/Demissional</t>
        </is>
      </c>
      <c r="F91" s="103" t="n">
        <v>35</v>
      </c>
      <c r="G91" s="104" t="inlineStr">
        <is>
          <t>04/2025</t>
        </is>
      </c>
      <c r="H91" s="104" t="inlineStr">
        <is>
          <t>CODI</t>
        </is>
      </c>
    </row>
    <row r="92" ht="15" customHeight="1" s="86">
      <c r="B92" s="101" t="n">
        <v>45748</v>
      </c>
      <c r="C92" s="102" t="inlineStr">
        <is>
          <t>Custo de Mercadoria Vendida - 04/2025</t>
        </is>
      </c>
      <c r="D92" s="102" t="inlineStr">
        <is>
          <t>Saída</t>
        </is>
      </c>
      <c r="E92" s="102" t="inlineStr">
        <is>
          <t>Custo de Mercadoria Vendida</t>
        </is>
      </c>
      <c r="F92" s="103" t="n">
        <v>291300.58</v>
      </c>
      <c r="G92" s="104" t="inlineStr">
        <is>
          <t>04/2025</t>
        </is>
      </c>
      <c r="H92" s="104" t="inlineStr">
        <is>
          <t>CODI</t>
        </is>
      </c>
    </row>
    <row r="93" ht="15" customHeight="1" s="86">
      <c r="B93" s="101" t="n">
        <v>45748</v>
      </c>
      <c r="C93" s="102" t="inlineStr">
        <is>
          <t>Darf - 04/2025</t>
        </is>
      </c>
      <c r="D93" s="102" t="inlineStr">
        <is>
          <t>Saída</t>
        </is>
      </c>
      <c r="E93" s="102" t="inlineStr">
        <is>
          <t>Darf</t>
        </is>
      </c>
      <c r="F93" s="103" t="n">
        <v>2170.05</v>
      </c>
      <c r="G93" s="104" t="inlineStr">
        <is>
          <t>04/2025</t>
        </is>
      </c>
      <c r="H93" s="104" t="inlineStr">
        <is>
          <t>CODI</t>
        </is>
      </c>
    </row>
    <row r="94" ht="15" customHeight="1" s="86">
      <c r="B94" s="101" t="n">
        <v>45748</v>
      </c>
      <c r="C94" s="102" t="inlineStr">
        <is>
          <t>Honorários Contábeis (Contabilidade) - 04/2025</t>
        </is>
      </c>
      <c r="D94" s="102" t="inlineStr">
        <is>
          <t>Saída</t>
        </is>
      </c>
      <c r="E94" s="102" t="inlineStr">
        <is>
          <t>Honorários Contábeis (Contabilidade)</t>
        </is>
      </c>
      <c r="F94" s="103" t="n">
        <v>1100</v>
      </c>
      <c r="G94" s="104" t="inlineStr">
        <is>
          <t>04/2025</t>
        </is>
      </c>
      <c r="H94" s="104" t="inlineStr">
        <is>
          <t>CODI</t>
        </is>
      </c>
    </row>
    <row r="95" ht="15" customHeight="1" s="86">
      <c r="B95" s="101" t="n">
        <v>45748</v>
      </c>
      <c r="C95" s="102" t="inlineStr">
        <is>
          <t>Outras Despesas - 04/2025</t>
        </is>
      </c>
      <c r="D95" s="102" t="inlineStr">
        <is>
          <t>Saída</t>
        </is>
      </c>
      <c r="E95" s="102" t="inlineStr">
        <is>
          <t>Outras Despesas</t>
        </is>
      </c>
      <c r="F95" s="103" t="n">
        <v>50000</v>
      </c>
      <c r="G95" s="104" t="inlineStr">
        <is>
          <t>04/2025</t>
        </is>
      </c>
      <c r="H95" s="104" t="inlineStr">
        <is>
          <t>CODI</t>
        </is>
      </c>
    </row>
    <row r="96" ht="15" customHeight="1" s="86">
      <c r="B96" s="101" t="n">
        <v>45748</v>
      </c>
      <c r="C96" s="102" t="inlineStr">
        <is>
          <t>Alimentação - 04/2025</t>
        </is>
      </c>
      <c r="D96" s="102" t="inlineStr">
        <is>
          <t>Saída</t>
        </is>
      </c>
      <c r="E96" s="102" t="inlineStr">
        <is>
          <t>Alimentação</t>
        </is>
      </c>
      <c r="F96" s="103" t="n">
        <v>130.94</v>
      </c>
      <c r="G96" s="104" t="inlineStr">
        <is>
          <t>04/2025</t>
        </is>
      </c>
      <c r="H96" s="104" t="inlineStr">
        <is>
          <t>CODI</t>
        </is>
      </c>
    </row>
    <row r="97" ht="15" customHeight="1" s="86">
      <c r="B97" s="101" t="n">
        <v>45748</v>
      </c>
      <c r="C97" s="102" t="inlineStr">
        <is>
          <t>Combustíveis - 04/2025</t>
        </is>
      </c>
      <c r="D97" s="102" t="inlineStr">
        <is>
          <t>Saída</t>
        </is>
      </c>
      <c r="E97" s="102" t="inlineStr">
        <is>
          <t>Combustíveis</t>
        </is>
      </c>
      <c r="F97" s="103" t="n">
        <v>1040.05</v>
      </c>
      <c r="G97" s="104" t="inlineStr">
        <is>
          <t>04/2025</t>
        </is>
      </c>
      <c r="H97" s="104" t="inlineStr">
        <is>
          <t>CODI</t>
        </is>
      </c>
    </row>
    <row r="98" ht="15" customHeight="1" s="86">
      <c r="B98" s="101" t="n">
        <v>45748</v>
      </c>
      <c r="C98" s="102" t="inlineStr">
        <is>
          <t>Manutenção de Máquinas e Peças - 04/2025</t>
        </is>
      </c>
      <c r="D98" s="102" t="inlineStr">
        <is>
          <t>Saída</t>
        </is>
      </c>
      <c r="E98" s="102" t="inlineStr">
        <is>
          <t>Manutenção de Máquinas e Peças</t>
        </is>
      </c>
      <c r="F98" s="103" t="n">
        <v>110</v>
      </c>
      <c r="G98" s="104" t="inlineStr">
        <is>
          <t>04/2025</t>
        </is>
      </c>
      <c r="H98" s="104" t="inlineStr">
        <is>
          <t>CODI</t>
        </is>
      </c>
    </row>
    <row r="99" ht="15" customHeight="1" s="86">
      <c r="B99" s="101" t="n">
        <v>45748</v>
      </c>
      <c r="C99" s="102" t="inlineStr">
        <is>
          <t>Telefonia Móvel - 04/2025</t>
        </is>
      </c>
      <c r="D99" s="102" t="inlineStr">
        <is>
          <t>Saída</t>
        </is>
      </c>
      <c r="E99" s="102" t="inlineStr">
        <is>
          <t>Telefonia Móvel</t>
        </is>
      </c>
      <c r="F99" s="103" t="n">
        <v>630</v>
      </c>
      <c r="G99" s="104" t="inlineStr">
        <is>
          <t>04/2025</t>
        </is>
      </c>
      <c r="H99" s="104" t="inlineStr">
        <is>
          <t>CODI</t>
        </is>
      </c>
    </row>
    <row r="100" ht="15" customHeight="1" s="86">
      <c r="B100" s="101" t="n">
        <v>45748</v>
      </c>
      <c r="C100" s="102" t="inlineStr">
        <is>
          <t>Manutenção de Moveis e Utensílios - 04/2025</t>
        </is>
      </c>
      <c r="D100" s="102" t="inlineStr">
        <is>
          <t>Saída</t>
        </is>
      </c>
      <c r="E100" s="102" t="inlineStr">
        <is>
          <t>Manutenção de Moveis e Utensílios</t>
        </is>
      </c>
      <c r="F100" s="103" t="n">
        <v>150</v>
      </c>
      <c r="G100" s="104" t="inlineStr">
        <is>
          <t>04/2025</t>
        </is>
      </c>
      <c r="H100" s="104" t="inlineStr">
        <is>
          <t>CODI</t>
        </is>
      </c>
    </row>
    <row r="101" ht="15" customHeight="1" s="86">
      <c r="B101" s="101" t="n">
        <v>45748</v>
      </c>
      <c r="C101" s="102" t="inlineStr">
        <is>
          <t>Manutenção de Veiculos e Estacionamento - 04/2025</t>
        </is>
      </c>
      <c r="D101" s="102" t="inlineStr">
        <is>
          <t>Saída</t>
        </is>
      </c>
      <c r="E101" s="102" t="inlineStr">
        <is>
          <t>Manutenção de Veiculos e Estacionamento</t>
        </is>
      </c>
      <c r="F101" s="103" t="n">
        <v>305</v>
      </c>
      <c r="G101" s="104" t="inlineStr">
        <is>
          <t>04/2025</t>
        </is>
      </c>
      <c r="H101" s="104" t="inlineStr">
        <is>
          <t>CODI</t>
        </is>
      </c>
    </row>
    <row r="102" ht="15" customHeight="1" s="86">
      <c r="B102" s="101" t="n">
        <v>45748</v>
      </c>
      <c r="C102" s="102" t="inlineStr">
        <is>
          <t>Consulta de Crédito Cliente - 04/2025</t>
        </is>
      </c>
      <c r="D102" s="102" t="inlineStr">
        <is>
          <t>Saída</t>
        </is>
      </c>
      <c r="E102" s="102" t="inlineStr">
        <is>
          <t>Consulta de Crédito Cliente</t>
        </is>
      </c>
      <c r="F102" s="103" t="n">
        <v>298.48</v>
      </c>
      <c r="G102" s="104" t="inlineStr">
        <is>
          <t>04/2025</t>
        </is>
      </c>
      <c r="H102" s="104" t="inlineStr">
        <is>
          <t>CODI</t>
        </is>
      </c>
    </row>
    <row r="103" ht="15" customHeight="1" s="86">
      <c r="B103" s="101" t="n">
        <v>45748</v>
      </c>
      <c r="C103" s="102" t="inlineStr">
        <is>
          <t>Telefonia Fixa e Internet - 04/2025</t>
        </is>
      </c>
      <c r="D103" s="102" t="inlineStr">
        <is>
          <t>Saída</t>
        </is>
      </c>
      <c r="E103" s="102" t="inlineStr">
        <is>
          <t>Telefonia Fixa e Internet</t>
        </is>
      </c>
      <c r="F103" s="103" t="n">
        <v>263.22</v>
      </c>
      <c r="G103" s="104" t="inlineStr">
        <is>
          <t>04/2025</t>
        </is>
      </c>
      <c r="H103" s="104" t="inlineStr">
        <is>
          <t>CODI</t>
        </is>
      </c>
    </row>
    <row r="104" ht="15" customHeight="1" s="86">
      <c r="B104" s="101" t="n">
        <v>45748</v>
      </c>
      <c r="C104" s="102" t="inlineStr">
        <is>
          <t>Uniforme e EPIs - 04/2025</t>
        </is>
      </c>
      <c r="D104" s="102" t="inlineStr">
        <is>
          <t>Saída</t>
        </is>
      </c>
      <c r="E104" s="102" t="inlineStr">
        <is>
          <t>Uniforme e EPIs</t>
        </is>
      </c>
      <c r="F104" s="103" t="n">
        <v>2448</v>
      </c>
      <c r="G104" s="104" t="inlineStr">
        <is>
          <t>04/2025</t>
        </is>
      </c>
      <c r="H104" s="104" t="inlineStr">
        <is>
          <t>CODI</t>
        </is>
      </c>
    </row>
    <row r="105" ht="15" customHeight="1" s="86">
      <c r="B105" s="101" t="n">
        <v>45748</v>
      </c>
      <c r="C105" s="102" t="inlineStr">
        <is>
          <t>Empréstimos - 04/2025</t>
        </is>
      </c>
      <c r="D105" s="102" t="inlineStr">
        <is>
          <t>Saída</t>
        </is>
      </c>
      <c r="E105" s="102" t="inlineStr">
        <is>
          <t>Empréstimos</t>
        </is>
      </c>
      <c r="F105" s="103" t="n">
        <v>17635.02</v>
      </c>
      <c r="G105" s="104" t="inlineStr">
        <is>
          <t>04/2025</t>
        </is>
      </c>
      <c r="H105" s="104" t="inlineStr">
        <is>
          <t>CODI</t>
        </is>
      </c>
    </row>
    <row r="106" ht="15" customHeight="1" s="86">
      <c r="B106" s="101" t="n">
        <v>45748</v>
      </c>
      <c r="C106" s="102" t="inlineStr">
        <is>
          <t>Viagens e estadas - 04/2025</t>
        </is>
      </c>
      <c r="D106" s="102" t="inlineStr">
        <is>
          <t>Saída</t>
        </is>
      </c>
      <c r="E106" s="102" t="inlineStr">
        <is>
          <t>Viagens e estadas</t>
        </is>
      </c>
      <c r="F106" s="103" t="n">
        <v>1360</v>
      </c>
      <c r="G106" s="104" t="inlineStr">
        <is>
          <t>04/2025</t>
        </is>
      </c>
      <c r="H106" s="104" t="inlineStr">
        <is>
          <t>CODI</t>
        </is>
      </c>
    </row>
    <row r="107" ht="15" customHeight="1" s="86">
      <c r="B107" s="101" t="n">
        <v>45748</v>
      </c>
      <c r="C107" s="102" t="inlineStr">
        <is>
          <t>Material de Escritório - 04/2025</t>
        </is>
      </c>
      <c r="D107" s="102" t="inlineStr">
        <is>
          <t>Saída</t>
        </is>
      </c>
      <c r="E107" s="102" t="inlineStr">
        <is>
          <t>Material de Escritório</t>
        </is>
      </c>
      <c r="F107" s="103" t="n">
        <v>786.86</v>
      </c>
      <c r="G107" s="104" t="inlineStr">
        <is>
          <t>04/2025</t>
        </is>
      </c>
      <c r="H107" s="104" t="inlineStr">
        <is>
          <t>CODI</t>
        </is>
      </c>
    </row>
    <row r="108" ht="15" customHeight="1" s="86">
      <c r="B108" s="101" t="n">
        <v>45778</v>
      </c>
      <c r="C108" s="102" t="inlineStr">
        <is>
          <t>Vendas - 05/2025</t>
        </is>
      </c>
      <c r="D108" s="102" t="inlineStr">
        <is>
          <t>Entrada</t>
        </is>
      </c>
      <c r="E108" s="102" t="inlineStr">
        <is>
          <t>Vendas</t>
        </is>
      </c>
      <c r="F108" s="103" t="n">
        <v>517822</v>
      </c>
      <c r="G108" s="104" t="inlineStr">
        <is>
          <t>05/2025</t>
        </is>
      </c>
      <c r="H108" s="104" t="inlineStr">
        <is>
          <t>CODI</t>
        </is>
      </c>
    </row>
    <row r="109" ht="15" customHeight="1" s="86">
      <c r="B109" s="101" t="n">
        <v>45778</v>
      </c>
      <c r="C109" s="102" t="inlineStr">
        <is>
          <t>Tarifas e Custos de Op. Bancárias - 05/2025</t>
        </is>
      </c>
      <c r="D109" s="102" t="inlineStr">
        <is>
          <t>Saída</t>
        </is>
      </c>
      <c r="E109" s="102" t="inlineStr">
        <is>
          <t>Tarifas e Custos de Op. Bancárias</t>
        </is>
      </c>
      <c r="F109" s="103" t="n">
        <v>154.1</v>
      </c>
      <c r="G109" s="104" t="inlineStr">
        <is>
          <t>05/2025</t>
        </is>
      </c>
      <c r="H109" s="104" t="inlineStr">
        <is>
          <t>CODI</t>
        </is>
      </c>
    </row>
    <row r="110" ht="15" customHeight="1" s="86">
      <c r="B110" s="101" t="n">
        <v>45778</v>
      </c>
      <c r="C110" s="102" t="inlineStr">
        <is>
          <t>Aluguéis e Condomínios - 05/2025</t>
        </is>
      </c>
      <c r="D110" s="102" t="inlineStr">
        <is>
          <t>Saída</t>
        </is>
      </c>
      <c r="E110" s="102" t="inlineStr">
        <is>
          <t>Aluguéis e Condomínios</t>
        </is>
      </c>
      <c r="F110" s="103" t="n">
        <v>5667.46</v>
      </c>
      <c r="G110" s="104" t="inlineStr">
        <is>
          <t>05/2025</t>
        </is>
      </c>
      <c r="H110" s="104" t="inlineStr">
        <is>
          <t>CODI</t>
        </is>
      </c>
    </row>
    <row r="111" ht="15" customHeight="1" s="86">
      <c r="B111" s="101" t="n">
        <v>45778</v>
      </c>
      <c r="C111" s="102" t="inlineStr">
        <is>
          <t>Salário e Ordenados - 05/2025</t>
        </is>
      </c>
      <c r="D111" s="102" t="inlineStr">
        <is>
          <t>Saída</t>
        </is>
      </c>
      <c r="E111" s="102" t="inlineStr">
        <is>
          <t>Salário e Ordenados</t>
        </is>
      </c>
      <c r="F111" s="103" t="n">
        <v>27532.27</v>
      </c>
      <c r="G111" s="104" t="inlineStr">
        <is>
          <t>05/2025</t>
        </is>
      </c>
      <c r="H111" s="104" t="inlineStr">
        <is>
          <t>CODI</t>
        </is>
      </c>
    </row>
    <row r="112" ht="15" customHeight="1" s="86">
      <c r="B112" s="101" t="n">
        <v>45778</v>
      </c>
      <c r="C112" s="102" t="inlineStr">
        <is>
          <t>Vales e Adiantamentos - 05/2025</t>
        </is>
      </c>
      <c r="D112" s="102" t="inlineStr">
        <is>
          <t>Saída</t>
        </is>
      </c>
      <c r="E112" s="102" t="inlineStr">
        <is>
          <t>Vales e Adiantamentos</t>
        </is>
      </c>
      <c r="F112" s="103" t="n">
        <v>1000</v>
      </c>
      <c r="G112" s="104" t="inlineStr">
        <is>
          <t>05/2025</t>
        </is>
      </c>
      <c r="H112" s="104" t="inlineStr">
        <is>
          <t>CODI</t>
        </is>
      </c>
    </row>
    <row r="113" ht="15" customHeight="1" s="86">
      <c r="B113" s="101" t="n">
        <v>45778</v>
      </c>
      <c r="C113" s="102" t="inlineStr">
        <is>
          <t>Material de Limpeza e Higiene - 05/2025</t>
        </is>
      </c>
      <c r="D113" s="102" t="inlineStr">
        <is>
          <t>Saída</t>
        </is>
      </c>
      <c r="E113" s="102" t="inlineStr">
        <is>
          <t>Material de Limpeza e Higiene</t>
        </is>
      </c>
      <c r="F113" s="103" t="n">
        <v>130.86</v>
      </c>
      <c r="G113" s="104" t="inlineStr">
        <is>
          <t>05/2025</t>
        </is>
      </c>
      <c r="H113" s="104" t="inlineStr">
        <is>
          <t>CODI</t>
        </is>
      </c>
    </row>
    <row r="114" ht="15" customHeight="1" s="86">
      <c r="B114" s="101" t="n">
        <v>45778</v>
      </c>
      <c r="C114" s="102" t="inlineStr">
        <is>
          <t>Acertos e Recisões - 05/2025</t>
        </is>
      </c>
      <c r="D114" s="102" t="inlineStr">
        <is>
          <t>Saída</t>
        </is>
      </c>
      <c r="E114" s="102" t="inlineStr">
        <is>
          <t>Acertos e Recisões</t>
        </is>
      </c>
      <c r="F114" s="103" t="n">
        <v>1360</v>
      </c>
      <c r="G114" s="104" t="inlineStr">
        <is>
          <t>05/2025</t>
        </is>
      </c>
      <c r="H114" s="104" t="inlineStr">
        <is>
          <t>CODI</t>
        </is>
      </c>
    </row>
    <row r="115" ht="15" customHeight="1" s="86">
      <c r="B115" s="101" t="n">
        <v>45778</v>
      </c>
      <c r="C115" s="102" t="inlineStr">
        <is>
          <t>Frete e Transporte de Mercadorias - 05/2025</t>
        </is>
      </c>
      <c r="D115" s="102" t="inlineStr">
        <is>
          <t>Saída</t>
        </is>
      </c>
      <c r="E115" s="102" t="inlineStr">
        <is>
          <t>Frete e Transporte de Mercadorias</t>
        </is>
      </c>
      <c r="F115" s="103" t="n">
        <v>8005.04</v>
      </c>
      <c r="G115" s="104" t="inlineStr">
        <is>
          <t>05/2025</t>
        </is>
      </c>
      <c r="H115" s="104" t="inlineStr">
        <is>
          <t>CODI</t>
        </is>
      </c>
    </row>
    <row r="116" ht="15" customHeight="1" s="86">
      <c r="B116" s="101" t="n">
        <v>45778</v>
      </c>
      <c r="C116" s="102" t="inlineStr">
        <is>
          <t>Seguros - 05/2025</t>
        </is>
      </c>
      <c r="D116" s="102" t="inlineStr">
        <is>
          <t>Saída</t>
        </is>
      </c>
      <c r="E116" s="102" t="inlineStr">
        <is>
          <t>Seguros</t>
        </is>
      </c>
      <c r="F116" s="103" t="n">
        <v>269.84</v>
      </c>
      <c r="G116" s="104" t="inlineStr">
        <is>
          <t>05/2025</t>
        </is>
      </c>
      <c r="H116" s="104" t="inlineStr">
        <is>
          <t>CODI</t>
        </is>
      </c>
    </row>
    <row r="117" ht="15" customHeight="1" s="86">
      <c r="B117" s="101" t="n">
        <v>45778</v>
      </c>
      <c r="C117" s="102" t="inlineStr">
        <is>
          <t>Segurança e Monitoramento - 05/2025</t>
        </is>
      </c>
      <c r="D117" s="102" t="inlineStr">
        <is>
          <t>Saída</t>
        </is>
      </c>
      <c r="E117" s="102" t="inlineStr">
        <is>
          <t>Segurança e Monitoramento</t>
        </is>
      </c>
      <c r="F117" s="103" t="n">
        <v>140</v>
      </c>
      <c r="G117" s="104" t="inlineStr">
        <is>
          <t>05/2025</t>
        </is>
      </c>
      <c r="H117" s="104" t="inlineStr">
        <is>
          <t>CODI</t>
        </is>
      </c>
    </row>
    <row r="118" ht="15" customHeight="1" s="86">
      <c r="B118" s="101" t="n">
        <v>45778</v>
      </c>
      <c r="C118" s="102" t="inlineStr">
        <is>
          <t>Vale Transporte - 05/2025</t>
        </is>
      </c>
      <c r="D118" s="102" t="inlineStr">
        <is>
          <t>Saída</t>
        </is>
      </c>
      <c r="E118" s="102" t="inlineStr">
        <is>
          <t>Vale Transporte</t>
        </is>
      </c>
      <c r="F118" s="103" t="n">
        <v>2740</v>
      </c>
      <c r="G118" s="104" t="inlineStr">
        <is>
          <t>05/2025</t>
        </is>
      </c>
      <c r="H118" s="104" t="inlineStr">
        <is>
          <t>CODI</t>
        </is>
      </c>
    </row>
    <row r="119" ht="15" customHeight="1" s="86">
      <c r="B119" s="101" t="n">
        <v>45778</v>
      </c>
      <c r="C119" s="102" t="inlineStr">
        <is>
          <t>Publicidade - 05/2025</t>
        </is>
      </c>
      <c r="D119" s="102" t="inlineStr">
        <is>
          <t>Saída</t>
        </is>
      </c>
      <c r="E119" s="102" t="inlineStr">
        <is>
          <t>Publicidade</t>
        </is>
      </c>
      <c r="F119" s="103" t="n">
        <v>4520.65</v>
      </c>
      <c r="G119" s="104" t="inlineStr">
        <is>
          <t>05/2025</t>
        </is>
      </c>
      <c r="H119" s="104" t="inlineStr">
        <is>
          <t>CODI</t>
        </is>
      </c>
    </row>
    <row r="120" ht="15" customHeight="1" s="86">
      <c r="B120" s="101" t="n">
        <v>45778</v>
      </c>
      <c r="C120" s="102" t="inlineStr">
        <is>
          <t>Energia Elétrica - 05/2025</t>
        </is>
      </c>
      <c r="D120" s="102" t="inlineStr">
        <is>
          <t>Saída</t>
        </is>
      </c>
      <c r="E120" s="102" t="inlineStr">
        <is>
          <t>Energia Elétrica</t>
        </is>
      </c>
      <c r="F120" s="103" t="n">
        <v>111.8</v>
      </c>
      <c r="G120" s="104" t="inlineStr">
        <is>
          <t>05/2025</t>
        </is>
      </c>
      <c r="H120" s="104" t="inlineStr">
        <is>
          <t>CODI</t>
        </is>
      </c>
    </row>
    <row r="121" ht="15" customHeight="1" s="86">
      <c r="B121" s="101" t="n">
        <v>45778</v>
      </c>
      <c r="C121" s="102" t="inlineStr">
        <is>
          <t>Água - 05/2025</t>
        </is>
      </c>
      <c r="D121" s="102" t="inlineStr">
        <is>
          <t>Saída</t>
        </is>
      </c>
      <c r="E121" s="102" t="inlineStr">
        <is>
          <t>Água</t>
        </is>
      </c>
      <c r="F121" s="103" t="n">
        <v>332.28</v>
      </c>
      <c r="G121" s="104" t="inlineStr">
        <is>
          <t>05/2025</t>
        </is>
      </c>
      <c r="H121" s="104" t="inlineStr">
        <is>
          <t>CODI</t>
        </is>
      </c>
    </row>
    <row r="122" ht="15" customHeight="1" s="86">
      <c r="B122" s="101" t="n">
        <v>45778</v>
      </c>
      <c r="C122" s="102" t="inlineStr">
        <is>
          <t>Custo de Mercadoria Vendida - 05/2025</t>
        </is>
      </c>
      <c r="D122" s="102" t="inlineStr">
        <is>
          <t>Saída</t>
        </is>
      </c>
      <c r="E122" s="102" t="inlineStr">
        <is>
          <t>Custo de Mercadoria Vendida</t>
        </is>
      </c>
      <c r="F122" s="103" t="n">
        <v>343316.08</v>
      </c>
      <c r="G122" s="104" t="inlineStr">
        <is>
          <t>05/2025</t>
        </is>
      </c>
      <c r="H122" s="104" t="inlineStr">
        <is>
          <t>CODI</t>
        </is>
      </c>
    </row>
    <row r="123" ht="15" customHeight="1" s="86">
      <c r="B123" s="101" t="n">
        <v>45778</v>
      </c>
      <c r="C123" s="102" t="inlineStr">
        <is>
          <t>Honorários Contábeis (Contabilidade) - 05/2025</t>
        </is>
      </c>
      <c r="D123" s="102" t="inlineStr">
        <is>
          <t>Saída</t>
        </is>
      </c>
      <c r="E123" s="102" t="inlineStr">
        <is>
          <t>Honorários Contábeis (Contabilidade)</t>
        </is>
      </c>
      <c r="F123" s="103" t="n">
        <v>1100</v>
      </c>
      <c r="G123" s="104" t="inlineStr">
        <is>
          <t>05/2025</t>
        </is>
      </c>
      <c r="H123" s="104" t="inlineStr">
        <is>
          <t>CODI</t>
        </is>
      </c>
    </row>
    <row r="124" ht="15" customHeight="1" s="86">
      <c r="B124" s="101" t="n">
        <v>45778</v>
      </c>
      <c r="C124" s="102" t="inlineStr">
        <is>
          <t>Outras Despesas - 05/2025</t>
        </is>
      </c>
      <c r="D124" s="102" t="inlineStr">
        <is>
          <t>Saída</t>
        </is>
      </c>
      <c r="E124" s="102" t="inlineStr">
        <is>
          <t>Outras Despesas</t>
        </is>
      </c>
      <c r="F124" s="103" t="n">
        <v>50087.5</v>
      </c>
      <c r="G124" s="104" t="inlineStr">
        <is>
          <t>05/2025</t>
        </is>
      </c>
      <c r="H124" s="104" t="inlineStr">
        <is>
          <t>CODI</t>
        </is>
      </c>
    </row>
    <row r="125" ht="15" customHeight="1" s="86">
      <c r="B125" s="101" t="n">
        <v>45778</v>
      </c>
      <c r="C125" s="102" t="inlineStr">
        <is>
          <t>Alimentação - 05/2025</t>
        </is>
      </c>
      <c r="D125" s="102" t="inlineStr">
        <is>
          <t>Saída</t>
        </is>
      </c>
      <c r="E125" s="102" t="inlineStr">
        <is>
          <t>Alimentação</t>
        </is>
      </c>
      <c r="F125" s="103" t="n">
        <v>163.13</v>
      </c>
      <c r="G125" s="104" t="inlineStr">
        <is>
          <t>05/2025</t>
        </is>
      </c>
      <c r="H125" s="104" t="inlineStr">
        <is>
          <t>CODI</t>
        </is>
      </c>
    </row>
    <row r="126" ht="15" customHeight="1" s="86">
      <c r="B126" s="101" t="n">
        <v>45778</v>
      </c>
      <c r="C126" s="102" t="inlineStr">
        <is>
          <t>Combustíveis - 05/2025</t>
        </is>
      </c>
      <c r="D126" s="102" t="inlineStr">
        <is>
          <t>Saída</t>
        </is>
      </c>
      <c r="E126" s="102" t="inlineStr">
        <is>
          <t>Combustíveis</t>
        </is>
      </c>
      <c r="F126" s="103" t="n">
        <v>1396.51</v>
      </c>
      <c r="G126" s="104" t="inlineStr">
        <is>
          <t>05/2025</t>
        </is>
      </c>
      <c r="H126" s="104" t="inlineStr">
        <is>
          <t>CODI</t>
        </is>
      </c>
    </row>
    <row r="127" ht="15" customHeight="1" s="86">
      <c r="B127" s="101" t="n">
        <v>45778</v>
      </c>
      <c r="C127" s="102" t="inlineStr">
        <is>
          <t>Manutenção de Máquinas e Peças - 05/2025</t>
        </is>
      </c>
      <c r="D127" s="102" t="inlineStr">
        <is>
          <t>Saída</t>
        </is>
      </c>
      <c r="E127" s="102" t="inlineStr">
        <is>
          <t>Manutenção de Máquinas e Peças</t>
        </is>
      </c>
      <c r="F127" s="103" t="n">
        <v>300</v>
      </c>
      <c r="G127" s="104" t="inlineStr">
        <is>
          <t>05/2025</t>
        </is>
      </c>
      <c r="H127" s="104" t="inlineStr">
        <is>
          <t>CODI</t>
        </is>
      </c>
    </row>
    <row r="128" ht="15" customHeight="1" s="86">
      <c r="B128" s="101" t="n">
        <v>45778</v>
      </c>
      <c r="C128" s="102" t="inlineStr">
        <is>
          <t>Telefonia Móvel - 05/2025</t>
        </is>
      </c>
      <c r="D128" s="102" t="inlineStr">
        <is>
          <t>Saída</t>
        </is>
      </c>
      <c r="E128" s="102" t="inlineStr">
        <is>
          <t>Telefonia Móvel</t>
        </is>
      </c>
      <c r="F128" s="103" t="n">
        <v>520</v>
      </c>
      <c r="G128" s="104" t="inlineStr">
        <is>
          <t>05/2025</t>
        </is>
      </c>
      <c r="H128" s="104" t="inlineStr">
        <is>
          <t>CODI</t>
        </is>
      </c>
    </row>
    <row r="129" ht="15" customHeight="1" s="86">
      <c r="B129" s="101" t="n">
        <v>45778</v>
      </c>
      <c r="C129" s="102" t="inlineStr">
        <is>
          <t>Manutenção de Moveis e Utensílios - 05/2025</t>
        </is>
      </c>
      <c r="D129" s="102" t="inlineStr">
        <is>
          <t>Saída</t>
        </is>
      </c>
      <c r="E129" s="102" t="inlineStr">
        <is>
          <t>Manutenção de Moveis e Utensílios</t>
        </is>
      </c>
      <c r="F129" s="103" t="n">
        <v>70</v>
      </c>
      <c r="G129" s="104" t="inlineStr">
        <is>
          <t>05/2025</t>
        </is>
      </c>
      <c r="H129" s="104" t="inlineStr">
        <is>
          <t>CODI</t>
        </is>
      </c>
    </row>
    <row r="130" ht="15" customHeight="1" s="86">
      <c r="B130" s="101" t="n">
        <v>45778</v>
      </c>
      <c r="C130" s="102" t="inlineStr">
        <is>
          <t>Manutenção de Veiculos e Estacionamento - 05/2025</t>
        </is>
      </c>
      <c r="D130" s="102" t="inlineStr">
        <is>
          <t>Saída</t>
        </is>
      </c>
      <c r="E130" s="102" t="inlineStr">
        <is>
          <t>Manutenção de Veiculos e Estacionamento</t>
        </is>
      </c>
      <c r="F130" s="103" t="n">
        <v>914</v>
      </c>
      <c r="G130" s="104" t="inlineStr">
        <is>
          <t>05/2025</t>
        </is>
      </c>
      <c r="H130" s="104" t="inlineStr">
        <is>
          <t>CODI</t>
        </is>
      </c>
    </row>
    <row r="131" ht="15" customHeight="1" s="86">
      <c r="B131" s="101" t="n">
        <v>45778</v>
      </c>
      <c r="C131" s="102" t="inlineStr">
        <is>
          <t>Consulta de Crédito Cliente - 05/2025</t>
        </is>
      </c>
      <c r="D131" s="102" t="inlineStr">
        <is>
          <t>Saída</t>
        </is>
      </c>
      <c r="E131" s="102" t="inlineStr">
        <is>
          <t>Consulta de Crédito Cliente</t>
        </is>
      </c>
      <c r="F131" s="103" t="n">
        <v>518.67</v>
      </c>
      <c r="G131" s="104" t="inlineStr">
        <is>
          <t>05/2025</t>
        </is>
      </c>
      <c r="H131" s="104" t="inlineStr">
        <is>
          <t>CODI</t>
        </is>
      </c>
    </row>
    <row r="132" ht="15" customHeight="1" s="86">
      <c r="B132" s="101" t="n">
        <v>45778</v>
      </c>
      <c r="C132" s="102" t="inlineStr">
        <is>
          <t>Despesa com Sindicatos - 05/2025</t>
        </is>
      </c>
      <c r="D132" s="102" t="inlineStr">
        <is>
          <t>Saída</t>
        </is>
      </c>
      <c r="E132" s="102" t="inlineStr">
        <is>
          <t>Despesa com Sindicatos</t>
        </is>
      </c>
      <c r="F132" s="103" t="n">
        <v>49.9</v>
      </c>
      <c r="G132" s="104" t="inlineStr">
        <is>
          <t>05/2025</t>
        </is>
      </c>
      <c r="H132" s="104" t="inlineStr">
        <is>
          <t>CODI</t>
        </is>
      </c>
    </row>
    <row r="133" ht="15" customHeight="1" s="86">
      <c r="B133" s="101" t="n">
        <v>45778</v>
      </c>
      <c r="C133" s="102" t="inlineStr">
        <is>
          <t>Telefonia Fixa e Internet - 05/2025</t>
        </is>
      </c>
      <c r="D133" s="102" t="inlineStr">
        <is>
          <t>Saída</t>
        </is>
      </c>
      <c r="E133" s="102" t="inlineStr">
        <is>
          <t>Telefonia Fixa e Internet</t>
        </is>
      </c>
      <c r="F133" s="103" t="n">
        <v>243.22</v>
      </c>
      <c r="G133" s="104" t="inlineStr">
        <is>
          <t>05/2025</t>
        </is>
      </c>
      <c r="H133" s="104" t="inlineStr">
        <is>
          <t>CODI</t>
        </is>
      </c>
    </row>
    <row r="134" ht="15" customHeight="1" s="86">
      <c r="B134" s="101" t="n">
        <v>45778</v>
      </c>
      <c r="C134" s="102" t="inlineStr">
        <is>
          <t>Empréstimos - 05/2025</t>
        </is>
      </c>
      <c r="D134" s="102" t="inlineStr">
        <is>
          <t>Saída</t>
        </is>
      </c>
      <c r="E134" s="102" t="inlineStr">
        <is>
          <t>Empréstimos</t>
        </is>
      </c>
      <c r="F134" s="103" t="n">
        <v>17660.87</v>
      </c>
      <c r="G134" s="104" t="inlineStr">
        <is>
          <t>05/2025</t>
        </is>
      </c>
      <c r="H134" s="104" t="inlineStr">
        <is>
          <t>CODI</t>
        </is>
      </c>
    </row>
    <row r="135" ht="15" customHeight="1" s="86">
      <c r="B135" s="101" t="n">
        <v>45778</v>
      </c>
      <c r="C135" s="102" t="inlineStr">
        <is>
          <t>Viagens e estadas - 05/2025</t>
        </is>
      </c>
      <c r="D135" s="102" t="inlineStr">
        <is>
          <t>Saída</t>
        </is>
      </c>
      <c r="E135" s="102" t="inlineStr">
        <is>
          <t>Viagens e estadas</t>
        </is>
      </c>
      <c r="F135" s="103" t="n">
        <v>30.6</v>
      </c>
      <c r="G135" s="104" t="inlineStr">
        <is>
          <t>05/2025</t>
        </is>
      </c>
      <c r="H135" s="104" t="inlineStr">
        <is>
          <t>CODI</t>
        </is>
      </c>
    </row>
    <row r="136" ht="15" customHeight="1" s="86">
      <c r="B136" s="101" t="n">
        <v>45778</v>
      </c>
      <c r="C136" s="102" t="inlineStr">
        <is>
          <t>Material de Escritório - 05/2025</t>
        </is>
      </c>
      <c r="D136" s="102" t="inlineStr">
        <is>
          <t>Saída</t>
        </is>
      </c>
      <c r="E136" s="102" t="inlineStr">
        <is>
          <t>Material de Escritório</t>
        </is>
      </c>
      <c r="F136" s="103" t="n">
        <v>38.99</v>
      </c>
      <c r="G136" s="104" t="inlineStr">
        <is>
          <t>05/2025</t>
        </is>
      </c>
      <c r="H136" s="104" t="inlineStr">
        <is>
          <t>CODI</t>
        </is>
      </c>
    </row>
    <row r="137" ht="15" customHeight="1" s="86">
      <c r="B137" s="101" t="n">
        <v>45778</v>
      </c>
      <c r="C137" s="102" t="inlineStr">
        <is>
          <t>Manutenção de Imóveis - 05/2025</t>
        </is>
      </c>
      <c r="D137" s="102" t="inlineStr">
        <is>
          <t>Saída</t>
        </is>
      </c>
      <c r="E137" s="102" t="inlineStr">
        <is>
          <t>Manutenção de Imóveis</t>
        </is>
      </c>
      <c r="F137" s="103" t="n">
        <v>30</v>
      </c>
      <c r="G137" s="104" t="inlineStr">
        <is>
          <t>05/2025</t>
        </is>
      </c>
      <c r="H137" s="104" t="inlineStr">
        <is>
          <t>CODI</t>
        </is>
      </c>
    </row>
    <row r="138" ht="15" customHeight="1" s="86">
      <c r="B138" s="101" t="n">
        <v>45778</v>
      </c>
      <c r="C138" s="102" t="inlineStr">
        <is>
          <t>Fgts, Gps e Pis - 05/2025</t>
        </is>
      </c>
      <c r="D138" s="102" t="inlineStr">
        <is>
          <t>Saída</t>
        </is>
      </c>
      <c r="E138" s="102" t="inlineStr">
        <is>
          <t>Fgts, Gps e Pis</t>
        </is>
      </c>
      <c r="F138" s="103" t="n">
        <v>1777.34</v>
      </c>
      <c r="G138" s="104" t="inlineStr">
        <is>
          <t>05/2025</t>
        </is>
      </c>
      <c r="H138" s="104" t="inlineStr">
        <is>
          <t>CODI</t>
        </is>
      </c>
    </row>
    <row r="139" ht="15" customHeight="1" s="86">
      <c r="B139" s="101" t="n">
        <v>45809</v>
      </c>
      <c r="C139" s="102" t="inlineStr">
        <is>
          <t>Vendas - 06/2025</t>
        </is>
      </c>
      <c r="D139" s="102" t="inlineStr">
        <is>
          <t>Entrada</t>
        </is>
      </c>
      <c r="E139" s="102" t="inlineStr">
        <is>
          <t>Vendas</t>
        </is>
      </c>
      <c r="F139" s="103" t="n">
        <v>511174.69</v>
      </c>
      <c r="G139" s="104" t="inlineStr">
        <is>
          <t>06/2025</t>
        </is>
      </c>
      <c r="H139" s="104" t="inlineStr">
        <is>
          <t>CODI</t>
        </is>
      </c>
    </row>
    <row r="140" ht="15" customHeight="1" s="86">
      <c r="B140" s="101" t="n">
        <v>45809</v>
      </c>
      <c r="C140" s="102" t="inlineStr">
        <is>
          <t>Aluguéis e Condomínios - 06/2025</t>
        </is>
      </c>
      <c r="D140" s="102" t="inlineStr">
        <is>
          <t>Saída</t>
        </is>
      </c>
      <c r="E140" s="102" t="inlineStr">
        <is>
          <t>Aluguéis e Condomínios</t>
        </is>
      </c>
      <c r="F140" s="103" t="n">
        <v>5501</v>
      </c>
      <c r="G140" s="104" t="inlineStr">
        <is>
          <t>06/2025</t>
        </is>
      </c>
      <c r="H140" s="104" t="inlineStr">
        <is>
          <t>CODI</t>
        </is>
      </c>
    </row>
    <row r="141" ht="15" customHeight="1" s="86">
      <c r="B141" s="101" t="n">
        <v>45809</v>
      </c>
      <c r="C141" s="102" t="inlineStr">
        <is>
          <t>Salário e Ordenados - 06/2025</t>
        </is>
      </c>
      <c r="D141" s="102" t="inlineStr">
        <is>
          <t>Saída</t>
        </is>
      </c>
      <c r="E141" s="102" t="inlineStr">
        <is>
          <t>Salário e Ordenados</t>
        </is>
      </c>
      <c r="F141" s="103" t="n">
        <v>26127.57</v>
      </c>
      <c r="G141" s="104" t="inlineStr">
        <is>
          <t>06/2025</t>
        </is>
      </c>
      <c r="H141" s="104" t="inlineStr">
        <is>
          <t>CODI</t>
        </is>
      </c>
    </row>
    <row r="142" ht="15" customHeight="1" s="86">
      <c r="B142" s="101" t="n">
        <v>45809</v>
      </c>
      <c r="C142" s="102" t="inlineStr">
        <is>
          <t>Vales e Adiantamentos - 06/2025</t>
        </is>
      </c>
      <c r="D142" s="102" t="inlineStr">
        <is>
          <t>Saída</t>
        </is>
      </c>
      <c r="E142" s="102" t="inlineStr">
        <is>
          <t>Vales e Adiantamentos</t>
        </is>
      </c>
      <c r="F142" s="103" t="n">
        <v>1300</v>
      </c>
      <c r="G142" s="104" t="inlineStr">
        <is>
          <t>06/2025</t>
        </is>
      </c>
      <c r="H142" s="104" t="inlineStr">
        <is>
          <t>CODI</t>
        </is>
      </c>
    </row>
    <row r="143" ht="15" customHeight="1" s="86">
      <c r="B143" s="101" t="n">
        <v>45809</v>
      </c>
      <c r="C143" s="102" t="inlineStr">
        <is>
          <t>Férias - 06/2025</t>
        </is>
      </c>
      <c r="D143" s="102" t="inlineStr">
        <is>
          <t>Saída</t>
        </is>
      </c>
      <c r="E143" s="102" t="inlineStr">
        <is>
          <t>Férias</t>
        </is>
      </c>
      <c r="F143" s="103" t="n">
        <v>2621</v>
      </c>
      <c r="G143" s="104" t="inlineStr">
        <is>
          <t>06/2025</t>
        </is>
      </c>
      <c r="H143" s="104" t="inlineStr">
        <is>
          <t>CODI</t>
        </is>
      </c>
    </row>
    <row r="144" ht="15" customHeight="1" s="86">
      <c r="B144" s="101" t="n">
        <v>45809</v>
      </c>
      <c r="C144" s="102" t="inlineStr">
        <is>
          <t>Material de Limpeza e Higiene - 06/2025</t>
        </is>
      </c>
      <c r="D144" s="102" t="inlineStr">
        <is>
          <t>Saída</t>
        </is>
      </c>
      <c r="E144" s="102" t="inlineStr">
        <is>
          <t>Material de Limpeza e Higiene</t>
        </is>
      </c>
      <c r="F144" s="103" t="n">
        <v>318.21</v>
      </c>
      <c r="G144" s="104" t="inlineStr">
        <is>
          <t>06/2025</t>
        </is>
      </c>
      <c r="H144" s="104" t="inlineStr">
        <is>
          <t>CODI</t>
        </is>
      </c>
    </row>
    <row r="145" ht="15" customHeight="1" s="86">
      <c r="B145" s="101" t="n">
        <v>45809</v>
      </c>
      <c r="C145" s="102" t="inlineStr">
        <is>
          <t>Frete e Transporte de Mercadorias - 06/2025</t>
        </is>
      </c>
      <c r="D145" s="102" t="inlineStr">
        <is>
          <t>Saída</t>
        </is>
      </c>
      <c r="E145" s="102" t="inlineStr">
        <is>
          <t>Frete e Transporte de Mercadorias</t>
        </is>
      </c>
      <c r="F145" s="103" t="n">
        <v>7505.06</v>
      </c>
      <c r="G145" s="104" t="inlineStr">
        <is>
          <t>06/2025</t>
        </is>
      </c>
      <c r="H145" s="104" t="inlineStr">
        <is>
          <t>CODI</t>
        </is>
      </c>
    </row>
    <row r="146" ht="15" customHeight="1" s="86">
      <c r="B146" s="101" t="n">
        <v>45809</v>
      </c>
      <c r="C146" s="102" t="inlineStr">
        <is>
          <t>Seguros - 06/2025</t>
        </is>
      </c>
      <c r="D146" s="102" t="inlineStr">
        <is>
          <t>Saída</t>
        </is>
      </c>
      <c r="E146" s="102" t="inlineStr">
        <is>
          <t>Seguros</t>
        </is>
      </c>
      <c r="F146" s="103" t="n">
        <v>269.95</v>
      </c>
      <c r="G146" s="104" t="inlineStr">
        <is>
          <t>06/2025</t>
        </is>
      </c>
      <c r="H146" s="104" t="inlineStr">
        <is>
          <t>CODI</t>
        </is>
      </c>
    </row>
    <row r="147" ht="15" customHeight="1" s="86">
      <c r="B147" s="101" t="n">
        <v>45809</v>
      </c>
      <c r="C147" s="102" t="inlineStr">
        <is>
          <t>Segurança e Monitoramento - 06/2025</t>
        </is>
      </c>
      <c r="D147" s="102" t="inlineStr">
        <is>
          <t>Saída</t>
        </is>
      </c>
      <c r="E147" s="102" t="inlineStr">
        <is>
          <t>Segurança e Monitoramento</t>
        </is>
      </c>
      <c r="F147" s="103" t="n">
        <v>140</v>
      </c>
      <c r="G147" s="104" t="inlineStr">
        <is>
          <t>06/2025</t>
        </is>
      </c>
      <c r="H147" s="104" t="inlineStr">
        <is>
          <t>CODI</t>
        </is>
      </c>
    </row>
    <row r="148" ht="15" customHeight="1" s="86">
      <c r="B148" s="101" t="n">
        <v>45809</v>
      </c>
      <c r="C148" s="102" t="inlineStr">
        <is>
          <t>Vale Transporte - 06/2025</t>
        </is>
      </c>
      <c r="D148" s="102" t="inlineStr">
        <is>
          <t>Saída</t>
        </is>
      </c>
      <c r="E148" s="102" t="inlineStr">
        <is>
          <t>Vale Transporte</t>
        </is>
      </c>
      <c r="F148" s="103" t="n">
        <v>3820</v>
      </c>
      <c r="G148" s="104" t="inlineStr">
        <is>
          <t>06/2025</t>
        </is>
      </c>
      <c r="H148" s="104" t="inlineStr">
        <is>
          <t>CODI</t>
        </is>
      </c>
    </row>
    <row r="149" ht="15" customHeight="1" s="86">
      <c r="B149" s="101" t="n">
        <v>45809</v>
      </c>
      <c r="C149" s="102" t="inlineStr">
        <is>
          <t>Publicidade - 06/2025</t>
        </is>
      </c>
      <c r="D149" s="102" t="inlineStr">
        <is>
          <t>Saída</t>
        </is>
      </c>
      <c r="E149" s="102" t="inlineStr">
        <is>
          <t>Publicidade</t>
        </is>
      </c>
      <c r="F149" s="103" t="n">
        <v>5617.27</v>
      </c>
      <c r="G149" s="104" t="inlineStr">
        <is>
          <t>06/2025</t>
        </is>
      </c>
      <c r="H149" s="104" t="inlineStr">
        <is>
          <t>CODI</t>
        </is>
      </c>
    </row>
    <row r="150" ht="15" customHeight="1" s="86">
      <c r="B150" s="101" t="n">
        <v>45809</v>
      </c>
      <c r="C150" s="102" t="inlineStr">
        <is>
          <t>Energia Elétrica - 06/2025</t>
        </is>
      </c>
      <c r="D150" s="102" t="inlineStr">
        <is>
          <t>Saída</t>
        </is>
      </c>
      <c r="E150" s="102" t="inlineStr">
        <is>
          <t>Energia Elétrica</t>
        </is>
      </c>
      <c r="F150" s="103" t="n">
        <v>110.19</v>
      </c>
      <c r="G150" s="104" t="inlineStr">
        <is>
          <t>06/2025</t>
        </is>
      </c>
      <c r="H150" s="104" t="inlineStr">
        <is>
          <t>CODI</t>
        </is>
      </c>
    </row>
    <row r="151" ht="15" customHeight="1" s="86">
      <c r="B151" s="101" t="n">
        <v>45809</v>
      </c>
      <c r="C151" s="102" t="inlineStr">
        <is>
          <t>Água - 06/2025</t>
        </is>
      </c>
      <c r="D151" s="102" t="inlineStr">
        <is>
          <t>Saída</t>
        </is>
      </c>
      <c r="E151" s="102" t="inlineStr">
        <is>
          <t>Água</t>
        </is>
      </c>
      <c r="F151" s="103" t="n">
        <v>332.28</v>
      </c>
      <c r="G151" s="104" t="inlineStr">
        <is>
          <t>06/2025</t>
        </is>
      </c>
      <c r="H151" s="104" t="inlineStr">
        <is>
          <t>CODI</t>
        </is>
      </c>
    </row>
    <row r="152" ht="15" customHeight="1" s="86">
      <c r="B152" s="101" t="n">
        <v>45809</v>
      </c>
      <c r="C152" s="102" t="inlineStr">
        <is>
          <t>Custo de Mercadoria Vendida - 06/2025</t>
        </is>
      </c>
      <c r="D152" s="102" t="inlineStr">
        <is>
          <t>Saída</t>
        </is>
      </c>
      <c r="E152" s="102" t="inlineStr">
        <is>
          <t>Custo de Mercadoria Vendida</t>
        </is>
      </c>
      <c r="F152" s="103" t="n">
        <v>402450.79</v>
      </c>
      <c r="G152" s="104" t="inlineStr">
        <is>
          <t>06/2025</t>
        </is>
      </c>
      <c r="H152" s="104" t="inlineStr">
        <is>
          <t>CODI</t>
        </is>
      </c>
    </row>
    <row r="153" ht="15" customHeight="1" s="86">
      <c r="B153" s="101" t="n">
        <v>45809</v>
      </c>
      <c r="C153" s="102" t="inlineStr">
        <is>
          <t>Multas - 06/2025</t>
        </is>
      </c>
      <c r="D153" s="102" t="inlineStr">
        <is>
          <t>Saída</t>
        </is>
      </c>
      <c r="E153" s="102" t="inlineStr">
        <is>
          <t>Multas</t>
        </is>
      </c>
      <c r="F153" s="103" t="n">
        <v>234.78</v>
      </c>
      <c r="G153" s="104" t="inlineStr">
        <is>
          <t>06/2025</t>
        </is>
      </c>
      <c r="H153" s="104" t="inlineStr">
        <is>
          <t>CODI</t>
        </is>
      </c>
    </row>
    <row r="154" ht="15" customHeight="1" s="86">
      <c r="B154" s="101" t="n">
        <v>45809</v>
      </c>
      <c r="C154" s="102" t="inlineStr">
        <is>
          <t>Coquetéis, festas e outros eventos - 06/2025</t>
        </is>
      </c>
      <c r="D154" s="102" t="inlineStr">
        <is>
          <t>Saída</t>
        </is>
      </c>
      <c r="E154" s="102" t="inlineStr">
        <is>
          <t>Coquetéis, festas e outros eventos</t>
        </is>
      </c>
      <c r="F154" s="103" t="n">
        <v>658.0700000000001</v>
      </c>
      <c r="G154" s="104" t="inlineStr">
        <is>
          <t>06/2025</t>
        </is>
      </c>
      <c r="H154" s="104" t="inlineStr">
        <is>
          <t>CODI</t>
        </is>
      </c>
    </row>
    <row r="155" ht="15" customHeight="1" s="86">
      <c r="B155" s="101" t="n">
        <v>45809</v>
      </c>
      <c r="C155" s="102" t="inlineStr">
        <is>
          <t>Honorários Contábeis (Contabilidade) - 06/2025</t>
        </is>
      </c>
      <c r="D155" s="102" t="inlineStr">
        <is>
          <t>Saída</t>
        </is>
      </c>
      <c r="E155" s="102" t="inlineStr">
        <is>
          <t>Honorários Contábeis (Contabilidade)</t>
        </is>
      </c>
      <c r="F155" s="103" t="n">
        <v>1100</v>
      </c>
      <c r="G155" s="104" t="inlineStr">
        <is>
          <t>06/2025</t>
        </is>
      </c>
      <c r="H155" s="104" t="inlineStr">
        <is>
          <t>CODI</t>
        </is>
      </c>
    </row>
    <row r="156" ht="15" customHeight="1" s="86">
      <c r="B156" s="101" t="n">
        <v>45809</v>
      </c>
      <c r="C156" s="102" t="inlineStr">
        <is>
          <t>Outras Despesas - 06/2025</t>
        </is>
      </c>
      <c r="D156" s="102" t="inlineStr">
        <is>
          <t>Saída</t>
        </is>
      </c>
      <c r="E156" s="102" t="inlineStr">
        <is>
          <t>Outras Despesas</t>
        </is>
      </c>
      <c r="F156" s="103" t="n">
        <v>50000</v>
      </c>
      <c r="G156" s="104" t="inlineStr">
        <is>
          <t>06/2025</t>
        </is>
      </c>
      <c r="H156" s="104" t="inlineStr">
        <is>
          <t>CODI</t>
        </is>
      </c>
    </row>
    <row r="157" ht="15" customHeight="1" s="86">
      <c r="B157" s="101" t="n">
        <v>45809</v>
      </c>
      <c r="C157" s="102" t="inlineStr">
        <is>
          <t>Alimentação - 06/2025</t>
        </is>
      </c>
      <c r="D157" s="102" t="inlineStr">
        <is>
          <t>Saída</t>
        </is>
      </c>
      <c r="E157" s="102" t="inlineStr">
        <is>
          <t>Alimentação</t>
        </is>
      </c>
      <c r="F157" s="103" t="n">
        <v>94.06</v>
      </c>
      <c r="G157" s="104" t="inlineStr">
        <is>
          <t>06/2025</t>
        </is>
      </c>
      <c r="H157" s="104" t="inlineStr">
        <is>
          <t>CODI</t>
        </is>
      </c>
    </row>
    <row r="158" ht="15" customHeight="1" s="86">
      <c r="B158" s="101" t="n">
        <v>45809</v>
      </c>
      <c r="C158" s="102" t="inlineStr">
        <is>
          <t>Combustíveis - 06/2025</t>
        </is>
      </c>
      <c r="D158" s="102" t="inlineStr">
        <is>
          <t>Saída</t>
        </is>
      </c>
      <c r="E158" s="102" t="inlineStr">
        <is>
          <t>Combustíveis</t>
        </is>
      </c>
      <c r="F158" s="103" t="n">
        <v>1719.58</v>
      </c>
      <c r="G158" s="104" t="inlineStr">
        <is>
          <t>06/2025</t>
        </is>
      </c>
      <c r="H158" s="104" t="inlineStr">
        <is>
          <t>CODI</t>
        </is>
      </c>
    </row>
    <row r="159" ht="15" customHeight="1" s="86">
      <c r="B159" s="101" t="n">
        <v>45809</v>
      </c>
      <c r="C159" s="102" t="inlineStr">
        <is>
          <t>Manutenção de Veiculos e Estacionamento - 06/2025</t>
        </is>
      </c>
      <c r="D159" s="102" t="inlineStr">
        <is>
          <t>Saída</t>
        </is>
      </c>
      <c r="E159" s="102" t="inlineStr">
        <is>
          <t>Manutenção de Veiculos e Estacionamento</t>
        </is>
      </c>
      <c r="F159" s="103" t="n">
        <v>50</v>
      </c>
      <c r="G159" s="104" t="inlineStr">
        <is>
          <t>06/2025</t>
        </is>
      </c>
      <c r="H159" s="104" t="inlineStr">
        <is>
          <t>CODI</t>
        </is>
      </c>
    </row>
    <row r="160" ht="15" customHeight="1" s="86">
      <c r="B160" s="101" t="n">
        <v>45809</v>
      </c>
      <c r="C160" s="102" t="inlineStr">
        <is>
          <t>Consulta de Crédito Cliente - 06/2025</t>
        </is>
      </c>
      <c r="D160" s="102" t="inlineStr">
        <is>
          <t>Saída</t>
        </is>
      </c>
      <c r="E160" s="102" t="inlineStr">
        <is>
          <t>Consulta de Crédito Cliente</t>
        </is>
      </c>
      <c r="F160" s="103" t="n">
        <v>387.32</v>
      </c>
      <c r="G160" s="104" t="inlineStr">
        <is>
          <t>06/2025</t>
        </is>
      </c>
      <c r="H160" s="104" t="inlineStr">
        <is>
          <t>CODI</t>
        </is>
      </c>
    </row>
    <row r="161" ht="15" customHeight="1" s="86">
      <c r="B161" s="101" t="n">
        <v>45809</v>
      </c>
      <c r="C161" s="102" t="inlineStr">
        <is>
          <t>Despesa com Sindicatos - 06/2025</t>
        </is>
      </c>
      <c r="D161" s="102" t="inlineStr">
        <is>
          <t>Saída</t>
        </is>
      </c>
      <c r="E161" s="102" t="inlineStr">
        <is>
          <t>Despesa com Sindicatos</t>
        </is>
      </c>
      <c r="F161" s="103" t="n">
        <v>697.87</v>
      </c>
      <c r="G161" s="104" t="inlineStr">
        <is>
          <t>06/2025</t>
        </is>
      </c>
      <c r="H161" s="104" t="inlineStr">
        <is>
          <t>CODI</t>
        </is>
      </c>
    </row>
    <row r="162" ht="15" customHeight="1" s="86">
      <c r="B162" s="101" t="n">
        <v>45809</v>
      </c>
      <c r="C162" s="102" t="inlineStr">
        <is>
          <t>Telefonia Fixa e Internet - 06/2025</t>
        </is>
      </c>
      <c r="D162" s="102" t="inlineStr">
        <is>
          <t>Saída</t>
        </is>
      </c>
      <c r="E162" s="102" t="inlineStr">
        <is>
          <t>Telefonia Fixa e Internet</t>
        </is>
      </c>
      <c r="F162" s="103" t="n">
        <v>240.64</v>
      </c>
      <c r="G162" s="104" t="inlineStr">
        <is>
          <t>06/2025</t>
        </is>
      </c>
      <c r="H162" s="104" t="inlineStr">
        <is>
          <t>CODI</t>
        </is>
      </c>
    </row>
    <row r="163" ht="15" customHeight="1" s="86">
      <c r="B163" s="101" t="n">
        <v>45809</v>
      </c>
      <c r="C163" s="102" t="inlineStr">
        <is>
          <t>Empréstimos - 06/2025</t>
        </is>
      </c>
      <c r="D163" s="102" t="inlineStr">
        <is>
          <t>Saída</t>
        </is>
      </c>
      <c r="E163" s="102" t="inlineStr">
        <is>
          <t>Empréstimos</t>
        </is>
      </c>
      <c r="F163" s="103" t="n">
        <v>33097.78</v>
      </c>
      <c r="G163" s="104" t="inlineStr">
        <is>
          <t>06/2025</t>
        </is>
      </c>
      <c r="H163" s="104" t="inlineStr">
        <is>
          <t>CODI</t>
        </is>
      </c>
    </row>
    <row r="164" ht="15" customHeight="1" s="86">
      <c r="B164" s="101" t="n">
        <v>45809</v>
      </c>
      <c r="C164" s="102" t="inlineStr">
        <is>
          <t>Viagens e estadas - 06/2025</t>
        </is>
      </c>
      <c r="D164" s="102" t="inlineStr">
        <is>
          <t>Saída</t>
        </is>
      </c>
      <c r="E164" s="102" t="inlineStr">
        <is>
          <t>Viagens e estadas</t>
        </is>
      </c>
      <c r="F164" s="103" t="n">
        <v>30.6</v>
      </c>
      <c r="G164" s="104" t="inlineStr">
        <is>
          <t>06/2025</t>
        </is>
      </c>
      <c r="H164" s="104" t="inlineStr">
        <is>
          <t>CODI</t>
        </is>
      </c>
    </row>
    <row r="165" ht="15" customHeight="1" s="86">
      <c r="B165" s="101" t="n">
        <v>45809</v>
      </c>
      <c r="C165" s="102" t="inlineStr">
        <is>
          <t>Material de Escritório - 06/2025</t>
        </is>
      </c>
      <c r="D165" s="102" t="inlineStr">
        <is>
          <t>Saída</t>
        </is>
      </c>
      <c r="E165" s="102" t="inlineStr">
        <is>
          <t>Material de Escritório</t>
        </is>
      </c>
      <c r="F165" s="103" t="n">
        <v>369.17</v>
      </c>
      <c r="G165" s="104" t="inlineStr">
        <is>
          <t>06/2025</t>
        </is>
      </c>
      <c r="H165" s="104" t="inlineStr">
        <is>
          <t>CODI</t>
        </is>
      </c>
    </row>
    <row r="166" ht="15" customHeight="1" s="86">
      <c r="B166" s="101" t="n">
        <v>45809</v>
      </c>
      <c r="C166" s="102" t="inlineStr">
        <is>
          <t>Manutenção de Imóveis - 06/2025</t>
        </is>
      </c>
      <c r="D166" s="102" t="inlineStr">
        <is>
          <t>Saída</t>
        </is>
      </c>
      <c r="E166" s="102" t="inlineStr">
        <is>
          <t>Manutenção de Imóveis</t>
        </is>
      </c>
      <c r="F166" s="103" t="n">
        <v>1000</v>
      </c>
      <c r="G166" s="104" t="inlineStr">
        <is>
          <t>06/2025</t>
        </is>
      </c>
      <c r="H166" s="104" t="inlineStr">
        <is>
          <t>CODI</t>
        </is>
      </c>
    </row>
    <row r="167" ht="15" customHeight="1" s="86">
      <c r="B167" s="101" t="n">
        <v>45809</v>
      </c>
      <c r="C167" s="102" t="inlineStr">
        <is>
          <t>Fgts, Gps e Pis - 06/2025</t>
        </is>
      </c>
      <c r="D167" s="102" t="inlineStr">
        <is>
          <t>Saída</t>
        </is>
      </c>
      <c r="E167" s="102" t="inlineStr">
        <is>
          <t>Fgts, Gps e Pis</t>
        </is>
      </c>
      <c r="F167" s="103" t="n">
        <v>1885.32</v>
      </c>
      <c r="G167" s="104" t="inlineStr">
        <is>
          <t>06/2025</t>
        </is>
      </c>
      <c r="H167" s="104" t="inlineStr">
        <is>
          <t>CODI</t>
        </is>
      </c>
    </row>
    <row r="168" ht="15" customHeight="1" s="86">
      <c r="B168" s="101" t="n">
        <v>45809</v>
      </c>
      <c r="C168" s="102" t="inlineStr">
        <is>
          <t>Gasto com Reforma - 06/2025</t>
        </is>
      </c>
      <c r="D168" s="102" t="inlineStr">
        <is>
          <t>Saída</t>
        </is>
      </c>
      <c r="E168" s="102" t="inlineStr">
        <is>
          <t>Gasto com Reforma</t>
        </is>
      </c>
      <c r="F168" s="103" t="n">
        <v>800</v>
      </c>
      <c r="G168" s="104" t="inlineStr">
        <is>
          <t>06/2025</t>
        </is>
      </c>
      <c r="H168" s="104" t="inlineStr">
        <is>
          <t>CODI</t>
        </is>
      </c>
    </row>
    <row r="169" ht="15" customHeight="1" s="86">
      <c r="B169" s="101" t="n">
        <v>45809</v>
      </c>
      <c r="C169" s="102" t="inlineStr">
        <is>
          <t>Compra de Computadores e Eletrônicos - 06/2025</t>
        </is>
      </c>
      <c r="D169" s="102" t="inlineStr">
        <is>
          <t>Saída</t>
        </is>
      </c>
      <c r="E169" s="102" t="inlineStr">
        <is>
          <t>Compra de Computadores e Eletrônicos</t>
        </is>
      </c>
      <c r="F169" s="103" t="n">
        <v>675.95</v>
      </c>
      <c r="G169" s="104" t="inlineStr">
        <is>
          <t>06/2025</t>
        </is>
      </c>
      <c r="H169" s="104" t="inlineStr">
        <is>
          <t>CODI</t>
        </is>
      </c>
    </row>
    <row r="170" ht="15" customHeight="1" s="86">
      <c r="B170" s="101" t="n">
        <v>45839</v>
      </c>
      <c r="C170" s="102" t="inlineStr">
        <is>
          <t>Vendas - 07/2025</t>
        </is>
      </c>
      <c r="D170" s="102" t="inlineStr">
        <is>
          <t>Entrada</t>
        </is>
      </c>
      <c r="E170" s="102" t="inlineStr">
        <is>
          <t>Vendas</t>
        </is>
      </c>
      <c r="F170" s="103" t="n">
        <v>525810.61</v>
      </c>
      <c r="G170" s="104" t="inlineStr">
        <is>
          <t>07/2025</t>
        </is>
      </c>
      <c r="H170" s="104" t="inlineStr">
        <is>
          <t>CODI</t>
        </is>
      </c>
    </row>
    <row r="171" ht="15" customHeight="1" s="86">
      <c r="B171" s="101" t="n">
        <v>45839</v>
      </c>
      <c r="C171" s="102" t="inlineStr">
        <is>
          <t>Tarifas e Custos de Op. Bancárias - 07/2025</t>
        </is>
      </c>
      <c r="D171" s="102" t="inlineStr">
        <is>
          <t>Saída</t>
        </is>
      </c>
      <c r="E171" s="102" t="inlineStr">
        <is>
          <t>Tarifas e Custos de Op. Bancárias</t>
        </is>
      </c>
      <c r="F171" s="103" t="n">
        <v>4100</v>
      </c>
      <c r="G171" s="104" t="inlineStr">
        <is>
          <t>07/2025</t>
        </is>
      </c>
      <c r="H171" s="104" t="inlineStr">
        <is>
          <t>CODI</t>
        </is>
      </c>
    </row>
    <row r="172" ht="15" customHeight="1" s="86">
      <c r="B172" s="101" t="n">
        <v>45839</v>
      </c>
      <c r="C172" s="102" t="inlineStr">
        <is>
          <t>Aluguéis e Condomínios - 07/2025</t>
        </is>
      </c>
      <c r="D172" s="102" t="inlineStr">
        <is>
          <t>Saída</t>
        </is>
      </c>
      <c r="E172" s="102" t="inlineStr">
        <is>
          <t>Aluguéis e Condomínios</t>
        </is>
      </c>
      <c r="F172" s="103" t="n">
        <v>5618.94</v>
      </c>
      <c r="G172" s="104" t="inlineStr">
        <is>
          <t>07/2025</t>
        </is>
      </c>
      <c r="H172" s="104" t="inlineStr">
        <is>
          <t>CODI</t>
        </is>
      </c>
    </row>
    <row r="173" ht="15" customHeight="1" s="86">
      <c r="B173" s="101" t="n">
        <v>45839</v>
      </c>
      <c r="C173" s="102" t="inlineStr">
        <is>
          <t>Salário e Ordenados - 07/2025</t>
        </is>
      </c>
      <c r="D173" s="102" t="inlineStr">
        <is>
          <t>Saída</t>
        </is>
      </c>
      <c r="E173" s="102" t="inlineStr">
        <is>
          <t>Salário e Ordenados</t>
        </is>
      </c>
      <c r="F173" s="103" t="n">
        <v>32472.03</v>
      </c>
      <c r="G173" s="104" t="inlineStr">
        <is>
          <t>07/2025</t>
        </is>
      </c>
      <c r="H173" s="104" t="inlineStr">
        <is>
          <t>CODI</t>
        </is>
      </c>
    </row>
    <row r="174" ht="15" customHeight="1" s="86">
      <c r="B174" s="101" t="n">
        <v>45839</v>
      </c>
      <c r="C174" s="102" t="inlineStr">
        <is>
          <t>Vales e Adiantamentos - 07/2025</t>
        </is>
      </c>
      <c r="D174" s="102" t="inlineStr">
        <is>
          <t>Saída</t>
        </is>
      </c>
      <c r="E174" s="102" t="inlineStr">
        <is>
          <t>Vales e Adiantamentos</t>
        </is>
      </c>
      <c r="F174" s="103" t="n">
        <v>1650</v>
      </c>
      <c r="G174" s="104" t="inlineStr">
        <is>
          <t>07/2025</t>
        </is>
      </c>
      <c r="H174" s="104" t="inlineStr">
        <is>
          <t>CODI</t>
        </is>
      </c>
    </row>
    <row r="175" ht="15" customHeight="1" s="86">
      <c r="B175" s="101" t="n">
        <v>45839</v>
      </c>
      <c r="C175" s="102" t="inlineStr">
        <is>
          <t>Material de Limpeza e Higiene - 07/2025</t>
        </is>
      </c>
      <c r="D175" s="102" t="inlineStr">
        <is>
          <t>Saída</t>
        </is>
      </c>
      <c r="E175" s="102" t="inlineStr">
        <is>
          <t>Material de Limpeza e Higiene</t>
        </is>
      </c>
      <c r="F175" s="103" t="n">
        <v>30</v>
      </c>
      <c r="G175" s="104" t="inlineStr">
        <is>
          <t>07/2025</t>
        </is>
      </c>
      <c r="H175" s="104" t="inlineStr">
        <is>
          <t>CODI</t>
        </is>
      </c>
    </row>
    <row r="176" ht="15" customHeight="1" s="86">
      <c r="B176" s="101" t="n">
        <v>45839</v>
      </c>
      <c r="C176" s="102" t="inlineStr">
        <is>
          <t>Frete e Transporte de Mercadorias - 07/2025</t>
        </is>
      </c>
      <c r="D176" s="102" t="inlineStr">
        <is>
          <t>Saída</t>
        </is>
      </c>
      <c r="E176" s="102" t="inlineStr">
        <is>
          <t>Frete e Transporte de Mercadorias</t>
        </is>
      </c>
      <c r="F176" s="103" t="n">
        <v>2633.53</v>
      </c>
      <c r="G176" s="104" t="inlineStr">
        <is>
          <t>07/2025</t>
        </is>
      </c>
      <c r="H176" s="104" t="inlineStr">
        <is>
          <t>CODI</t>
        </is>
      </c>
    </row>
    <row r="177" ht="15" customHeight="1" s="86">
      <c r="B177" s="101" t="n">
        <v>45839</v>
      </c>
      <c r="C177" s="102" t="inlineStr">
        <is>
          <t>Seguros - 07/2025</t>
        </is>
      </c>
      <c r="D177" s="102" t="inlineStr">
        <is>
          <t>Saída</t>
        </is>
      </c>
      <c r="E177" s="102" t="inlineStr">
        <is>
          <t>Seguros</t>
        </is>
      </c>
      <c r="F177" s="103" t="n">
        <v>270.22</v>
      </c>
      <c r="G177" s="104" t="inlineStr">
        <is>
          <t>07/2025</t>
        </is>
      </c>
      <c r="H177" s="104" t="inlineStr">
        <is>
          <t>CODI</t>
        </is>
      </c>
    </row>
    <row r="178" ht="15" customHeight="1" s="86">
      <c r="B178" s="101" t="n">
        <v>45839</v>
      </c>
      <c r="C178" s="102" t="inlineStr">
        <is>
          <t>Segurança e Monitoramento - 07/2025</t>
        </is>
      </c>
      <c r="D178" s="102" t="inlineStr">
        <is>
          <t>Saída</t>
        </is>
      </c>
      <c r="E178" s="102" t="inlineStr">
        <is>
          <t>Segurança e Monitoramento</t>
        </is>
      </c>
      <c r="F178" s="103" t="n">
        <v>140</v>
      </c>
      <c r="G178" s="104" t="inlineStr">
        <is>
          <t>07/2025</t>
        </is>
      </c>
      <c r="H178" s="104" t="inlineStr">
        <is>
          <t>CODI</t>
        </is>
      </c>
    </row>
    <row r="179" ht="15" customHeight="1" s="86">
      <c r="B179" s="101" t="n">
        <v>45839</v>
      </c>
      <c r="C179" s="102" t="inlineStr">
        <is>
          <t>Vale Transporte - 07/2025</t>
        </is>
      </c>
      <c r="D179" s="102" t="inlineStr">
        <is>
          <t>Saída</t>
        </is>
      </c>
      <c r="E179" s="102" t="inlineStr">
        <is>
          <t>Vale Transporte</t>
        </is>
      </c>
      <c r="F179" s="103" t="n">
        <v>3160</v>
      </c>
      <c r="G179" s="104" t="inlineStr">
        <is>
          <t>07/2025</t>
        </is>
      </c>
      <c r="H179" s="104" t="inlineStr">
        <is>
          <t>CODI</t>
        </is>
      </c>
    </row>
    <row r="180" ht="15" customHeight="1" s="86">
      <c r="B180" s="101" t="n">
        <v>45839</v>
      </c>
      <c r="C180" s="102" t="inlineStr">
        <is>
          <t>Publicidade - 07/2025</t>
        </is>
      </c>
      <c r="D180" s="102" t="inlineStr">
        <is>
          <t>Saída</t>
        </is>
      </c>
      <c r="E180" s="102" t="inlineStr">
        <is>
          <t>Publicidade</t>
        </is>
      </c>
      <c r="F180" s="103" t="n">
        <v>3941.68</v>
      </c>
      <c r="G180" s="104" t="inlineStr">
        <is>
          <t>07/2025</t>
        </is>
      </c>
      <c r="H180" s="104" t="inlineStr">
        <is>
          <t>CODI</t>
        </is>
      </c>
    </row>
    <row r="181" ht="15" customHeight="1" s="86">
      <c r="B181" s="101" t="n">
        <v>45839</v>
      </c>
      <c r="C181" s="102" t="inlineStr">
        <is>
          <t>Energia Elétrica - 07/2025</t>
        </is>
      </c>
      <c r="D181" s="102" t="inlineStr">
        <is>
          <t>Saída</t>
        </is>
      </c>
      <c r="E181" s="102" t="inlineStr">
        <is>
          <t>Energia Elétrica</t>
        </is>
      </c>
      <c r="F181" s="103" t="n">
        <v>113</v>
      </c>
      <c r="G181" s="104" t="inlineStr">
        <is>
          <t>07/2025</t>
        </is>
      </c>
      <c r="H181" s="104" t="inlineStr">
        <is>
          <t>CODI</t>
        </is>
      </c>
    </row>
    <row r="182" ht="15" customHeight="1" s="86">
      <c r="B182" s="101" t="n">
        <v>45839</v>
      </c>
      <c r="C182" s="102" t="inlineStr">
        <is>
          <t>Água - 07/2025</t>
        </is>
      </c>
      <c r="D182" s="102" t="inlineStr">
        <is>
          <t>Saída</t>
        </is>
      </c>
      <c r="E182" s="102" t="inlineStr">
        <is>
          <t>Água</t>
        </is>
      </c>
      <c r="F182" s="103" t="n">
        <v>327</v>
      </c>
      <c r="G182" s="104" t="inlineStr">
        <is>
          <t>07/2025</t>
        </is>
      </c>
      <c r="H182" s="104" t="inlineStr">
        <is>
          <t>CODI</t>
        </is>
      </c>
    </row>
    <row r="183" ht="15" customHeight="1" s="86">
      <c r="B183" s="101" t="n">
        <v>45839</v>
      </c>
      <c r="C183" s="102" t="inlineStr">
        <is>
          <t>Exame Adminissional/Demissional - 07/2025</t>
        </is>
      </c>
      <c r="D183" s="102" t="inlineStr">
        <is>
          <t>Saída</t>
        </is>
      </c>
      <c r="E183" s="102" t="inlineStr">
        <is>
          <t>Exame Adminissional/Demissional</t>
        </is>
      </c>
      <c r="F183" s="103" t="n">
        <v>30</v>
      </c>
      <c r="G183" s="104" t="inlineStr">
        <is>
          <t>07/2025</t>
        </is>
      </c>
      <c r="H183" s="104" t="inlineStr">
        <is>
          <t>CODI</t>
        </is>
      </c>
    </row>
    <row r="184" ht="15" customHeight="1" s="86">
      <c r="B184" s="101" t="n">
        <v>45839</v>
      </c>
      <c r="C184" s="102" t="inlineStr">
        <is>
          <t>Custo de Mercadoria Vendida - 07/2025</t>
        </is>
      </c>
      <c r="D184" s="102" t="inlineStr">
        <is>
          <t>Saída</t>
        </is>
      </c>
      <c r="E184" s="102" t="inlineStr">
        <is>
          <t>Custo de Mercadoria Vendida</t>
        </is>
      </c>
      <c r="F184" s="103" t="n">
        <v>316241.94</v>
      </c>
      <c r="G184" s="104" t="inlineStr">
        <is>
          <t>07/2025</t>
        </is>
      </c>
      <c r="H184" s="104" t="inlineStr">
        <is>
          <t>CODI</t>
        </is>
      </c>
    </row>
    <row r="185" ht="15" customHeight="1" s="86">
      <c r="B185" s="101" t="n">
        <v>45839</v>
      </c>
      <c r="C185" s="102" t="inlineStr">
        <is>
          <t>Honorários Contábeis (Contabilidade) - 07/2025</t>
        </is>
      </c>
      <c r="D185" s="102" t="inlineStr">
        <is>
          <t>Saída</t>
        </is>
      </c>
      <c r="E185" s="102" t="inlineStr">
        <is>
          <t>Honorários Contábeis (Contabilidade)</t>
        </is>
      </c>
      <c r="F185" s="103" t="n">
        <v>1100</v>
      </c>
      <c r="G185" s="104" t="inlineStr">
        <is>
          <t>07/2025</t>
        </is>
      </c>
      <c r="H185" s="104" t="inlineStr">
        <is>
          <t>CODI</t>
        </is>
      </c>
    </row>
    <row r="186" ht="15" customHeight="1" s="86">
      <c r="B186" s="101" t="n">
        <v>45839</v>
      </c>
      <c r="C186" s="102" t="inlineStr">
        <is>
          <t>Outras Despesas - 07/2025</t>
        </is>
      </c>
      <c r="D186" s="102" t="inlineStr">
        <is>
          <t>Saída</t>
        </is>
      </c>
      <c r="E186" s="102" t="inlineStr">
        <is>
          <t>Outras Despesas</t>
        </is>
      </c>
      <c r="F186" s="103" t="n">
        <v>50000</v>
      </c>
      <c r="G186" s="104" t="inlineStr">
        <is>
          <t>07/2025</t>
        </is>
      </c>
      <c r="H186" s="104" t="inlineStr">
        <is>
          <t>CODI</t>
        </is>
      </c>
    </row>
    <row r="187" ht="15" customHeight="1" s="86">
      <c r="B187" s="101" t="n">
        <v>45839</v>
      </c>
      <c r="C187" s="102" t="inlineStr">
        <is>
          <t>Alimentação - 07/2025</t>
        </is>
      </c>
      <c r="D187" s="102" t="inlineStr">
        <is>
          <t>Saída</t>
        </is>
      </c>
      <c r="E187" s="102" t="inlineStr">
        <is>
          <t>Alimentação</t>
        </is>
      </c>
      <c r="F187" s="103" t="n">
        <v>242.3</v>
      </c>
      <c r="G187" s="104" t="inlineStr">
        <is>
          <t>07/2025</t>
        </is>
      </c>
      <c r="H187" s="104" t="inlineStr">
        <is>
          <t>CODI</t>
        </is>
      </c>
    </row>
    <row r="188" ht="15" customHeight="1" s="86">
      <c r="B188" s="101" t="n">
        <v>45839</v>
      </c>
      <c r="C188" s="102" t="inlineStr">
        <is>
          <t>Combustíveis - 07/2025</t>
        </is>
      </c>
      <c r="D188" s="102" t="inlineStr">
        <is>
          <t>Saída</t>
        </is>
      </c>
      <c r="E188" s="102" t="inlineStr">
        <is>
          <t>Combustíveis</t>
        </is>
      </c>
      <c r="F188" s="103" t="n">
        <v>1557.11</v>
      </c>
      <c r="G188" s="104" t="inlineStr">
        <is>
          <t>07/2025</t>
        </is>
      </c>
      <c r="H188" s="104" t="inlineStr">
        <is>
          <t>CODI</t>
        </is>
      </c>
    </row>
    <row r="189" ht="15" customHeight="1" s="86">
      <c r="B189" s="101" t="n">
        <v>45839</v>
      </c>
      <c r="C189" s="102" t="inlineStr">
        <is>
          <t>Manutenção de Máquinas e Peças - 07/2025</t>
        </is>
      </c>
      <c r="D189" s="102" t="inlineStr">
        <is>
          <t>Saída</t>
        </is>
      </c>
      <c r="E189" s="102" t="inlineStr">
        <is>
          <t>Manutenção de Máquinas e Peças</t>
        </is>
      </c>
      <c r="F189" s="103" t="n">
        <v>915</v>
      </c>
      <c r="G189" s="104" t="inlineStr">
        <is>
          <t>07/2025</t>
        </is>
      </c>
      <c r="H189" s="104" t="inlineStr">
        <is>
          <t>CODI</t>
        </is>
      </c>
    </row>
    <row r="190" ht="15" customHeight="1" s="86">
      <c r="B190" s="101" t="n">
        <v>45839</v>
      </c>
      <c r="C190" s="102" t="inlineStr">
        <is>
          <t>Manutenção de Veiculos e Estacionamento - 07/2025</t>
        </is>
      </c>
      <c r="D190" s="102" t="inlineStr">
        <is>
          <t>Saída</t>
        </is>
      </c>
      <c r="E190" s="102" t="inlineStr">
        <is>
          <t>Manutenção de Veiculos e Estacionamento</t>
        </is>
      </c>
      <c r="F190" s="103" t="n">
        <v>728</v>
      </c>
      <c r="G190" s="104" t="inlineStr">
        <is>
          <t>07/2025</t>
        </is>
      </c>
      <c r="H190" s="104" t="inlineStr">
        <is>
          <t>CODI</t>
        </is>
      </c>
    </row>
    <row r="191" ht="15" customHeight="1" s="86">
      <c r="B191" s="101" t="n">
        <v>45839</v>
      </c>
      <c r="C191" s="102" t="inlineStr">
        <is>
          <t>Consulta de Crédito Cliente - 07/2025</t>
        </is>
      </c>
      <c r="D191" s="102" t="inlineStr">
        <is>
          <t>Saída</t>
        </is>
      </c>
      <c r="E191" s="102" t="inlineStr">
        <is>
          <t>Consulta de Crédito Cliente</t>
        </is>
      </c>
      <c r="F191" s="103" t="n">
        <v>327.05</v>
      </c>
      <c r="G191" s="104" t="inlineStr">
        <is>
          <t>07/2025</t>
        </is>
      </c>
      <c r="H191" s="104" t="inlineStr">
        <is>
          <t>CODI</t>
        </is>
      </c>
    </row>
    <row r="192" ht="15" customHeight="1" s="86">
      <c r="B192" s="101" t="n">
        <v>45839</v>
      </c>
      <c r="C192" s="102" t="inlineStr">
        <is>
          <t>Despesa com Sindicatos - 07/2025</t>
        </is>
      </c>
      <c r="D192" s="102" t="inlineStr">
        <is>
          <t>Saída</t>
        </is>
      </c>
      <c r="E192" s="102" t="inlineStr">
        <is>
          <t>Despesa com Sindicatos</t>
        </is>
      </c>
      <c r="F192" s="103" t="n">
        <v>49.9</v>
      </c>
      <c r="G192" s="104" t="inlineStr">
        <is>
          <t>07/2025</t>
        </is>
      </c>
      <c r="H192" s="104" t="inlineStr">
        <is>
          <t>CODI</t>
        </is>
      </c>
    </row>
    <row r="193" ht="15" customHeight="1" s="86">
      <c r="B193" s="101" t="n">
        <v>45839</v>
      </c>
      <c r="C193" s="102" t="inlineStr">
        <is>
          <t>Telefonia Fixa e Internet - 07/2025</t>
        </is>
      </c>
      <c r="D193" s="102" t="inlineStr">
        <is>
          <t>Saída</t>
        </is>
      </c>
      <c r="E193" s="102" t="inlineStr">
        <is>
          <t>Telefonia Fixa e Internet</t>
        </is>
      </c>
      <c r="F193" s="103" t="n">
        <v>252.72</v>
      </c>
      <c r="G193" s="104" t="inlineStr">
        <is>
          <t>07/2025</t>
        </is>
      </c>
      <c r="H193" s="104" t="inlineStr">
        <is>
          <t>CODI</t>
        </is>
      </c>
    </row>
    <row r="194" ht="15" customHeight="1" s="86">
      <c r="B194" s="101" t="n">
        <v>45839</v>
      </c>
      <c r="C194" s="102" t="inlineStr">
        <is>
          <t>Empréstimos - 07/2025</t>
        </is>
      </c>
      <c r="D194" s="102" t="inlineStr">
        <is>
          <t>Saída</t>
        </is>
      </c>
      <c r="E194" s="102" t="inlineStr">
        <is>
          <t>Empréstimos</t>
        </is>
      </c>
      <c r="F194" s="103" t="n">
        <v>75426.78</v>
      </c>
      <c r="G194" s="104" t="inlineStr">
        <is>
          <t>07/2025</t>
        </is>
      </c>
      <c r="H194" s="104" t="inlineStr">
        <is>
          <t>CODI</t>
        </is>
      </c>
    </row>
    <row r="195" ht="15" customHeight="1" s="86">
      <c r="B195" s="101" t="n">
        <v>45839</v>
      </c>
      <c r="C195" s="102" t="inlineStr">
        <is>
          <t>Compra de Computadores e Eletrônicos - 07/2025</t>
        </is>
      </c>
      <c r="D195" s="102" t="inlineStr">
        <is>
          <t>Saída</t>
        </is>
      </c>
      <c r="E195" s="102" t="inlineStr">
        <is>
          <t>Compra de Computadores e Eletrônicos</t>
        </is>
      </c>
      <c r="F195" s="103" t="n">
        <v>675.95</v>
      </c>
      <c r="G195" s="104" t="inlineStr">
        <is>
          <t>07/2025</t>
        </is>
      </c>
      <c r="H195" s="104" t="inlineStr">
        <is>
          <t>CODI</t>
        </is>
      </c>
    </row>
    <row r="196" ht="15" customHeight="1" s="86">
      <c r="B196" s="101" t="n">
        <v>45839</v>
      </c>
      <c r="C196" s="102" t="inlineStr">
        <is>
          <t>Web Site e Sistema ERP - 07/2025</t>
        </is>
      </c>
      <c r="D196" s="102" t="inlineStr">
        <is>
          <t>Saída</t>
        </is>
      </c>
      <c r="E196" s="102" t="inlineStr">
        <is>
          <t>Web Site e Sistema ERP</t>
        </is>
      </c>
      <c r="F196" s="103" t="n">
        <v>957</v>
      </c>
      <c r="G196" s="104" t="inlineStr">
        <is>
          <t>07/2025</t>
        </is>
      </c>
      <c r="H196" s="104" t="inlineStr">
        <is>
          <t>CODI</t>
        </is>
      </c>
    </row>
    <row r="197" ht="15" customHeight="1" s="86">
      <c r="B197" s="101" t="n">
        <v>45839</v>
      </c>
      <c r="C197" s="102" t="inlineStr">
        <is>
          <t>Ipva - 07/2025</t>
        </is>
      </c>
      <c r="D197" s="102" t="inlineStr">
        <is>
          <t>Saída</t>
        </is>
      </c>
      <c r="E197" s="102" t="inlineStr">
        <is>
          <t>Ipva</t>
        </is>
      </c>
      <c r="F197" s="103" t="n">
        <v>3385.22</v>
      </c>
      <c r="G197" s="104" t="inlineStr">
        <is>
          <t>07/2025</t>
        </is>
      </c>
      <c r="H197" s="104" t="inlineStr">
        <is>
          <t>CODI</t>
        </is>
      </c>
    </row>
    <row r="198" ht="15" customHeight="1" s="86">
      <c r="B198" s="101" t="n">
        <v>45839</v>
      </c>
      <c r="C198" s="102" t="inlineStr">
        <is>
          <t>Patrocínio - 07/2025</t>
        </is>
      </c>
      <c r="D198" s="102" t="inlineStr">
        <is>
          <t>Saída</t>
        </is>
      </c>
      <c r="E198" s="102" t="inlineStr">
        <is>
          <t>Patrocínio</t>
        </is>
      </c>
      <c r="F198" s="103" t="n">
        <v>500</v>
      </c>
      <c r="G198" s="104" t="inlineStr">
        <is>
          <t>07/2025</t>
        </is>
      </c>
      <c r="H198" s="104" t="inlineStr">
        <is>
          <t>CODI</t>
        </is>
      </c>
    </row>
    <row r="199" ht="15" customHeight="1" s="86">
      <c r="B199" s="101" t="n">
        <v>45839</v>
      </c>
      <c r="C199" s="102" t="inlineStr">
        <is>
          <t>Material de Copa e Cozinha - 07/2025</t>
        </is>
      </c>
      <c r="D199" s="102" t="inlineStr">
        <is>
          <t>Saída</t>
        </is>
      </c>
      <c r="E199" s="102" t="inlineStr">
        <is>
          <t>Material de Copa e Cozinha</t>
        </is>
      </c>
      <c r="F199" s="103" t="n">
        <v>157.75</v>
      </c>
      <c r="G199" s="104" t="inlineStr">
        <is>
          <t>07/2025</t>
        </is>
      </c>
      <c r="H199" s="104" t="inlineStr">
        <is>
          <t>CODI</t>
        </is>
      </c>
    </row>
    <row r="200" ht="15" customHeight="1" s="86">
      <c r="B200" s="101" t="n">
        <v>45839</v>
      </c>
      <c r="C200" s="102" t="inlineStr">
        <is>
          <t>Juros de Empréstimos - 07/2025</t>
        </is>
      </c>
      <c r="D200" s="102" t="inlineStr">
        <is>
          <t>Saída</t>
        </is>
      </c>
      <c r="E200" s="102" t="inlineStr">
        <is>
          <t>Juros de Empréstimos</t>
        </is>
      </c>
      <c r="F200" s="103" t="n">
        <v>6250</v>
      </c>
      <c r="G200" s="104" t="inlineStr">
        <is>
          <t>07/2025</t>
        </is>
      </c>
      <c r="H200" s="104" t="inlineStr">
        <is>
          <t>CODI</t>
        </is>
      </c>
    </row>
    <row r="201" ht="15" customHeight="1" s="86">
      <c r="B201" s="101" t="n">
        <v>45839</v>
      </c>
      <c r="C201" s="102" t="inlineStr">
        <is>
          <t>Compra de Veículos - 07/2025</t>
        </is>
      </c>
      <c r="D201" s="102" t="inlineStr">
        <is>
          <t>Saída</t>
        </is>
      </c>
      <c r="E201" s="102" t="inlineStr">
        <is>
          <t>Compra de Veículos</t>
        </is>
      </c>
      <c r="F201" s="103" t="n">
        <v>15678</v>
      </c>
      <c r="G201" s="104" t="inlineStr">
        <is>
          <t>07/2025</t>
        </is>
      </c>
      <c r="H201" s="104" t="inlineStr">
        <is>
          <t>CODI</t>
        </is>
      </c>
    </row>
    <row r="202" ht="15" customHeight="1" s="86">
      <c r="B202" s="101" t="n">
        <v>45870</v>
      </c>
      <c r="C202" s="102" t="inlineStr">
        <is>
          <t>Vendas - 08/2025</t>
        </is>
      </c>
      <c r="D202" s="102" t="inlineStr">
        <is>
          <t>Entrada</t>
        </is>
      </c>
      <c r="E202" s="102" t="inlineStr">
        <is>
          <t>Vendas</t>
        </is>
      </c>
      <c r="F202" s="103" t="n">
        <v>527060.86</v>
      </c>
      <c r="G202" s="104" t="inlineStr">
        <is>
          <t>08/2025</t>
        </is>
      </c>
      <c r="H202" s="104" t="inlineStr">
        <is>
          <t>CODI</t>
        </is>
      </c>
    </row>
    <row r="203" ht="15" customHeight="1" s="86">
      <c r="B203" s="101" t="n">
        <v>45870</v>
      </c>
      <c r="C203" s="102" t="inlineStr">
        <is>
          <t>Tarifas e Custos de Op. Bancárias - 08/2025</t>
        </is>
      </c>
      <c r="D203" s="102" t="inlineStr">
        <is>
          <t>Saída</t>
        </is>
      </c>
      <c r="E203" s="102" t="inlineStr">
        <is>
          <t>Tarifas e Custos de Op. Bancárias</t>
        </is>
      </c>
      <c r="F203" s="103" t="n">
        <v>2550</v>
      </c>
      <c r="G203" s="104" t="inlineStr">
        <is>
          <t>08/2025</t>
        </is>
      </c>
      <c r="H203" s="104" t="inlineStr">
        <is>
          <t>CODI</t>
        </is>
      </c>
    </row>
    <row r="204" ht="15" customHeight="1" s="86">
      <c r="B204" s="101" t="n">
        <v>45870</v>
      </c>
      <c r="C204" s="102" t="inlineStr">
        <is>
          <t>Aluguéis e Condomínios - 08/2025</t>
        </is>
      </c>
      <c r="D204" s="102" t="inlineStr">
        <is>
          <t>Saída</t>
        </is>
      </c>
      <c r="E204" s="102" t="inlineStr">
        <is>
          <t>Aluguéis e Condomínios</t>
        </is>
      </c>
      <c r="F204" s="103" t="n">
        <v>6582.13</v>
      </c>
      <c r="G204" s="104" t="inlineStr">
        <is>
          <t>08/2025</t>
        </is>
      </c>
      <c r="H204" s="104" t="inlineStr">
        <is>
          <t>CODI</t>
        </is>
      </c>
    </row>
    <row r="205" ht="15" customHeight="1" s="86">
      <c r="B205" s="101" t="n">
        <v>45870</v>
      </c>
      <c r="C205" s="102" t="inlineStr">
        <is>
          <t>Salário e Ordenados - 08/2025</t>
        </is>
      </c>
      <c r="D205" s="102" t="inlineStr">
        <is>
          <t>Saída</t>
        </is>
      </c>
      <c r="E205" s="102" t="inlineStr">
        <is>
          <t>Salário e Ordenados</t>
        </is>
      </c>
      <c r="F205" s="103" t="n">
        <v>27259.41</v>
      </c>
      <c r="G205" s="104" t="inlineStr">
        <is>
          <t>08/2025</t>
        </is>
      </c>
      <c r="H205" s="104" t="inlineStr">
        <is>
          <t>CODI</t>
        </is>
      </c>
    </row>
    <row r="206" ht="15" customHeight="1" s="86">
      <c r="B206" s="101" t="n">
        <v>45870</v>
      </c>
      <c r="C206" s="102" t="inlineStr">
        <is>
          <t>Vales e Adiantamentos - 08/2025</t>
        </is>
      </c>
      <c r="D206" s="102" t="inlineStr">
        <is>
          <t>Saída</t>
        </is>
      </c>
      <c r="E206" s="102" t="inlineStr">
        <is>
          <t>Vales e Adiantamentos</t>
        </is>
      </c>
      <c r="F206" s="103" t="n">
        <v>800.01</v>
      </c>
      <c r="G206" s="104" t="inlineStr">
        <is>
          <t>08/2025</t>
        </is>
      </c>
      <c r="H206" s="104" t="inlineStr">
        <is>
          <t>CODI</t>
        </is>
      </c>
    </row>
    <row r="207" ht="15" customHeight="1" s="86">
      <c r="B207" s="101" t="n">
        <v>45870</v>
      </c>
      <c r="C207" s="102" t="inlineStr">
        <is>
          <t>Acertos e Recisões - 08/2025</t>
        </is>
      </c>
      <c r="D207" s="102" t="inlineStr">
        <is>
          <t>Saída</t>
        </is>
      </c>
      <c r="E207" s="102" t="inlineStr">
        <is>
          <t>Acertos e Recisões</t>
        </is>
      </c>
      <c r="F207" s="103" t="n">
        <v>2906.98</v>
      </c>
      <c r="G207" s="104" t="inlineStr">
        <is>
          <t>08/2025</t>
        </is>
      </c>
      <c r="H207" s="104" t="inlineStr">
        <is>
          <t>CODI</t>
        </is>
      </c>
    </row>
    <row r="208" ht="15" customHeight="1" s="86">
      <c r="B208" s="101" t="n">
        <v>45870</v>
      </c>
      <c r="C208" s="102" t="inlineStr">
        <is>
          <t>Frete e Transporte de Mercadorias - 08/2025</t>
        </is>
      </c>
      <c r="D208" s="102" t="inlineStr">
        <is>
          <t>Saída</t>
        </is>
      </c>
      <c r="E208" s="102" t="inlineStr">
        <is>
          <t>Frete e Transporte de Mercadorias</t>
        </is>
      </c>
      <c r="F208" s="103" t="n">
        <v>6200.07</v>
      </c>
      <c r="G208" s="104" t="inlineStr">
        <is>
          <t>08/2025</t>
        </is>
      </c>
      <c r="H208" s="104" t="inlineStr">
        <is>
          <t>CODI</t>
        </is>
      </c>
    </row>
    <row r="209" ht="15" customHeight="1" s="86">
      <c r="B209" s="101" t="n">
        <v>45870</v>
      </c>
      <c r="C209" s="102" t="inlineStr">
        <is>
          <t>Seguros - 08/2025</t>
        </is>
      </c>
      <c r="D209" s="102" t="inlineStr">
        <is>
          <t>Saída</t>
        </is>
      </c>
      <c r="E209" s="102" t="inlineStr">
        <is>
          <t>Seguros</t>
        </is>
      </c>
      <c r="F209" s="103" t="n">
        <v>269.82</v>
      </c>
      <c r="G209" s="104" t="inlineStr">
        <is>
          <t>08/2025</t>
        </is>
      </c>
      <c r="H209" s="104" t="inlineStr">
        <is>
          <t>CODI</t>
        </is>
      </c>
    </row>
    <row r="210" ht="15" customHeight="1" s="86">
      <c r="B210" s="101" t="n">
        <v>45870</v>
      </c>
      <c r="C210" s="102" t="inlineStr">
        <is>
          <t>Segurança e Monitoramento - 08/2025</t>
        </is>
      </c>
      <c r="D210" s="102" t="inlineStr">
        <is>
          <t>Saída</t>
        </is>
      </c>
      <c r="E210" s="102" t="inlineStr">
        <is>
          <t>Segurança e Monitoramento</t>
        </is>
      </c>
      <c r="F210" s="103" t="n">
        <v>140</v>
      </c>
      <c r="G210" s="104" t="inlineStr">
        <is>
          <t>08/2025</t>
        </is>
      </c>
      <c r="H210" s="104" t="inlineStr">
        <is>
          <t>CODI</t>
        </is>
      </c>
    </row>
    <row r="211" ht="15" customHeight="1" s="86">
      <c r="B211" s="101" t="n">
        <v>45870</v>
      </c>
      <c r="C211" s="102" t="inlineStr">
        <is>
          <t>Vale Transporte - 08/2025</t>
        </is>
      </c>
      <c r="D211" s="102" t="inlineStr">
        <is>
          <t>Saída</t>
        </is>
      </c>
      <c r="E211" s="102" t="inlineStr">
        <is>
          <t>Vale Transporte</t>
        </is>
      </c>
      <c r="F211" s="103" t="n">
        <v>3240</v>
      </c>
      <c r="G211" s="104" t="inlineStr">
        <is>
          <t>08/2025</t>
        </is>
      </c>
      <c r="H211" s="104" t="inlineStr">
        <is>
          <t>CODI</t>
        </is>
      </c>
    </row>
    <row r="212" ht="15" customHeight="1" s="86">
      <c r="B212" s="101" t="n">
        <v>45870</v>
      </c>
      <c r="C212" s="102" t="inlineStr">
        <is>
          <t>Publicidade - 08/2025</t>
        </is>
      </c>
      <c r="D212" s="102" t="inlineStr">
        <is>
          <t>Saída</t>
        </is>
      </c>
      <c r="E212" s="102" t="inlineStr">
        <is>
          <t>Publicidade</t>
        </is>
      </c>
      <c r="F212" s="103" t="n">
        <v>7706</v>
      </c>
      <c r="G212" s="104" t="inlineStr">
        <is>
          <t>08/2025</t>
        </is>
      </c>
      <c r="H212" s="104" t="inlineStr">
        <is>
          <t>CODI</t>
        </is>
      </c>
    </row>
    <row r="213" ht="15" customHeight="1" s="86">
      <c r="B213" s="101" t="n">
        <v>45870</v>
      </c>
      <c r="C213" s="102" t="inlineStr">
        <is>
          <t>Energia Elétrica - 08/2025</t>
        </is>
      </c>
      <c r="D213" s="102" t="inlineStr">
        <is>
          <t>Saída</t>
        </is>
      </c>
      <c r="E213" s="102" t="inlineStr">
        <is>
          <t>Energia Elétrica</t>
        </is>
      </c>
      <c r="F213" s="103" t="n">
        <v>112.52</v>
      </c>
      <c r="G213" s="104" t="inlineStr">
        <is>
          <t>08/2025</t>
        </is>
      </c>
      <c r="H213" s="104" t="inlineStr">
        <is>
          <t>CODI</t>
        </is>
      </c>
    </row>
    <row r="214" ht="15" customHeight="1" s="86">
      <c r="B214" s="101" t="n">
        <v>45870</v>
      </c>
      <c r="C214" s="102" t="inlineStr">
        <is>
          <t>Custo de Mercadoria Vendida - 08/2025</t>
        </is>
      </c>
      <c r="D214" s="102" t="inlineStr">
        <is>
          <t>Saída</t>
        </is>
      </c>
      <c r="E214" s="102" t="inlineStr">
        <is>
          <t>Custo de Mercadoria Vendida</t>
        </is>
      </c>
      <c r="F214" s="103" t="n">
        <v>379079.51</v>
      </c>
      <c r="G214" s="104" t="inlineStr">
        <is>
          <t>08/2025</t>
        </is>
      </c>
      <c r="H214" s="104" t="inlineStr">
        <is>
          <t>CODI</t>
        </is>
      </c>
    </row>
    <row r="215" ht="15" customHeight="1" s="86">
      <c r="B215" s="101" t="n">
        <v>45870</v>
      </c>
      <c r="C215" s="102" t="inlineStr">
        <is>
          <t>Darf - 08/2025</t>
        </is>
      </c>
      <c r="D215" s="102" t="inlineStr">
        <is>
          <t>Saída</t>
        </is>
      </c>
      <c r="E215" s="102" t="inlineStr">
        <is>
          <t>Darf</t>
        </is>
      </c>
      <c r="F215" s="103" t="n">
        <v>148.64</v>
      </c>
      <c r="G215" s="104" t="inlineStr">
        <is>
          <t>08/2025</t>
        </is>
      </c>
      <c r="H215" s="104" t="inlineStr">
        <is>
          <t>CODI</t>
        </is>
      </c>
    </row>
    <row r="216" ht="15" customHeight="1" s="86">
      <c r="B216" s="101" t="n">
        <v>45870</v>
      </c>
      <c r="C216" s="102" t="inlineStr">
        <is>
          <t>Honorários Contábeis (Contabilidade) - 08/2025</t>
        </is>
      </c>
      <c r="D216" s="102" t="inlineStr">
        <is>
          <t>Saída</t>
        </is>
      </c>
      <c r="E216" s="102" t="inlineStr">
        <is>
          <t>Honorários Contábeis (Contabilidade)</t>
        </is>
      </c>
      <c r="F216" s="103" t="n">
        <v>1100</v>
      </c>
      <c r="G216" s="104" t="inlineStr">
        <is>
          <t>08/2025</t>
        </is>
      </c>
      <c r="H216" s="104" t="inlineStr">
        <is>
          <t>CODI</t>
        </is>
      </c>
    </row>
    <row r="217" ht="15" customHeight="1" s="86">
      <c r="B217" s="101" t="n">
        <v>45870</v>
      </c>
      <c r="C217" s="102" t="inlineStr">
        <is>
          <t>Outras Despesas - 08/2025</t>
        </is>
      </c>
      <c r="D217" s="102" t="inlineStr">
        <is>
          <t>Saída</t>
        </is>
      </c>
      <c r="E217" s="102" t="inlineStr">
        <is>
          <t>Outras Despesas</t>
        </is>
      </c>
      <c r="F217" s="103" t="n">
        <v>50150</v>
      </c>
      <c r="G217" s="104" t="inlineStr">
        <is>
          <t>08/2025</t>
        </is>
      </c>
      <c r="H217" s="104" t="inlineStr">
        <is>
          <t>CODI</t>
        </is>
      </c>
    </row>
    <row r="218" ht="15" customHeight="1" s="86">
      <c r="B218" s="101" t="n">
        <v>45870</v>
      </c>
      <c r="C218" s="102" t="inlineStr">
        <is>
          <t>Alimentação - 08/2025</t>
        </is>
      </c>
      <c r="D218" s="102" t="inlineStr">
        <is>
          <t>Saída</t>
        </is>
      </c>
      <c r="E218" s="102" t="inlineStr">
        <is>
          <t>Alimentação</t>
        </is>
      </c>
      <c r="F218" s="103" t="n">
        <v>128.9</v>
      </c>
      <c r="G218" s="104" t="inlineStr">
        <is>
          <t>08/2025</t>
        </is>
      </c>
      <c r="H218" s="104" t="inlineStr">
        <is>
          <t>CODI</t>
        </is>
      </c>
    </row>
    <row r="219" ht="15" customHeight="1" s="86">
      <c r="B219" s="101" t="n">
        <v>45870</v>
      </c>
      <c r="C219" s="102" t="inlineStr">
        <is>
          <t>Combustíveis - 08/2025</t>
        </is>
      </c>
      <c r="D219" s="102" t="inlineStr">
        <is>
          <t>Saída</t>
        </is>
      </c>
      <c r="E219" s="102" t="inlineStr">
        <is>
          <t>Combustíveis</t>
        </is>
      </c>
      <c r="F219" s="103" t="n">
        <v>1816.77</v>
      </c>
      <c r="G219" s="104" t="inlineStr">
        <is>
          <t>08/2025</t>
        </is>
      </c>
      <c r="H219" s="104" t="inlineStr">
        <is>
          <t>CODI</t>
        </is>
      </c>
    </row>
    <row r="220" ht="15" customHeight="1" s="86">
      <c r="B220" s="101" t="n">
        <v>45870</v>
      </c>
      <c r="C220" s="102" t="inlineStr">
        <is>
          <t>Manutenção de Veiculos e Estacionamento - 08/2025</t>
        </is>
      </c>
      <c r="D220" s="102" t="inlineStr">
        <is>
          <t>Saída</t>
        </is>
      </c>
      <c r="E220" s="102" t="inlineStr">
        <is>
          <t>Manutenção de Veiculos e Estacionamento</t>
        </is>
      </c>
      <c r="F220" s="103" t="n">
        <v>750</v>
      </c>
      <c r="G220" s="104" t="inlineStr">
        <is>
          <t>08/2025</t>
        </is>
      </c>
      <c r="H220" s="104" t="inlineStr">
        <is>
          <t>CODI</t>
        </is>
      </c>
    </row>
    <row r="221" ht="15" customHeight="1" s="86">
      <c r="B221" s="101" t="n">
        <v>45870</v>
      </c>
      <c r="C221" s="102" t="inlineStr">
        <is>
          <t>Consulta de Crédito Cliente - 08/2025</t>
        </is>
      </c>
      <c r="D221" s="102" t="inlineStr">
        <is>
          <t>Saída</t>
        </is>
      </c>
      <c r="E221" s="102" t="inlineStr">
        <is>
          <t>Consulta de Crédito Cliente</t>
        </is>
      </c>
      <c r="F221" s="103" t="n">
        <v>327.05</v>
      </c>
      <c r="G221" s="104" t="inlineStr">
        <is>
          <t>08/2025</t>
        </is>
      </c>
      <c r="H221" s="104" t="inlineStr">
        <is>
          <t>CODI</t>
        </is>
      </c>
    </row>
    <row r="222" ht="15" customHeight="1" s="86">
      <c r="B222" s="101" t="n">
        <v>45870</v>
      </c>
      <c r="C222" s="102" t="inlineStr">
        <is>
          <t>Despesa com Sindicatos - 08/2025</t>
        </is>
      </c>
      <c r="D222" s="102" t="inlineStr">
        <is>
          <t>Saída</t>
        </is>
      </c>
      <c r="E222" s="102" t="inlineStr">
        <is>
          <t>Despesa com Sindicatos</t>
        </is>
      </c>
      <c r="F222" s="103" t="n">
        <v>49.9</v>
      </c>
      <c r="G222" s="104" t="inlineStr">
        <is>
          <t>08/2025</t>
        </is>
      </c>
      <c r="H222" s="104" t="inlineStr">
        <is>
          <t>CODI</t>
        </is>
      </c>
    </row>
    <row r="223" ht="15" customHeight="1" s="86">
      <c r="B223" s="101" t="n">
        <v>45870</v>
      </c>
      <c r="C223" s="102" t="inlineStr">
        <is>
          <t>Premiações e Abonos - 08/2025</t>
        </is>
      </c>
      <c r="D223" s="102" t="inlineStr">
        <is>
          <t>Saída</t>
        </is>
      </c>
      <c r="E223" s="102" t="inlineStr">
        <is>
          <t>Premiações e Abonos</t>
        </is>
      </c>
      <c r="F223" s="103" t="n">
        <v>200</v>
      </c>
      <c r="G223" s="104" t="inlineStr">
        <is>
          <t>08/2025</t>
        </is>
      </c>
      <c r="H223" s="104" t="inlineStr">
        <is>
          <t>CODI</t>
        </is>
      </c>
    </row>
    <row r="224" ht="15" customHeight="1" s="86">
      <c r="B224" s="101" t="n">
        <v>45870</v>
      </c>
      <c r="C224" s="102" t="inlineStr">
        <is>
          <t>Telefonia Fixa e Internet - 08/2025</t>
        </is>
      </c>
      <c r="D224" s="102" t="inlineStr">
        <is>
          <t>Saída</t>
        </is>
      </c>
      <c r="E224" s="102" t="inlineStr">
        <is>
          <t>Telefonia Fixa e Internet</t>
        </is>
      </c>
      <c r="F224" s="103" t="n">
        <v>240</v>
      </c>
      <c r="G224" s="104" t="inlineStr">
        <is>
          <t>08/2025</t>
        </is>
      </c>
      <c r="H224" s="104" t="inlineStr">
        <is>
          <t>CODI</t>
        </is>
      </c>
    </row>
    <row r="225" ht="15" customHeight="1" s="86">
      <c r="B225" s="101" t="n">
        <v>45870</v>
      </c>
      <c r="C225" s="102" t="inlineStr">
        <is>
          <t>Empréstimos - 08/2025</t>
        </is>
      </c>
      <c r="D225" s="102" t="inlineStr">
        <is>
          <t>Saída</t>
        </is>
      </c>
      <c r="E225" s="102" t="inlineStr">
        <is>
          <t>Empréstimos</t>
        </is>
      </c>
      <c r="F225" s="103" t="n">
        <v>75486.78</v>
      </c>
      <c r="G225" s="104" t="inlineStr">
        <is>
          <t>08/2025</t>
        </is>
      </c>
      <c r="H225" s="104" t="inlineStr">
        <is>
          <t>CODI</t>
        </is>
      </c>
    </row>
    <row r="226" ht="15" customHeight="1" s="86">
      <c r="B226" s="101" t="n">
        <v>45870</v>
      </c>
      <c r="C226" s="102" t="inlineStr">
        <is>
          <t>Material de Escritório - 08/2025</t>
        </is>
      </c>
      <c r="D226" s="102" t="inlineStr">
        <is>
          <t>Saída</t>
        </is>
      </c>
      <c r="E226" s="102" t="inlineStr">
        <is>
          <t>Material de Escritório</t>
        </is>
      </c>
      <c r="F226" s="103" t="n">
        <v>578.78</v>
      </c>
      <c r="G226" s="104" t="inlineStr">
        <is>
          <t>08/2025</t>
        </is>
      </c>
      <c r="H226" s="104" t="inlineStr">
        <is>
          <t>CODI</t>
        </is>
      </c>
    </row>
    <row r="227" ht="15" customHeight="1" s="86">
      <c r="B227" s="101" t="n">
        <v>45870</v>
      </c>
      <c r="C227" s="102" t="inlineStr">
        <is>
          <t>Web Site e Sistema ERP - 08/2025</t>
        </is>
      </c>
      <c r="D227" s="102" t="inlineStr">
        <is>
          <t>Saída</t>
        </is>
      </c>
      <c r="E227" s="102" t="inlineStr">
        <is>
          <t>Web Site e Sistema ERP</t>
        </is>
      </c>
      <c r="F227" s="103" t="n">
        <v>957</v>
      </c>
      <c r="G227" s="104" t="inlineStr">
        <is>
          <t>08/2025</t>
        </is>
      </c>
      <c r="H227" s="104" t="inlineStr">
        <is>
          <t>CODI</t>
        </is>
      </c>
    </row>
    <row r="228" ht="15" customHeight="1" s="86">
      <c r="B228" s="101" t="n">
        <v>45870</v>
      </c>
      <c r="C228" s="102" t="inlineStr">
        <is>
          <t>Material de Copa e Cozinha - 08/2025</t>
        </is>
      </c>
      <c r="D228" s="102" t="inlineStr">
        <is>
          <t>Saída</t>
        </is>
      </c>
      <c r="E228" s="102" t="inlineStr">
        <is>
          <t>Material de Copa e Cozinha</t>
        </is>
      </c>
      <c r="F228" s="103" t="n">
        <v>468.09</v>
      </c>
      <c r="G228" s="104" t="inlineStr">
        <is>
          <t>08/2025</t>
        </is>
      </c>
      <c r="H228" s="104" t="inlineStr">
        <is>
          <t>CODI</t>
        </is>
      </c>
    </row>
    <row r="229" ht="15" customHeight="1" s="86">
      <c r="B229" s="101" t="n">
        <v>45870</v>
      </c>
      <c r="C229" s="102" t="inlineStr">
        <is>
          <t>Juros de Empréstimos - 08/2025</t>
        </is>
      </c>
      <c r="D229" s="102" t="inlineStr">
        <is>
          <t>Saída</t>
        </is>
      </c>
      <c r="E229" s="102" t="inlineStr">
        <is>
          <t>Juros de Empréstimos</t>
        </is>
      </c>
      <c r="F229" s="103" t="n">
        <v>7581</v>
      </c>
      <c r="G229" s="104" t="inlineStr">
        <is>
          <t>08/2025</t>
        </is>
      </c>
      <c r="H229" s="104" t="inlineStr">
        <is>
          <t>CODI</t>
        </is>
      </c>
    </row>
    <row r="230" ht="15" customHeight="1" s="86">
      <c r="B230" s="101" t="n">
        <v>45870</v>
      </c>
      <c r="C230" s="102" t="inlineStr">
        <is>
          <t>Despesas com Documentos e Xerox - 08/2025</t>
        </is>
      </c>
      <c r="D230" s="102" t="inlineStr">
        <is>
          <t>Saída</t>
        </is>
      </c>
      <c r="E230" s="102" t="inlineStr">
        <is>
          <t>Despesas com Documentos e Xerox</t>
        </is>
      </c>
      <c r="F230" s="103" t="n">
        <v>50.21</v>
      </c>
      <c r="G230" s="104" t="inlineStr">
        <is>
          <t>08/2025</t>
        </is>
      </c>
      <c r="H230" s="104" t="inlineStr">
        <is>
          <t>CODI</t>
        </is>
      </c>
    </row>
    <row r="231" ht="15" customHeight="1" s="86">
      <c r="B231" s="101" t="n">
        <v>45901</v>
      </c>
      <c r="C231" s="102" t="inlineStr">
        <is>
          <t>Vendas - 09/2025</t>
        </is>
      </c>
      <c r="D231" s="102" t="inlineStr">
        <is>
          <t>Entrada</t>
        </is>
      </c>
      <c r="E231" s="102" t="inlineStr">
        <is>
          <t>Vendas</t>
        </is>
      </c>
      <c r="F231" s="103" t="n">
        <v>493730.9</v>
      </c>
      <c r="G231" s="104" t="inlineStr">
        <is>
          <t>09/2025</t>
        </is>
      </c>
      <c r="H231" s="104" t="inlineStr">
        <is>
          <t>CODI</t>
        </is>
      </c>
    </row>
    <row r="232" ht="15" customHeight="1" s="86">
      <c r="B232" s="101" t="n">
        <v>45901</v>
      </c>
      <c r="C232" s="102" t="inlineStr">
        <is>
          <t>Aluguéis e Condomínios - 09/2025</t>
        </is>
      </c>
      <c r="D232" s="102" t="inlineStr">
        <is>
          <t>Saída</t>
        </is>
      </c>
      <c r="E232" s="102" t="inlineStr">
        <is>
          <t>Aluguéis e Condomínios</t>
        </is>
      </c>
      <c r="F232" s="103" t="n">
        <v>5713.82</v>
      </c>
      <c r="G232" s="104" t="inlineStr">
        <is>
          <t>09/2025</t>
        </is>
      </c>
      <c r="H232" s="104" t="inlineStr">
        <is>
          <t>CODI</t>
        </is>
      </c>
    </row>
    <row r="233" ht="15" customHeight="1" s="86">
      <c r="B233" s="101" t="n">
        <v>45901</v>
      </c>
      <c r="C233" s="102" t="inlineStr">
        <is>
          <t>Salário e Ordenados - 09/2025</t>
        </is>
      </c>
      <c r="D233" s="102" t="inlineStr">
        <is>
          <t>Saída</t>
        </is>
      </c>
      <c r="E233" s="102" t="inlineStr">
        <is>
          <t>Salário e Ordenados</t>
        </is>
      </c>
      <c r="F233" s="103" t="n">
        <v>25797.32</v>
      </c>
      <c r="G233" s="104" t="inlineStr">
        <is>
          <t>09/2025</t>
        </is>
      </c>
      <c r="H233" s="104" t="inlineStr">
        <is>
          <t>CODI</t>
        </is>
      </c>
    </row>
    <row r="234" ht="15" customHeight="1" s="86">
      <c r="B234" s="101" t="n">
        <v>45901</v>
      </c>
      <c r="C234" s="102" t="inlineStr">
        <is>
          <t>Vales e Adiantamentos - 09/2025</t>
        </is>
      </c>
      <c r="D234" s="102" t="inlineStr">
        <is>
          <t>Saída</t>
        </is>
      </c>
      <c r="E234" s="102" t="inlineStr">
        <is>
          <t>Vales e Adiantamentos</t>
        </is>
      </c>
      <c r="F234" s="103" t="n">
        <v>800</v>
      </c>
      <c r="G234" s="104" t="inlineStr">
        <is>
          <t>09/2025</t>
        </is>
      </c>
      <c r="H234" s="104" t="inlineStr">
        <is>
          <t>CODI</t>
        </is>
      </c>
    </row>
    <row r="235" ht="15" customHeight="1" s="86">
      <c r="B235" s="101" t="n">
        <v>45901</v>
      </c>
      <c r="C235" s="102" t="inlineStr">
        <is>
          <t>Material de Limpeza e Higiene - 09/2025</t>
        </is>
      </c>
      <c r="D235" s="102" t="inlineStr">
        <is>
          <t>Saída</t>
        </is>
      </c>
      <c r="E235" s="102" t="inlineStr">
        <is>
          <t>Material de Limpeza e Higiene</t>
        </is>
      </c>
      <c r="F235" s="103" t="n">
        <v>118.25</v>
      </c>
      <c r="G235" s="104" t="inlineStr">
        <is>
          <t>09/2025</t>
        </is>
      </c>
      <c r="H235" s="104" t="inlineStr">
        <is>
          <t>CODI</t>
        </is>
      </c>
    </row>
    <row r="236" ht="15" customHeight="1" s="86">
      <c r="B236" s="101" t="n">
        <v>45901</v>
      </c>
      <c r="C236" s="102" t="inlineStr">
        <is>
          <t>Frete e Transporte de Mercadorias - 09/2025</t>
        </is>
      </c>
      <c r="D236" s="102" t="inlineStr">
        <is>
          <t>Saída</t>
        </is>
      </c>
      <c r="E236" s="102" t="inlineStr">
        <is>
          <t>Frete e Transporte de Mercadorias</t>
        </is>
      </c>
      <c r="F236" s="103" t="n">
        <v>8446.24</v>
      </c>
      <c r="G236" s="104" t="inlineStr">
        <is>
          <t>09/2025</t>
        </is>
      </c>
      <c r="H236" s="104" t="inlineStr">
        <is>
          <t>CODI</t>
        </is>
      </c>
    </row>
    <row r="237" ht="15" customHeight="1" s="86">
      <c r="B237" s="101" t="n">
        <v>45901</v>
      </c>
      <c r="C237" s="102" t="inlineStr">
        <is>
          <t>Seguros - 09/2025</t>
        </is>
      </c>
      <c r="D237" s="102" t="inlineStr">
        <is>
          <t>Saída</t>
        </is>
      </c>
      <c r="E237" s="102" t="inlineStr">
        <is>
          <t>Seguros</t>
        </is>
      </c>
      <c r="F237" s="103" t="n">
        <v>269.82</v>
      </c>
      <c r="G237" s="104" t="inlineStr">
        <is>
          <t>09/2025</t>
        </is>
      </c>
      <c r="H237" s="104" t="inlineStr">
        <is>
          <t>CODI</t>
        </is>
      </c>
    </row>
    <row r="238" ht="15" customHeight="1" s="86">
      <c r="B238" s="101" t="n">
        <v>45901</v>
      </c>
      <c r="C238" s="102" t="inlineStr">
        <is>
          <t>Segurança e Monitoramento - 09/2025</t>
        </is>
      </c>
      <c r="D238" s="102" t="inlineStr">
        <is>
          <t>Saída</t>
        </is>
      </c>
      <c r="E238" s="102" t="inlineStr">
        <is>
          <t>Segurança e Monitoramento</t>
        </is>
      </c>
      <c r="F238" s="103" t="n">
        <v>140</v>
      </c>
      <c r="G238" s="104" t="inlineStr">
        <is>
          <t>09/2025</t>
        </is>
      </c>
      <c r="H238" s="104" t="inlineStr">
        <is>
          <t>CODI</t>
        </is>
      </c>
    </row>
    <row r="239" ht="15" customHeight="1" s="86">
      <c r="B239" s="101" t="n">
        <v>45901</v>
      </c>
      <c r="C239" s="102" t="inlineStr">
        <is>
          <t>Publicidade - 09/2025</t>
        </is>
      </c>
      <c r="D239" s="102" t="inlineStr">
        <is>
          <t>Saída</t>
        </is>
      </c>
      <c r="E239" s="102" t="inlineStr">
        <is>
          <t>Publicidade</t>
        </is>
      </c>
      <c r="F239" s="103" t="n">
        <v>5233.77</v>
      </c>
      <c r="G239" s="104" t="inlineStr">
        <is>
          <t>09/2025</t>
        </is>
      </c>
      <c r="H239" s="104" t="inlineStr">
        <is>
          <t>CODI</t>
        </is>
      </c>
    </row>
    <row r="240" ht="15" customHeight="1" s="86">
      <c r="B240" s="101" t="n">
        <v>45901</v>
      </c>
      <c r="C240" s="102" t="inlineStr">
        <is>
          <t>Energia Elétrica - 09/2025</t>
        </is>
      </c>
      <c r="D240" s="102" t="inlineStr">
        <is>
          <t>Saída</t>
        </is>
      </c>
      <c r="E240" s="102" t="inlineStr">
        <is>
          <t>Energia Elétrica</t>
        </is>
      </c>
      <c r="F240" s="103" t="n">
        <v>256.3</v>
      </c>
      <c r="G240" s="104" t="inlineStr">
        <is>
          <t>09/2025</t>
        </is>
      </c>
      <c r="H240" s="104" t="inlineStr">
        <is>
          <t>CODI</t>
        </is>
      </c>
    </row>
    <row r="241" ht="15" customHeight="1" s="86">
      <c r="B241" s="101" t="n">
        <v>45901</v>
      </c>
      <c r="C241" s="102" t="inlineStr">
        <is>
          <t>Água - 09/2025</t>
        </is>
      </c>
      <c r="D241" s="102" t="inlineStr">
        <is>
          <t>Saída</t>
        </is>
      </c>
      <c r="E241" s="102" t="inlineStr">
        <is>
          <t>Água</t>
        </is>
      </c>
      <c r="F241" s="103" t="n">
        <v>306.36</v>
      </c>
      <c r="G241" s="104" t="inlineStr">
        <is>
          <t>09/2025</t>
        </is>
      </c>
      <c r="H241" s="104" t="inlineStr">
        <is>
          <t>CODI</t>
        </is>
      </c>
    </row>
    <row r="242" ht="15" customHeight="1" s="86">
      <c r="B242" s="101" t="n">
        <v>45901</v>
      </c>
      <c r="C242" s="102" t="inlineStr">
        <is>
          <t>Exame Adminissional/Demissional - 09/2025</t>
        </is>
      </c>
      <c r="D242" s="102" t="inlineStr">
        <is>
          <t>Saída</t>
        </is>
      </c>
      <c r="E242" s="102" t="inlineStr">
        <is>
          <t>Exame Adminissional/Demissional</t>
        </is>
      </c>
      <c r="F242" s="103" t="n">
        <v>30</v>
      </c>
      <c r="G242" s="104" t="inlineStr">
        <is>
          <t>09/2025</t>
        </is>
      </c>
      <c r="H242" s="104" t="inlineStr">
        <is>
          <t>CODI</t>
        </is>
      </c>
    </row>
    <row r="243" ht="15" customHeight="1" s="86">
      <c r="B243" s="101" t="n">
        <v>45901</v>
      </c>
      <c r="C243" s="102" t="inlineStr">
        <is>
          <t>Custo de Mercadoria Vendida - 09/2025</t>
        </is>
      </c>
      <c r="D243" s="102" t="inlineStr">
        <is>
          <t>Saída</t>
        </is>
      </c>
      <c r="E243" s="102" t="inlineStr">
        <is>
          <t>Custo de Mercadoria Vendida</t>
        </is>
      </c>
      <c r="F243" s="103" t="n">
        <v>334766.19</v>
      </c>
      <c r="G243" s="104" t="inlineStr">
        <is>
          <t>09/2025</t>
        </is>
      </c>
      <c r="H243" s="104" t="inlineStr">
        <is>
          <t>CODI</t>
        </is>
      </c>
    </row>
    <row r="244" ht="15" customHeight="1" s="86">
      <c r="B244" s="101" t="n">
        <v>45901</v>
      </c>
      <c r="C244" s="102" t="inlineStr">
        <is>
          <t>Darf - 09/2025</t>
        </is>
      </c>
      <c r="D244" s="102" t="inlineStr">
        <is>
          <t>Saída</t>
        </is>
      </c>
      <c r="E244" s="102" t="inlineStr">
        <is>
          <t>Darf</t>
        </is>
      </c>
      <c r="F244" s="103" t="n">
        <v>4655.22</v>
      </c>
      <c r="G244" s="104" t="inlineStr">
        <is>
          <t>09/2025</t>
        </is>
      </c>
      <c r="H244" s="104" t="inlineStr">
        <is>
          <t>CODI</t>
        </is>
      </c>
    </row>
    <row r="245" ht="15" customHeight="1" s="86">
      <c r="B245" s="101" t="n">
        <v>45901</v>
      </c>
      <c r="C245" s="102" t="inlineStr">
        <is>
          <t>Honorários Contábeis (Contabilidade) - 09/2025</t>
        </is>
      </c>
      <c r="D245" s="102" t="inlineStr">
        <is>
          <t>Saída</t>
        </is>
      </c>
      <c r="E245" s="102" t="inlineStr">
        <is>
          <t>Honorários Contábeis (Contabilidade)</t>
        </is>
      </c>
      <c r="F245" s="103" t="n">
        <v>1100</v>
      </c>
      <c r="G245" s="104" t="inlineStr">
        <is>
          <t>09/2025</t>
        </is>
      </c>
      <c r="H245" s="104" t="inlineStr">
        <is>
          <t>CODI</t>
        </is>
      </c>
    </row>
    <row r="246" ht="15" customHeight="1" s="86">
      <c r="B246" s="101" t="n">
        <v>45901</v>
      </c>
      <c r="C246" s="102" t="inlineStr">
        <is>
          <t>Outras Despesas - 09/2025</t>
        </is>
      </c>
      <c r="D246" s="102" t="inlineStr">
        <is>
          <t>Saída</t>
        </is>
      </c>
      <c r="E246" s="102" t="inlineStr">
        <is>
          <t>Outras Despesas</t>
        </is>
      </c>
      <c r="F246" s="103" t="n">
        <v>50180</v>
      </c>
      <c r="G246" s="104" t="inlineStr">
        <is>
          <t>09/2025</t>
        </is>
      </c>
      <c r="H246" s="104" t="inlineStr">
        <is>
          <t>CODI</t>
        </is>
      </c>
    </row>
    <row r="247" ht="15" customHeight="1" s="86">
      <c r="B247" s="101" t="n">
        <v>45901</v>
      </c>
      <c r="C247" s="102" t="inlineStr">
        <is>
          <t>Alimentação - 09/2025</t>
        </is>
      </c>
      <c r="D247" s="102" t="inlineStr">
        <is>
          <t>Saída</t>
        </is>
      </c>
      <c r="E247" s="102" t="inlineStr">
        <is>
          <t>Alimentação</t>
        </is>
      </c>
      <c r="F247" s="103" t="n">
        <v>147.58</v>
      </c>
      <c r="G247" s="104" t="inlineStr">
        <is>
          <t>09/2025</t>
        </is>
      </c>
      <c r="H247" s="104" t="inlineStr">
        <is>
          <t>CODI</t>
        </is>
      </c>
    </row>
    <row r="248" ht="15" customHeight="1" s="86">
      <c r="B248" s="101" t="n">
        <v>45901</v>
      </c>
      <c r="C248" s="102" t="inlineStr">
        <is>
          <t>Combustíveis - 09/2025</t>
        </is>
      </c>
      <c r="D248" s="102" t="inlineStr">
        <is>
          <t>Saída</t>
        </is>
      </c>
      <c r="E248" s="102" t="inlineStr">
        <is>
          <t>Combustíveis</t>
        </is>
      </c>
      <c r="F248" s="103" t="n">
        <v>1422.23</v>
      </c>
      <c r="G248" s="104" t="inlineStr">
        <is>
          <t>09/2025</t>
        </is>
      </c>
      <c r="H248" s="104" t="inlineStr">
        <is>
          <t>CODI</t>
        </is>
      </c>
    </row>
    <row r="249" ht="15" customHeight="1" s="86">
      <c r="B249" s="101" t="n">
        <v>45901</v>
      </c>
      <c r="C249" s="102" t="inlineStr">
        <is>
          <t>Telefonia Móvel - 09/2025</t>
        </is>
      </c>
      <c r="D249" s="102" t="inlineStr">
        <is>
          <t>Saída</t>
        </is>
      </c>
      <c r="E249" s="102" t="inlineStr">
        <is>
          <t>Telefonia Móvel</t>
        </is>
      </c>
      <c r="F249" s="103" t="n">
        <v>60</v>
      </c>
      <c r="G249" s="104" t="inlineStr">
        <is>
          <t>09/2025</t>
        </is>
      </c>
      <c r="H249" s="104" t="inlineStr">
        <is>
          <t>CODI</t>
        </is>
      </c>
    </row>
    <row r="250" ht="15" customHeight="1" s="86">
      <c r="B250" s="101" t="n">
        <v>45901</v>
      </c>
      <c r="C250" s="102" t="inlineStr">
        <is>
          <t>Manutenção de Veiculos e Estacionamento - 09/2025</t>
        </is>
      </c>
      <c r="D250" s="102" t="inlineStr">
        <is>
          <t>Saída</t>
        </is>
      </c>
      <c r="E250" s="102" t="inlineStr">
        <is>
          <t>Manutenção de Veiculos e Estacionamento</t>
        </is>
      </c>
      <c r="F250" s="103" t="n">
        <v>302</v>
      </c>
      <c r="G250" s="104" t="inlineStr">
        <is>
          <t>09/2025</t>
        </is>
      </c>
      <c r="H250" s="104" t="inlineStr">
        <is>
          <t>CODI</t>
        </is>
      </c>
    </row>
    <row r="251" ht="15" customHeight="1" s="86">
      <c r="B251" s="101" t="n">
        <v>45901</v>
      </c>
      <c r="C251" s="102" t="inlineStr">
        <is>
          <t>Consulta de Crédito Cliente - 09/2025</t>
        </is>
      </c>
      <c r="D251" s="102" t="inlineStr">
        <is>
          <t>Saída</t>
        </is>
      </c>
      <c r="E251" s="102" t="inlineStr">
        <is>
          <t>Consulta de Crédito Cliente</t>
        </is>
      </c>
      <c r="F251" s="103" t="n">
        <v>328.05</v>
      </c>
      <c r="G251" s="104" t="inlineStr">
        <is>
          <t>09/2025</t>
        </is>
      </c>
      <c r="H251" s="104" t="inlineStr">
        <is>
          <t>CODI</t>
        </is>
      </c>
    </row>
    <row r="252" ht="15" customHeight="1" s="86">
      <c r="B252" s="101" t="n">
        <v>45901</v>
      </c>
      <c r="C252" s="102" t="inlineStr">
        <is>
          <t>Multas e Juros por Atraso - 09/2025</t>
        </is>
      </c>
      <c r="D252" s="102" t="inlineStr">
        <is>
          <t>Saída</t>
        </is>
      </c>
      <c r="E252" s="102" t="inlineStr">
        <is>
          <t>Multas e Juros por Atraso</t>
        </is>
      </c>
      <c r="F252" s="103" t="n">
        <v>4500</v>
      </c>
      <c r="G252" s="104" t="inlineStr">
        <is>
          <t>09/2025</t>
        </is>
      </c>
      <c r="H252" s="104" t="inlineStr">
        <is>
          <t>CODI</t>
        </is>
      </c>
    </row>
    <row r="253" ht="15" customHeight="1" s="86">
      <c r="B253" s="101" t="n">
        <v>45901</v>
      </c>
      <c r="C253" s="102" t="inlineStr">
        <is>
          <t>Despesa com Sindicatos - 09/2025</t>
        </is>
      </c>
      <c r="D253" s="102" t="inlineStr">
        <is>
          <t>Saída</t>
        </is>
      </c>
      <c r="E253" s="102" t="inlineStr">
        <is>
          <t>Despesa com Sindicatos</t>
        </is>
      </c>
      <c r="F253" s="103" t="n">
        <v>49.9</v>
      </c>
      <c r="G253" s="104" t="inlineStr">
        <is>
          <t>09/2025</t>
        </is>
      </c>
      <c r="H253" s="104" t="inlineStr">
        <is>
          <t>CODI</t>
        </is>
      </c>
    </row>
    <row r="254" ht="15" customHeight="1" s="86">
      <c r="B254" s="101" t="n">
        <v>45901</v>
      </c>
      <c r="C254" s="102" t="inlineStr">
        <is>
          <t>Telefonia Fixa e Internet - 09/2025</t>
        </is>
      </c>
      <c r="D254" s="102" t="inlineStr">
        <is>
          <t>Saída</t>
        </is>
      </c>
      <c r="E254" s="102" t="inlineStr">
        <is>
          <t>Telefonia Fixa e Internet</t>
        </is>
      </c>
      <c r="F254" s="103" t="n">
        <v>256.67</v>
      </c>
      <c r="G254" s="104" t="inlineStr">
        <is>
          <t>09/2025</t>
        </is>
      </c>
      <c r="H254" s="104" t="inlineStr">
        <is>
          <t>CODI</t>
        </is>
      </c>
    </row>
    <row r="255" ht="15" customHeight="1" s="86">
      <c r="B255" s="101" t="n">
        <v>45901</v>
      </c>
      <c r="C255" s="102" t="inlineStr">
        <is>
          <t>Empréstimos - 09/2025</t>
        </is>
      </c>
      <c r="D255" s="102" t="inlineStr">
        <is>
          <t>Saída</t>
        </is>
      </c>
      <c r="E255" s="102" t="inlineStr">
        <is>
          <t>Empréstimos</t>
        </is>
      </c>
      <c r="F255" s="103" t="n">
        <v>81252.11</v>
      </c>
      <c r="G255" s="104" t="inlineStr">
        <is>
          <t>09/2025</t>
        </is>
      </c>
      <c r="H255" s="104" t="inlineStr">
        <is>
          <t>CODI</t>
        </is>
      </c>
    </row>
    <row r="256" ht="15" customHeight="1" s="86">
      <c r="B256" s="101" t="n">
        <v>45901</v>
      </c>
      <c r="C256" s="102" t="inlineStr">
        <is>
          <t>Viagens e estadas - 09/2025</t>
        </is>
      </c>
      <c r="D256" s="102" t="inlineStr">
        <is>
          <t>Saída</t>
        </is>
      </c>
      <c r="E256" s="102" t="inlineStr">
        <is>
          <t>Viagens e estadas</t>
        </is>
      </c>
      <c r="F256" s="103" t="n">
        <v>220.95</v>
      </c>
      <c r="G256" s="104" t="inlineStr">
        <is>
          <t>09/2025</t>
        </is>
      </c>
      <c r="H256" s="104" t="inlineStr">
        <is>
          <t>CODI</t>
        </is>
      </c>
    </row>
    <row r="257" ht="15" customHeight="1" s="86">
      <c r="B257" s="101" t="n">
        <v>45901</v>
      </c>
      <c r="C257" s="102" t="inlineStr">
        <is>
          <t>Material de Escritório - 09/2025</t>
        </is>
      </c>
      <c r="D257" s="102" t="inlineStr">
        <is>
          <t>Saída</t>
        </is>
      </c>
      <c r="E257" s="102" t="inlineStr">
        <is>
          <t>Material de Escritório</t>
        </is>
      </c>
      <c r="F257" s="103" t="n">
        <v>389.92</v>
      </c>
      <c r="G257" s="104" t="inlineStr">
        <is>
          <t>09/2025</t>
        </is>
      </c>
      <c r="H257" s="104" t="inlineStr">
        <is>
          <t>CODI</t>
        </is>
      </c>
    </row>
    <row r="258" ht="15" customHeight="1" s="86">
      <c r="B258" s="101" t="n">
        <v>45901</v>
      </c>
      <c r="C258" s="102" t="inlineStr">
        <is>
          <t>Web Site e Sistema ERP - 09/2025</t>
        </is>
      </c>
      <c r="D258" s="102" t="inlineStr">
        <is>
          <t>Saída</t>
        </is>
      </c>
      <c r="E258" s="102" t="inlineStr">
        <is>
          <t>Web Site e Sistema ERP</t>
        </is>
      </c>
      <c r="F258" s="103" t="n">
        <v>957</v>
      </c>
      <c r="G258" s="104" t="inlineStr">
        <is>
          <t>09/2025</t>
        </is>
      </c>
      <c r="H258" s="104" t="inlineStr">
        <is>
          <t>CODI</t>
        </is>
      </c>
    </row>
    <row r="259" ht="15" customHeight="1" s="86">
      <c r="B259" s="101" t="n">
        <v>45901</v>
      </c>
      <c r="C259" s="102" t="inlineStr">
        <is>
          <t>Material de Copa e Cozinha - 09/2025</t>
        </is>
      </c>
      <c r="D259" s="102" t="inlineStr">
        <is>
          <t>Saída</t>
        </is>
      </c>
      <c r="E259" s="102" t="inlineStr">
        <is>
          <t>Material de Copa e Cozinha</t>
        </is>
      </c>
      <c r="F259" s="103" t="n">
        <v>42.94</v>
      </c>
      <c r="G259" s="104" t="inlineStr">
        <is>
          <t>09/2025</t>
        </is>
      </c>
      <c r="H259" s="104" t="inlineStr">
        <is>
          <t>CODI</t>
        </is>
      </c>
    </row>
    <row r="260" ht="15" customHeight="1" s="86">
      <c r="B260" s="101" t="n">
        <v>45901</v>
      </c>
      <c r="C260" s="102" t="inlineStr">
        <is>
          <t>Juros de Empréstimos - 09/2025</t>
        </is>
      </c>
      <c r="D260" s="102" t="inlineStr">
        <is>
          <t>Saída</t>
        </is>
      </c>
      <c r="E260" s="102" t="inlineStr">
        <is>
          <t>Juros de Empréstimos</t>
        </is>
      </c>
      <c r="F260" s="103" t="n">
        <v>8705</v>
      </c>
      <c r="G260" s="104" t="inlineStr">
        <is>
          <t>09/2025</t>
        </is>
      </c>
      <c r="H260" s="104" t="inlineStr">
        <is>
          <t>CODI</t>
        </is>
      </c>
    </row>
    <row r="261" ht="15" customHeight="1" s="86">
      <c r="B261" s="101" t="n">
        <v>45931</v>
      </c>
      <c r="C261" s="102" t="inlineStr">
        <is>
          <t>Vendas - 10/2025</t>
        </is>
      </c>
      <c r="D261" s="102" t="inlineStr">
        <is>
          <t>Entrada</t>
        </is>
      </c>
      <c r="E261" s="102" t="inlineStr">
        <is>
          <t>Vendas</t>
        </is>
      </c>
      <c r="F261" s="103" t="n">
        <v>584777.54</v>
      </c>
      <c r="G261" s="104" t="inlineStr">
        <is>
          <t>10/2025</t>
        </is>
      </c>
      <c r="H261" s="104" t="inlineStr">
        <is>
          <t>CODI</t>
        </is>
      </c>
    </row>
    <row r="262" ht="15" customHeight="1" s="86">
      <c r="B262" s="101" t="n">
        <v>45931</v>
      </c>
      <c r="C262" s="102" t="inlineStr">
        <is>
          <t>Aluguéis e Condomínios - 10/2025</t>
        </is>
      </c>
      <c r="D262" s="102" t="inlineStr">
        <is>
          <t>Saída</t>
        </is>
      </c>
      <c r="E262" s="102" t="inlineStr">
        <is>
          <t>Aluguéis e Condomínios</t>
        </is>
      </c>
      <c r="F262" s="103" t="n">
        <v>10116.52</v>
      </c>
      <c r="G262" s="104" t="inlineStr">
        <is>
          <t>10/2025</t>
        </is>
      </c>
      <c r="H262" s="104" t="inlineStr">
        <is>
          <t>CODI</t>
        </is>
      </c>
    </row>
    <row r="263" ht="15" customHeight="1" s="86">
      <c r="B263" s="101" t="n">
        <v>45931</v>
      </c>
      <c r="C263" s="102" t="inlineStr">
        <is>
          <t>Salário e Ordenados - 10/2025</t>
        </is>
      </c>
      <c r="D263" s="102" t="inlineStr">
        <is>
          <t>Saída</t>
        </is>
      </c>
      <c r="E263" s="102" t="inlineStr">
        <is>
          <t>Salário e Ordenados</t>
        </is>
      </c>
      <c r="F263" s="103" t="n">
        <v>22939.91</v>
      </c>
      <c r="G263" s="104" t="inlineStr">
        <is>
          <t>10/2025</t>
        </is>
      </c>
      <c r="H263" s="104" t="inlineStr">
        <is>
          <t>CODI</t>
        </is>
      </c>
    </row>
    <row r="264" ht="15" customHeight="1" s="86">
      <c r="B264" s="101" t="n">
        <v>45931</v>
      </c>
      <c r="C264" s="102" t="inlineStr">
        <is>
          <t>Vales e Adiantamentos - 10/2025</t>
        </is>
      </c>
      <c r="D264" s="102" t="inlineStr">
        <is>
          <t>Saída</t>
        </is>
      </c>
      <c r="E264" s="102" t="inlineStr">
        <is>
          <t>Vales e Adiantamentos</t>
        </is>
      </c>
      <c r="F264" s="103" t="n">
        <v>3450.01</v>
      </c>
      <c r="G264" s="104" t="inlineStr">
        <is>
          <t>10/2025</t>
        </is>
      </c>
      <c r="H264" s="104" t="inlineStr">
        <is>
          <t>CODI</t>
        </is>
      </c>
    </row>
    <row r="265" ht="15" customHeight="1" s="86">
      <c r="B265" s="101" t="n">
        <v>45931</v>
      </c>
      <c r="C265" s="102" t="inlineStr">
        <is>
          <t>Frete e Transporte de Mercadorias - 10/2025</t>
        </is>
      </c>
      <c r="D265" s="102" t="inlineStr">
        <is>
          <t>Saída</t>
        </is>
      </c>
      <c r="E265" s="102" t="inlineStr">
        <is>
          <t>Frete e Transporte de Mercadorias</t>
        </is>
      </c>
      <c r="F265" s="103" t="n">
        <v>6212.98</v>
      </c>
      <c r="G265" s="104" t="inlineStr">
        <is>
          <t>10/2025</t>
        </is>
      </c>
      <c r="H265" s="104" t="inlineStr">
        <is>
          <t>CODI</t>
        </is>
      </c>
    </row>
    <row r="266" ht="15" customHeight="1" s="86">
      <c r="B266" s="101" t="n">
        <v>45931</v>
      </c>
      <c r="C266" s="102" t="inlineStr">
        <is>
          <t>Seguros - 10/2025</t>
        </is>
      </c>
      <c r="D266" s="102" t="inlineStr">
        <is>
          <t>Saída</t>
        </is>
      </c>
      <c r="E266" s="102" t="inlineStr">
        <is>
          <t>Seguros</t>
        </is>
      </c>
      <c r="F266" s="103" t="n">
        <v>269.82</v>
      </c>
      <c r="G266" s="104" t="inlineStr">
        <is>
          <t>10/2025</t>
        </is>
      </c>
      <c r="H266" s="104" t="inlineStr">
        <is>
          <t>CODI</t>
        </is>
      </c>
    </row>
    <row r="267" ht="15" customHeight="1" s="86">
      <c r="B267" s="101" t="n">
        <v>45931</v>
      </c>
      <c r="C267" s="102" t="inlineStr">
        <is>
          <t>Segurança e Monitoramento - 10/2025</t>
        </is>
      </c>
      <c r="D267" s="102" t="inlineStr">
        <is>
          <t>Saída</t>
        </is>
      </c>
      <c r="E267" s="102" t="inlineStr">
        <is>
          <t>Segurança e Monitoramento</t>
        </is>
      </c>
      <c r="F267" s="103" t="n">
        <v>140</v>
      </c>
      <c r="G267" s="104" t="inlineStr">
        <is>
          <t>10/2025</t>
        </is>
      </c>
      <c r="H267" s="104" t="inlineStr">
        <is>
          <t>CODI</t>
        </is>
      </c>
    </row>
    <row r="268" ht="15" customHeight="1" s="86">
      <c r="B268" s="101" t="n">
        <v>45931</v>
      </c>
      <c r="C268" s="102" t="inlineStr">
        <is>
          <t>Publicidade - 10/2025</t>
        </is>
      </c>
      <c r="D268" s="102" t="inlineStr">
        <is>
          <t>Saída</t>
        </is>
      </c>
      <c r="E268" s="102" t="inlineStr">
        <is>
          <t>Publicidade</t>
        </is>
      </c>
      <c r="F268" s="103" t="n">
        <v>2929.55</v>
      </c>
      <c r="G268" s="104" t="inlineStr">
        <is>
          <t>10/2025</t>
        </is>
      </c>
      <c r="H268" s="104" t="inlineStr">
        <is>
          <t>CODI</t>
        </is>
      </c>
    </row>
    <row r="269" ht="15" customHeight="1" s="86">
      <c r="B269" s="101" t="n">
        <v>45931</v>
      </c>
      <c r="C269" s="102" t="inlineStr">
        <is>
          <t>Energia Elétrica - 10/2025</t>
        </is>
      </c>
      <c r="D269" s="102" t="inlineStr">
        <is>
          <t>Saída</t>
        </is>
      </c>
      <c r="E269" s="102" t="inlineStr">
        <is>
          <t>Energia Elétrica</t>
        </is>
      </c>
      <c r="F269" s="103" t="n">
        <v>299.36</v>
      </c>
      <c r="G269" s="104" t="inlineStr">
        <is>
          <t>10/2025</t>
        </is>
      </c>
      <c r="H269" s="104" t="inlineStr">
        <is>
          <t>CODI</t>
        </is>
      </c>
    </row>
    <row r="270" ht="15" customHeight="1" s="86">
      <c r="B270" s="101" t="n">
        <v>45931</v>
      </c>
      <c r="C270" s="102" t="inlineStr">
        <is>
          <t>Água - 10/2025</t>
        </is>
      </c>
      <c r="D270" s="102" t="inlineStr">
        <is>
          <t>Saída</t>
        </is>
      </c>
      <c r="E270" s="102" t="inlineStr">
        <is>
          <t>Água</t>
        </is>
      </c>
      <c r="F270" s="103" t="n">
        <v>300.16</v>
      </c>
      <c r="G270" s="104" t="inlineStr">
        <is>
          <t>10/2025</t>
        </is>
      </c>
      <c r="H270" s="104" t="inlineStr">
        <is>
          <t>CODI</t>
        </is>
      </c>
    </row>
    <row r="271" ht="15" customHeight="1" s="86">
      <c r="B271" s="101" t="n">
        <v>45931</v>
      </c>
      <c r="C271" s="102" t="inlineStr">
        <is>
          <t>Custo de Mercadoria Vendida - 10/2025</t>
        </is>
      </c>
      <c r="D271" s="102" t="inlineStr">
        <is>
          <t>Saída</t>
        </is>
      </c>
      <c r="E271" s="102" t="inlineStr">
        <is>
          <t>Custo de Mercadoria Vendida</t>
        </is>
      </c>
      <c r="F271" s="103" t="n">
        <v>484305.21</v>
      </c>
      <c r="G271" s="104" t="inlineStr">
        <is>
          <t>10/2025</t>
        </is>
      </c>
      <c r="H271" s="104" t="inlineStr">
        <is>
          <t>CODI</t>
        </is>
      </c>
    </row>
    <row r="272" ht="15" customHeight="1" s="86">
      <c r="B272" s="101" t="n">
        <v>45931</v>
      </c>
      <c r="C272" s="102" t="inlineStr">
        <is>
          <t>Darf - 10/2025</t>
        </is>
      </c>
      <c r="D272" s="102" t="inlineStr">
        <is>
          <t>Saída</t>
        </is>
      </c>
      <c r="E272" s="102" t="inlineStr">
        <is>
          <t>Darf</t>
        </is>
      </c>
      <c r="F272" s="103" t="n">
        <v>882.6</v>
      </c>
      <c r="G272" s="104" t="inlineStr">
        <is>
          <t>10/2025</t>
        </is>
      </c>
      <c r="H272" s="104" t="inlineStr">
        <is>
          <t>CODI</t>
        </is>
      </c>
    </row>
    <row r="273" ht="15" customHeight="1" s="86">
      <c r="B273" s="101" t="n">
        <v>45931</v>
      </c>
      <c r="C273" s="102" t="inlineStr">
        <is>
          <t>Multas - 10/2025</t>
        </is>
      </c>
      <c r="D273" s="102" t="inlineStr">
        <is>
          <t>Saída</t>
        </is>
      </c>
      <c r="E273" s="102" t="inlineStr">
        <is>
          <t>Multas</t>
        </is>
      </c>
      <c r="F273" s="103" t="n">
        <v>104.13</v>
      </c>
      <c r="G273" s="104" t="inlineStr">
        <is>
          <t>10/2025</t>
        </is>
      </c>
      <c r="H273" s="104" t="inlineStr">
        <is>
          <t>CODI</t>
        </is>
      </c>
    </row>
    <row r="274" ht="15" customHeight="1" s="86">
      <c r="B274" s="101" t="n">
        <v>45931</v>
      </c>
      <c r="C274" s="102" t="inlineStr">
        <is>
          <t>Honorários Contábeis (Contabilidade) - 10/2025</t>
        </is>
      </c>
      <c r="D274" s="102" t="inlineStr">
        <is>
          <t>Saída</t>
        </is>
      </c>
      <c r="E274" s="102" t="inlineStr">
        <is>
          <t>Honorários Contábeis (Contabilidade)</t>
        </is>
      </c>
      <c r="F274" s="103" t="n">
        <v>1100</v>
      </c>
      <c r="G274" s="104" t="inlineStr">
        <is>
          <t>10/2025</t>
        </is>
      </c>
      <c r="H274" s="104" t="inlineStr">
        <is>
          <t>CODI</t>
        </is>
      </c>
    </row>
    <row r="275" ht="15" customHeight="1" s="86">
      <c r="B275" s="101" t="n">
        <v>45931</v>
      </c>
      <c r="C275" s="102" t="inlineStr">
        <is>
          <t>Outras Despesas - 10/2025</t>
        </is>
      </c>
      <c r="D275" s="102" t="inlineStr">
        <is>
          <t>Saída</t>
        </is>
      </c>
      <c r="E275" s="102" t="inlineStr">
        <is>
          <t>Outras Despesas</t>
        </is>
      </c>
      <c r="F275" s="103" t="n">
        <v>50000</v>
      </c>
      <c r="G275" s="104" t="inlineStr">
        <is>
          <t>10/2025</t>
        </is>
      </c>
      <c r="H275" s="104" t="inlineStr">
        <is>
          <t>CODI</t>
        </is>
      </c>
    </row>
    <row r="276" ht="15" customHeight="1" s="86">
      <c r="B276" s="101" t="n">
        <v>45931</v>
      </c>
      <c r="C276" s="102" t="inlineStr">
        <is>
          <t>Alimentação - 10/2025</t>
        </is>
      </c>
      <c r="D276" s="102" t="inlineStr">
        <is>
          <t>Saída</t>
        </is>
      </c>
      <c r="E276" s="102" t="inlineStr">
        <is>
          <t>Alimentação</t>
        </is>
      </c>
      <c r="F276" s="103" t="n">
        <v>270.07</v>
      </c>
      <c r="G276" s="104" t="inlineStr">
        <is>
          <t>10/2025</t>
        </is>
      </c>
      <c r="H276" s="104" t="inlineStr">
        <is>
          <t>CODI</t>
        </is>
      </c>
    </row>
    <row r="277" ht="15" customHeight="1" s="86">
      <c r="B277" s="101" t="n">
        <v>45931</v>
      </c>
      <c r="C277" s="102" t="inlineStr">
        <is>
          <t>Combustíveis - 10/2025</t>
        </is>
      </c>
      <c r="D277" s="102" t="inlineStr">
        <is>
          <t>Saída</t>
        </is>
      </c>
      <c r="E277" s="102" t="inlineStr">
        <is>
          <t>Combustíveis</t>
        </is>
      </c>
      <c r="F277" s="103" t="n">
        <v>1274.16</v>
      </c>
      <c r="G277" s="104" t="inlineStr">
        <is>
          <t>10/2025</t>
        </is>
      </c>
      <c r="H277" s="104" t="inlineStr">
        <is>
          <t>CODI</t>
        </is>
      </c>
    </row>
    <row r="278" ht="15" customHeight="1" s="86">
      <c r="B278" s="101" t="n">
        <v>45931</v>
      </c>
      <c r="C278" s="102" t="inlineStr">
        <is>
          <t>Telefonia Móvel - 10/2025</t>
        </is>
      </c>
      <c r="D278" s="102" t="inlineStr">
        <is>
          <t>Saída</t>
        </is>
      </c>
      <c r="E278" s="102" t="inlineStr">
        <is>
          <t>Telefonia Móvel</t>
        </is>
      </c>
      <c r="F278" s="103" t="n">
        <v>100</v>
      </c>
      <c r="G278" s="104" t="inlineStr">
        <is>
          <t>10/2025</t>
        </is>
      </c>
      <c r="H278" s="104" t="inlineStr">
        <is>
          <t>CODI</t>
        </is>
      </c>
    </row>
    <row r="279" ht="15" customHeight="1" s="86">
      <c r="B279" s="101" t="n">
        <v>45931</v>
      </c>
      <c r="C279" s="102" t="inlineStr">
        <is>
          <t>Consulta de Crédito Cliente - 10/2025</t>
        </is>
      </c>
      <c r="D279" s="102" t="inlineStr">
        <is>
          <t>Saída</t>
        </is>
      </c>
      <c r="E279" s="102" t="inlineStr">
        <is>
          <t>Consulta de Crédito Cliente</t>
        </is>
      </c>
      <c r="F279" s="103" t="n">
        <v>327.05</v>
      </c>
      <c r="G279" s="104" t="inlineStr">
        <is>
          <t>10/2025</t>
        </is>
      </c>
      <c r="H279" s="104" t="inlineStr">
        <is>
          <t>CODI</t>
        </is>
      </c>
    </row>
    <row r="280" ht="15" customHeight="1" s="86">
      <c r="B280" s="101" t="n">
        <v>45931</v>
      </c>
      <c r="C280" s="102" t="inlineStr">
        <is>
          <t>Multas e Juros por Atraso - 10/2025</t>
        </is>
      </c>
      <c r="D280" s="102" t="inlineStr">
        <is>
          <t>Saída</t>
        </is>
      </c>
      <c r="E280" s="102" t="inlineStr">
        <is>
          <t>Multas e Juros por Atraso</t>
        </is>
      </c>
      <c r="F280" s="103" t="n">
        <v>4910.24</v>
      </c>
      <c r="G280" s="104" t="inlineStr">
        <is>
          <t>10/2025</t>
        </is>
      </c>
      <c r="H280" s="104" t="inlineStr">
        <is>
          <t>CODI</t>
        </is>
      </c>
    </row>
    <row r="281" ht="15" customHeight="1" s="86">
      <c r="B281" s="101" t="n">
        <v>45931</v>
      </c>
      <c r="C281" s="102" t="inlineStr">
        <is>
          <t>Despesa com Sindicatos - 10/2025</t>
        </is>
      </c>
      <c r="D281" s="102" t="inlineStr">
        <is>
          <t>Saída</t>
        </is>
      </c>
      <c r="E281" s="102" t="inlineStr">
        <is>
          <t>Despesa com Sindicatos</t>
        </is>
      </c>
      <c r="F281" s="103" t="n">
        <v>49.9</v>
      </c>
      <c r="G281" s="104" t="inlineStr">
        <is>
          <t>10/2025</t>
        </is>
      </c>
      <c r="H281" s="104" t="inlineStr">
        <is>
          <t>CODI</t>
        </is>
      </c>
    </row>
    <row r="282" ht="15" customHeight="1" s="86">
      <c r="B282" s="101" t="n">
        <v>45931</v>
      </c>
      <c r="C282" s="102" t="inlineStr">
        <is>
          <t>Premiações e Abonos - 10/2025</t>
        </is>
      </c>
      <c r="D282" s="102" t="inlineStr">
        <is>
          <t>Saída</t>
        </is>
      </c>
      <c r="E282" s="102" t="inlineStr">
        <is>
          <t>Premiações e Abonos</t>
        </is>
      </c>
      <c r="F282" s="103" t="n">
        <v>650</v>
      </c>
      <c r="G282" s="104" t="inlineStr">
        <is>
          <t>10/2025</t>
        </is>
      </c>
      <c r="H282" s="104" t="inlineStr">
        <is>
          <t>CODI</t>
        </is>
      </c>
    </row>
    <row r="283" ht="15" customHeight="1" s="86">
      <c r="B283" s="101" t="n">
        <v>45931</v>
      </c>
      <c r="C283" s="102" t="inlineStr">
        <is>
          <t>Telefonia Fixa e Internet - 10/2025</t>
        </is>
      </c>
      <c r="D283" s="102" t="inlineStr">
        <is>
          <t>Saída</t>
        </is>
      </c>
      <c r="E283" s="102" t="inlineStr">
        <is>
          <t>Telefonia Fixa e Internet</t>
        </is>
      </c>
      <c r="F283" s="103" t="n">
        <v>240.01</v>
      </c>
      <c r="G283" s="104" t="inlineStr">
        <is>
          <t>10/2025</t>
        </is>
      </c>
      <c r="H283" s="104" t="inlineStr">
        <is>
          <t>CODI</t>
        </is>
      </c>
    </row>
    <row r="284" ht="15" customHeight="1" s="86">
      <c r="B284" s="101" t="n">
        <v>45931</v>
      </c>
      <c r="C284" s="102" t="inlineStr">
        <is>
          <t>Empréstimos - 10/2025</t>
        </is>
      </c>
      <c r="D284" s="102" t="inlineStr">
        <is>
          <t>Saída</t>
        </is>
      </c>
      <c r="E284" s="102" t="inlineStr">
        <is>
          <t>Empréstimos</t>
        </is>
      </c>
      <c r="F284" s="103" t="n">
        <v>75426.78</v>
      </c>
      <c r="G284" s="104" t="inlineStr">
        <is>
          <t>10/2025</t>
        </is>
      </c>
      <c r="H284" s="104" t="inlineStr">
        <is>
          <t>CODI</t>
        </is>
      </c>
    </row>
    <row r="285" ht="15" customHeight="1" s="86">
      <c r="B285" s="101" t="n">
        <v>45931</v>
      </c>
      <c r="C285" s="102" t="inlineStr">
        <is>
          <t>Viagens e estadas - 10/2025</t>
        </is>
      </c>
      <c r="D285" s="102" t="inlineStr">
        <is>
          <t>Saída</t>
        </is>
      </c>
      <c r="E285" s="102" t="inlineStr">
        <is>
          <t>Viagens e estadas</t>
        </is>
      </c>
      <c r="F285" s="103" t="n">
        <v>46.2</v>
      </c>
      <c r="G285" s="104" t="inlineStr">
        <is>
          <t>10/2025</t>
        </is>
      </c>
      <c r="H285" s="104" t="inlineStr">
        <is>
          <t>CODI</t>
        </is>
      </c>
    </row>
    <row r="286" ht="15" customHeight="1" s="86">
      <c r="B286" s="101" t="n">
        <v>45931</v>
      </c>
      <c r="C286" s="102" t="inlineStr">
        <is>
          <t>Fgts, Gps e Pis - 10/2025</t>
        </is>
      </c>
      <c r="D286" s="102" t="inlineStr">
        <is>
          <t>Saída</t>
        </is>
      </c>
      <c r="E286" s="102" t="inlineStr">
        <is>
          <t>Fgts, Gps e Pis</t>
        </is>
      </c>
      <c r="F286" s="103" t="n">
        <v>3989.34</v>
      </c>
      <c r="G286" s="104" t="inlineStr">
        <is>
          <t>10/2025</t>
        </is>
      </c>
      <c r="H286" s="104" t="inlineStr">
        <is>
          <t>CODI</t>
        </is>
      </c>
    </row>
    <row r="287" ht="15" customHeight="1" s="86">
      <c r="B287" s="101" t="n">
        <v>45931</v>
      </c>
      <c r="C287" s="102" t="inlineStr">
        <is>
          <t>Web Site e Sistema ERP - 10/2025</t>
        </is>
      </c>
      <c r="D287" s="102" t="inlineStr">
        <is>
          <t>Saída</t>
        </is>
      </c>
      <c r="E287" s="102" t="inlineStr">
        <is>
          <t>Web Site e Sistema ERP</t>
        </is>
      </c>
      <c r="F287" s="103" t="n">
        <v>957</v>
      </c>
      <c r="G287" s="104" t="inlineStr">
        <is>
          <t>10/2025</t>
        </is>
      </c>
      <c r="H287" s="104" t="inlineStr">
        <is>
          <t>CODI</t>
        </is>
      </c>
    </row>
    <row r="288" ht="15" customHeight="1" s="86">
      <c r="B288" s="101" t="n">
        <v>45931</v>
      </c>
      <c r="C288" s="102" t="inlineStr">
        <is>
          <t>Ipva - 10/2025</t>
        </is>
      </c>
      <c r="D288" s="102" t="inlineStr">
        <is>
          <t>Saída</t>
        </is>
      </c>
      <c r="E288" s="102" t="inlineStr">
        <is>
          <t>Ipva</t>
        </is>
      </c>
      <c r="F288" s="103" t="n">
        <v>681.34</v>
      </c>
      <c r="G288" s="104" t="inlineStr">
        <is>
          <t>10/2025</t>
        </is>
      </c>
      <c r="H288" s="104" t="inlineStr">
        <is>
          <t>CODI</t>
        </is>
      </c>
    </row>
    <row r="289" ht="15" customHeight="1" s="86">
      <c r="B289" s="101" t="n">
        <v>45931</v>
      </c>
      <c r="C289" s="102" t="inlineStr">
        <is>
          <t>Material de Copa e Cozinha - 10/2025</t>
        </is>
      </c>
      <c r="D289" s="102" t="inlineStr">
        <is>
          <t>Saída</t>
        </is>
      </c>
      <c r="E289" s="102" t="inlineStr">
        <is>
          <t>Material de Copa e Cozinha</t>
        </is>
      </c>
      <c r="F289" s="103" t="n">
        <v>192.71</v>
      </c>
      <c r="G289" s="104" t="inlineStr">
        <is>
          <t>10/2025</t>
        </is>
      </c>
      <c r="H289" s="104" t="inlineStr">
        <is>
          <t>CODI</t>
        </is>
      </c>
    </row>
    <row r="290" ht="15" customHeight="1" s="86">
      <c r="B290" s="101" t="n">
        <v>45931</v>
      </c>
      <c r="C290" s="102" t="inlineStr">
        <is>
          <t>Juros de Empréstimos - 10/2025</t>
        </is>
      </c>
      <c r="D290" s="102" t="inlineStr">
        <is>
          <t>Saída</t>
        </is>
      </c>
      <c r="E290" s="102" t="inlineStr">
        <is>
          <t>Juros de Empréstimos</t>
        </is>
      </c>
      <c r="F290" s="103" t="n">
        <v>7750</v>
      </c>
      <c r="G290" s="104" t="inlineStr">
        <is>
          <t>10/2025</t>
        </is>
      </c>
      <c r="H290" s="104" t="inlineStr">
        <is>
          <t>CODI</t>
        </is>
      </c>
    </row>
    <row r="291" ht="15" customHeight="1" s="86">
      <c r="B291" s="101" t="n">
        <v>45931</v>
      </c>
      <c r="C291" s="102" t="inlineStr">
        <is>
          <t>Outros Tributos - 10/2025</t>
        </is>
      </c>
      <c r="D291" s="102" t="inlineStr">
        <is>
          <t>Saída</t>
        </is>
      </c>
      <c r="E291" s="102" t="inlineStr">
        <is>
          <t>Outros Tributos</t>
        </is>
      </c>
      <c r="F291" s="103" t="n">
        <v>2360.04</v>
      </c>
      <c r="G291" s="104" t="inlineStr">
        <is>
          <t>10/2025</t>
        </is>
      </c>
      <c r="H291" s="104" t="inlineStr">
        <is>
          <t>CODI</t>
        </is>
      </c>
    </row>
    <row r="292" ht="15" customHeight="1" s="86">
      <c r="B292" s="101" t="n">
        <v>45931</v>
      </c>
      <c r="C292" s="102" t="inlineStr">
        <is>
          <t>Advogados - Honorários - 10/2025</t>
        </is>
      </c>
      <c r="D292" s="102" t="inlineStr">
        <is>
          <t>Saída</t>
        </is>
      </c>
      <c r="E292" s="102" t="inlineStr">
        <is>
          <t>Advogados - Honorários</t>
        </is>
      </c>
      <c r="F292" s="103" t="n">
        <v>2500</v>
      </c>
      <c r="G292" s="104" t="inlineStr">
        <is>
          <t>10/2025</t>
        </is>
      </c>
      <c r="H292" s="104" t="inlineStr">
        <is>
          <t>CODI</t>
        </is>
      </c>
    </row>
    <row r="293" ht="15" customHeight="1" s="86">
      <c r="B293" s="101" t="n">
        <v>45931</v>
      </c>
      <c r="C293" s="102" t="inlineStr">
        <is>
          <t>Assessoria Técnica Profissional - 10/2025</t>
        </is>
      </c>
      <c r="D293" s="102" t="inlineStr">
        <is>
          <t>Saída</t>
        </is>
      </c>
      <c r="E293" s="102" t="inlineStr">
        <is>
          <t>Assessoria Técnica Profissional</t>
        </is>
      </c>
      <c r="F293" s="103" t="n">
        <v>5000</v>
      </c>
      <c r="G293" s="104" t="inlineStr">
        <is>
          <t>10/2025</t>
        </is>
      </c>
      <c r="H293" s="104" t="inlineStr">
        <is>
          <t>CODI</t>
        </is>
      </c>
    </row>
    <row r="294" ht="15" customHeight="1" s="86">
      <c r="B294" s="101" t="n">
        <v>45962</v>
      </c>
      <c r="C294" s="102" t="inlineStr">
        <is>
          <t>Vendas - 11/2025</t>
        </is>
      </c>
      <c r="D294" s="102" t="inlineStr">
        <is>
          <t>Entrada</t>
        </is>
      </c>
      <c r="E294" s="102" t="inlineStr">
        <is>
          <t>Vendas</t>
        </is>
      </c>
      <c r="F294" s="103" t="n">
        <v>641084</v>
      </c>
      <c r="G294" s="104" t="inlineStr">
        <is>
          <t>11/2025</t>
        </is>
      </c>
      <c r="H294" s="104" t="inlineStr">
        <is>
          <t>CODI</t>
        </is>
      </c>
    </row>
    <row r="295" ht="15" customHeight="1" s="86">
      <c r="B295" s="101" t="n">
        <v>45962</v>
      </c>
      <c r="C295" s="102" t="inlineStr">
        <is>
          <t>Aluguéis e Condomínios - 11/2025</t>
        </is>
      </c>
      <c r="D295" s="102" t="inlineStr">
        <is>
          <t>Saída</t>
        </is>
      </c>
      <c r="E295" s="102" t="inlineStr">
        <is>
          <t>Aluguéis e Condomínios</t>
        </is>
      </c>
      <c r="F295" s="103" t="n">
        <v>1803.81</v>
      </c>
      <c r="G295" s="104" t="inlineStr">
        <is>
          <t>11/2025</t>
        </is>
      </c>
      <c r="H295" s="104" t="inlineStr">
        <is>
          <t>CODI</t>
        </is>
      </c>
    </row>
    <row r="296" ht="15" customHeight="1" s="86">
      <c r="B296" s="101" t="n">
        <v>45962</v>
      </c>
      <c r="C296" s="102" t="inlineStr">
        <is>
          <t>Salário e Ordenados - 11/2025</t>
        </is>
      </c>
      <c r="D296" s="102" t="inlineStr">
        <is>
          <t>Saída</t>
        </is>
      </c>
      <c r="E296" s="102" t="inlineStr">
        <is>
          <t>Salário e Ordenados</t>
        </is>
      </c>
      <c r="F296" s="103" t="n">
        <v>22206.35</v>
      </c>
      <c r="G296" s="104" t="inlineStr">
        <is>
          <t>11/2025</t>
        </is>
      </c>
      <c r="H296" s="104" t="inlineStr">
        <is>
          <t>CODI</t>
        </is>
      </c>
    </row>
    <row r="297" ht="15" customHeight="1" s="86">
      <c r="B297" s="101" t="n">
        <v>45962</v>
      </c>
      <c r="C297" s="102" t="inlineStr">
        <is>
          <t>Vales e Adiantamentos - 11/2025</t>
        </is>
      </c>
      <c r="D297" s="102" t="inlineStr">
        <is>
          <t>Saída</t>
        </is>
      </c>
      <c r="E297" s="102" t="inlineStr">
        <is>
          <t>Vales e Adiantamentos</t>
        </is>
      </c>
      <c r="F297" s="103" t="n">
        <v>3750</v>
      </c>
      <c r="G297" s="104" t="inlineStr">
        <is>
          <t>11/2025</t>
        </is>
      </c>
      <c r="H297" s="104" t="inlineStr">
        <is>
          <t>CODI</t>
        </is>
      </c>
    </row>
    <row r="298" ht="15" customHeight="1" s="86">
      <c r="B298" s="101" t="n">
        <v>45962</v>
      </c>
      <c r="C298" s="102" t="inlineStr">
        <is>
          <t>Material de Limpeza e Higiene - 11/2025</t>
        </is>
      </c>
      <c r="D298" s="102" t="inlineStr">
        <is>
          <t>Saída</t>
        </is>
      </c>
      <c r="E298" s="102" t="inlineStr">
        <is>
          <t>Material de Limpeza e Higiene</t>
        </is>
      </c>
      <c r="F298" s="103" t="n">
        <v>175.59</v>
      </c>
      <c r="G298" s="104" t="inlineStr">
        <is>
          <t>11/2025</t>
        </is>
      </c>
      <c r="H298" s="104" t="inlineStr">
        <is>
          <t>CODI</t>
        </is>
      </c>
    </row>
    <row r="299" ht="15" customHeight="1" s="86">
      <c r="B299" s="101" t="n">
        <v>45962</v>
      </c>
      <c r="C299" s="102" t="inlineStr">
        <is>
          <t>Acertos e Recisões - 11/2025</t>
        </is>
      </c>
      <c r="D299" s="102" t="inlineStr">
        <is>
          <t>Saída</t>
        </is>
      </c>
      <c r="E299" s="102" t="inlineStr">
        <is>
          <t>Acertos e Recisões</t>
        </is>
      </c>
      <c r="F299" s="103" t="n">
        <v>2071.71</v>
      </c>
      <c r="G299" s="104" t="inlineStr">
        <is>
          <t>11/2025</t>
        </is>
      </c>
      <c r="H299" s="104" t="inlineStr">
        <is>
          <t>CODI</t>
        </is>
      </c>
    </row>
    <row r="300" ht="15" customHeight="1" s="86">
      <c r="B300" s="101" t="n">
        <v>45962</v>
      </c>
      <c r="C300" s="102" t="inlineStr">
        <is>
          <t>Frete e Transporte de Mercadorias - 11/2025</t>
        </is>
      </c>
      <c r="D300" s="102" t="inlineStr">
        <is>
          <t>Saída</t>
        </is>
      </c>
      <c r="E300" s="102" t="inlineStr">
        <is>
          <t>Frete e Transporte de Mercadorias</t>
        </is>
      </c>
      <c r="F300" s="103" t="n">
        <v>6818.81</v>
      </c>
      <c r="G300" s="104" t="inlineStr">
        <is>
          <t>11/2025</t>
        </is>
      </c>
      <c r="H300" s="104" t="inlineStr">
        <is>
          <t>CODI</t>
        </is>
      </c>
    </row>
    <row r="301" ht="15" customHeight="1" s="86">
      <c r="B301" s="101" t="n">
        <v>45962</v>
      </c>
      <c r="C301" s="102" t="inlineStr">
        <is>
          <t>Seguros - 11/2025</t>
        </is>
      </c>
      <c r="D301" s="102" t="inlineStr">
        <is>
          <t>Saída</t>
        </is>
      </c>
      <c r="E301" s="102" t="inlineStr">
        <is>
          <t>Seguros</t>
        </is>
      </c>
      <c r="F301" s="103" t="n">
        <v>269.82</v>
      </c>
      <c r="G301" s="104" t="inlineStr">
        <is>
          <t>11/2025</t>
        </is>
      </c>
      <c r="H301" s="104" t="inlineStr">
        <is>
          <t>CODI</t>
        </is>
      </c>
    </row>
    <row r="302" ht="15" customHeight="1" s="86">
      <c r="B302" s="101" t="n">
        <v>45962</v>
      </c>
      <c r="C302" s="102" t="inlineStr">
        <is>
          <t>Segurança e Monitoramento - 11/2025</t>
        </is>
      </c>
      <c r="D302" s="102" t="inlineStr">
        <is>
          <t>Saída</t>
        </is>
      </c>
      <c r="E302" s="102" t="inlineStr">
        <is>
          <t>Segurança e Monitoramento</t>
        </is>
      </c>
      <c r="F302" s="103" t="n">
        <v>940</v>
      </c>
      <c r="G302" s="104" t="inlineStr">
        <is>
          <t>11/2025</t>
        </is>
      </c>
      <c r="H302" s="104" t="inlineStr">
        <is>
          <t>CODI</t>
        </is>
      </c>
    </row>
    <row r="303" ht="15" customHeight="1" s="86">
      <c r="B303" s="101" t="n">
        <v>45962</v>
      </c>
      <c r="C303" s="102" t="inlineStr">
        <is>
          <t>Publicidade - 11/2025</t>
        </is>
      </c>
      <c r="D303" s="102" t="inlineStr">
        <is>
          <t>Saída</t>
        </is>
      </c>
      <c r="E303" s="102" t="inlineStr">
        <is>
          <t>Publicidade</t>
        </is>
      </c>
      <c r="F303" s="103" t="n">
        <v>5352</v>
      </c>
      <c r="G303" s="104" t="inlineStr">
        <is>
          <t>11/2025</t>
        </is>
      </c>
      <c r="H303" s="104" t="inlineStr">
        <is>
          <t>CODI</t>
        </is>
      </c>
    </row>
    <row r="304" ht="15" customHeight="1" s="86">
      <c r="B304" s="101" t="n">
        <v>45962</v>
      </c>
      <c r="C304" s="102" t="inlineStr">
        <is>
          <t>Custo de Mercadoria Vendida - 11/2025</t>
        </is>
      </c>
      <c r="D304" s="102" t="inlineStr">
        <is>
          <t>Saída</t>
        </is>
      </c>
      <c r="E304" s="102" t="inlineStr">
        <is>
          <t>Custo de Mercadoria Vendida</t>
        </is>
      </c>
      <c r="F304" s="103" t="n">
        <v>448073.59</v>
      </c>
      <c r="G304" s="104" t="inlineStr">
        <is>
          <t>11/2025</t>
        </is>
      </c>
      <c r="H304" s="104" t="inlineStr">
        <is>
          <t>CODI</t>
        </is>
      </c>
    </row>
    <row r="305" ht="15" customHeight="1" s="86">
      <c r="B305" s="101" t="n">
        <v>45962</v>
      </c>
      <c r="C305" s="102" t="inlineStr">
        <is>
          <t>Multas - 11/2025</t>
        </is>
      </c>
      <c r="D305" s="102" t="inlineStr">
        <is>
          <t>Saída</t>
        </is>
      </c>
      <c r="E305" s="102" t="inlineStr">
        <is>
          <t>Multas</t>
        </is>
      </c>
      <c r="F305" s="103" t="n">
        <v>2734.2</v>
      </c>
      <c r="G305" s="104" t="inlineStr">
        <is>
          <t>11/2025</t>
        </is>
      </c>
      <c r="H305" s="104" t="inlineStr">
        <is>
          <t>CODI</t>
        </is>
      </c>
    </row>
    <row r="306" ht="15" customHeight="1" s="86">
      <c r="B306" s="101" t="n">
        <v>45962</v>
      </c>
      <c r="C306" s="102" t="inlineStr">
        <is>
          <t>Honorários Contábeis (Contabilidade) - 11/2025</t>
        </is>
      </c>
      <c r="D306" s="102" t="inlineStr">
        <is>
          <t>Saída</t>
        </is>
      </c>
      <c r="E306" s="102" t="inlineStr">
        <is>
          <t>Honorários Contábeis (Contabilidade)</t>
        </is>
      </c>
      <c r="F306" s="103" t="n">
        <v>1100</v>
      </c>
      <c r="G306" s="104" t="inlineStr">
        <is>
          <t>11/2025</t>
        </is>
      </c>
      <c r="H306" s="104" t="inlineStr">
        <is>
          <t>CODI</t>
        </is>
      </c>
    </row>
    <row r="307" ht="15" customHeight="1" s="86">
      <c r="B307" s="101" t="n">
        <v>45962</v>
      </c>
      <c r="C307" s="102" t="inlineStr">
        <is>
          <t>Outras Despesas - 11/2025</t>
        </is>
      </c>
      <c r="D307" s="102" t="inlineStr">
        <is>
          <t>Saída</t>
        </is>
      </c>
      <c r="E307" s="102" t="inlineStr">
        <is>
          <t>Outras Despesas</t>
        </is>
      </c>
      <c r="F307" s="103" t="n">
        <v>69.01000000000001</v>
      </c>
      <c r="G307" s="104" t="inlineStr">
        <is>
          <t>11/2025</t>
        </is>
      </c>
      <c r="H307" s="104" t="inlineStr">
        <is>
          <t>CODI</t>
        </is>
      </c>
    </row>
    <row r="308" ht="15" customHeight="1" s="86">
      <c r="B308" s="101" t="n">
        <v>45962</v>
      </c>
      <c r="C308" s="102" t="inlineStr">
        <is>
          <t>Alimentação - 11/2025</t>
        </is>
      </c>
      <c r="D308" s="102" t="inlineStr">
        <is>
          <t>Saída</t>
        </is>
      </c>
      <c r="E308" s="102" t="inlineStr">
        <is>
          <t>Alimentação</t>
        </is>
      </c>
      <c r="F308" s="103" t="n">
        <v>51.52</v>
      </c>
      <c r="G308" s="104" t="inlineStr">
        <is>
          <t>11/2025</t>
        </is>
      </c>
      <c r="H308" s="104" t="inlineStr">
        <is>
          <t>CODI</t>
        </is>
      </c>
    </row>
    <row r="309" ht="15" customHeight="1" s="86">
      <c r="B309" s="101" t="n">
        <v>45962</v>
      </c>
      <c r="C309" s="102" t="inlineStr">
        <is>
          <t>Combustíveis - 11/2025</t>
        </is>
      </c>
      <c r="D309" s="102" t="inlineStr">
        <is>
          <t>Saída</t>
        </is>
      </c>
      <c r="E309" s="102" t="inlineStr">
        <is>
          <t>Combustíveis</t>
        </is>
      </c>
      <c r="F309" s="103" t="n">
        <v>1773.48</v>
      </c>
      <c r="G309" s="104" t="inlineStr">
        <is>
          <t>11/2025</t>
        </is>
      </c>
      <c r="H309" s="104" t="inlineStr">
        <is>
          <t>CODI</t>
        </is>
      </c>
    </row>
    <row r="310" ht="15" customHeight="1" s="86">
      <c r="B310" s="101" t="n">
        <v>45962</v>
      </c>
      <c r="C310" s="102" t="inlineStr">
        <is>
          <t>Consulta de Crédito Cliente - 11/2025</t>
        </is>
      </c>
      <c r="D310" s="102" t="inlineStr">
        <is>
          <t>Saída</t>
        </is>
      </c>
      <c r="E310" s="102" t="inlineStr">
        <is>
          <t>Consulta de Crédito Cliente</t>
        </is>
      </c>
      <c r="F310" s="103" t="n">
        <v>334.03</v>
      </c>
      <c r="G310" s="104" t="inlineStr">
        <is>
          <t>11/2025</t>
        </is>
      </c>
      <c r="H310" s="104" t="inlineStr">
        <is>
          <t>CODI</t>
        </is>
      </c>
    </row>
    <row r="311" ht="15" customHeight="1" s="86">
      <c r="B311" s="101" t="n">
        <v>45962</v>
      </c>
      <c r="C311" s="102" t="inlineStr">
        <is>
          <t>Despesa com Sindicatos - 11/2025</t>
        </is>
      </c>
      <c r="D311" s="102" t="inlineStr">
        <is>
          <t>Saída</t>
        </is>
      </c>
      <c r="E311" s="102" t="inlineStr">
        <is>
          <t>Despesa com Sindicatos</t>
        </is>
      </c>
      <c r="F311" s="103" t="n">
        <v>49.9</v>
      </c>
      <c r="G311" s="104" t="inlineStr">
        <is>
          <t>11/2025</t>
        </is>
      </c>
      <c r="H311" s="104" t="inlineStr">
        <is>
          <t>CODI</t>
        </is>
      </c>
    </row>
    <row r="312" ht="15" customHeight="1" s="86">
      <c r="B312" s="101" t="n">
        <v>45962</v>
      </c>
      <c r="C312" s="102" t="inlineStr">
        <is>
          <t>Telefonia Fixa e Internet - 11/2025</t>
        </is>
      </c>
      <c r="D312" s="102" t="inlineStr">
        <is>
          <t>Saída</t>
        </is>
      </c>
      <c r="E312" s="102" t="inlineStr">
        <is>
          <t>Telefonia Fixa e Internet</t>
        </is>
      </c>
      <c r="F312" s="103" t="n">
        <v>246.87</v>
      </c>
      <c r="G312" s="104" t="inlineStr">
        <is>
          <t>11/2025</t>
        </is>
      </c>
      <c r="H312" s="104" t="inlineStr">
        <is>
          <t>CODI</t>
        </is>
      </c>
    </row>
    <row r="313" ht="15" customHeight="1" s="86">
      <c r="B313" s="101" t="n">
        <v>45962</v>
      </c>
      <c r="C313" s="102" t="inlineStr">
        <is>
          <t>Empréstimos - 11/2025</t>
        </is>
      </c>
      <c r="D313" s="102" t="inlineStr">
        <is>
          <t>Saída</t>
        </is>
      </c>
      <c r="E313" s="102" t="inlineStr">
        <is>
          <t>Empréstimos</t>
        </is>
      </c>
      <c r="F313" s="103" t="n">
        <v>124823.38</v>
      </c>
      <c r="G313" s="104" t="inlineStr">
        <is>
          <t>11/2025</t>
        </is>
      </c>
      <c r="H313" s="104" t="inlineStr">
        <is>
          <t>CODI</t>
        </is>
      </c>
    </row>
    <row r="314" ht="15" customHeight="1" s="86">
      <c r="B314" s="101" t="n">
        <v>45962</v>
      </c>
      <c r="C314" s="102" t="inlineStr">
        <is>
          <t>Viagens e estadas - 11/2025</t>
        </is>
      </c>
      <c r="D314" s="102" t="inlineStr">
        <is>
          <t>Saída</t>
        </is>
      </c>
      <c r="E314" s="102" t="inlineStr">
        <is>
          <t>Viagens e estadas</t>
        </is>
      </c>
      <c r="F314" s="103" t="n">
        <v>31.2</v>
      </c>
      <c r="G314" s="104" t="inlineStr">
        <is>
          <t>11/2025</t>
        </is>
      </c>
      <c r="H314" s="104" t="inlineStr">
        <is>
          <t>CODI</t>
        </is>
      </c>
    </row>
    <row r="315" ht="15" customHeight="1" s="86">
      <c r="B315" s="101" t="n">
        <v>45962</v>
      </c>
      <c r="C315" s="102" t="inlineStr">
        <is>
          <t>Fgts, Gps e Pis - 11/2025</t>
        </is>
      </c>
      <c r="D315" s="102" t="inlineStr">
        <is>
          <t>Saída</t>
        </is>
      </c>
      <c r="E315" s="102" t="inlineStr">
        <is>
          <t>Fgts, Gps e Pis</t>
        </is>
      </c>
      <c r="F315" s="103" t="n">
        <v>4696.9</v>
      </c>
      <c r="G315" s="104" t="inlineStr">
        <is>
          <t>11/2025</t>
        </is>
      </c>
      <c r="H315" s="104" t="inlineStr">
        <is>
          <t>CODI</t>
        </is>
      </c>
    </row>
    <row r="316" ht="15" customHeight="1" s="86">
      <c r="B316" s="101" t="n">
        <v>45962</v>
      </c>
      <c r="C316" s="102" t="inlineStr">
        <is>
          <t>Compra de Computadores e Eletrônicos - 11/2025</t>
        </is>
      </c>
      <c r="D316" s="102" t="inlineStr">
        <is>
          <t>Saída</t>
        </is>
      </c>
      <c r="E316" s="102" t="inlineStr">
        <is>
          <t>Compra de Computadores e Eletrônicos</t>
        </is>
      </c>
      <c r="F316" s="103" t="n">
        <v>900</v>
      </c>
      <c r="G316" s="104" t="inlineStr">
        <is>
          <t>11/2025</t>
        </is>
      </c>
      <c r="H316" s="104" t="inlineStr">
        <is>
          <t>CODI</t>
        </is>
      </c>
    </row>
    <row r="317" ht="15" customHeight="1" s="86">
      <c r="B317" s="101" t="n">
        <v>45962</v>
      </c>
      <c r="C317" s="102" t="inlineStr">
        <is>
          <t>Web Site e Sistema ERP - 11/2025</t>
        </is>
      </c>
      <c r="D317" s="102" t="inlineStr">
        <is>
          <t>Saída</t>
        </is>
      </c>
      <c r="E317" s="102" t="inlineStr">
        <is>
          <t>Web Site e Sistema ERP</t>
        </is>
      </c>
      <c r="F317" s="103" t="n">
        <v>957</v>
      </c>
      <c r="G317" s="104" t="inlineStr">
        <is>
          <t>11/2025</t>
        </is>
      </c>
      <c r="H317" s="104" t="inlineStr">
        <is>
          <t>CODI</t>
        </is>
      </c>
    </row>
    <row r="318" ht="15" customHeight="1" s="86">
      <c r="B318" s="101" t="n">
        <v>45962</v>
      </c>
      <c r="C318" s="102" t="inlineStr">
        <is>
          <t>Material de Copa e Cozinha - 11/2025</t>
        </is>
      </c>
      <c r="D318" s="102" t="inlineStr">
        <is>
          <t>Saída</t>
        </is>
      </c>
      <c r="E318" s="102" t="inlineStr">
        <is>
          <t>Material de Copa e Cozinha</t>
        </is>
      </c>
      <c r="F318" s="103" t="n">
        <v>92.03</v>
      </c>
      <c r="G318" s="104" t="inlineStr">
        <is>
          <t>11/2025</t>
        </is>
      </c>
      <c r="H318" s="104" t="inlineStr">
        <is>
          <t>CODI</t>
        </is>
      </c>
    </row>
    <row r="319" ht="15" customHeight="1" s="86">
      <c r="B319" s="101" t="n">
        <v>45962</v>
      </c>
      <c r="C319" s="102" t="inlineStr">
        <is>
          <t>Juros de Empréstimos - 11/2025</t>
        </is>
      </c>
      <c r="D319" s="102" t="inlineStr">
        <is>
          <t>Saída</t>
        </is>
      </c>
      <c r="E319" s="102" t="inlineStr">
        <is>
          <t>Juros de Empréstimos</t>
        </is>
      </c>
      <c r="F319" s="103" t="n">
        <v>7750</v>
      </c>
      <c r="G319" s="104" t="inlineStr">
        <is>
          <t>11/2025</t>
        </is>
      </c>
      <c r="H319" s="104" t="inlineStr">
        <is>
          <t>CODI</t>
        </is>
      </c>
    </row>
    <row r="320" ht="15" customHeight="1" s="86">
      <c r="B320" s="101" t="n">
        <v>45962</v>
      </c>
      <c r="C320" s="102" t="inlineStr">
        <is>
          <t>Outros Tributos - 11/2025</t>
        </is>
      </c>
      <c r="D320" s="102" t="inlineStr">
        <is>
          <t>Saída</t>
        </is>
      </c>
      <c r="E320" s="102" t="inlineStr">
        <is>
          <t>Outros Tributos</t>
        </is>
      </c>
      <c r="F320" s="103" t="n">
        <v>2929.54</v>
      </c>
      <c r="G320" s="104" t="inlineStr">
        <is>
          <t>11/2025</t>
        </is>
      </c>
      <c r="H320" s="104" t="inlineStr">
        <is>
          <t>CODI</t>
        </is>
      </c>
    </row>
    <row r="321" ht="15" customHeight="1" s="86">
      <c r="B321" s="101" t="n">
        <v>45962</v>
      </c>
      <c r="C321" s="102" t="inlineStr">
        <is>
          <t>Advogados - Honorários - 11/2025</t>
        </is>
      </c>
      <c r="D321" s="102" t="inlineStr">
        <is>
          <t>Saída</t>
        </is>
      </c>
      <c r="E321" s="102" t="inlineStr">
        <is>
          <t>Advogados - Honorários</t>
        </is>
      </c>
      <c r="F321" s="103" t="n">
        <v>2500</v>
      </c>
      <c r="G321" s="104" t="inlineStr">
        <is>
          <t>11/2025</t>
        </is>
      </c>
      <c r="H321" s="104" t="inlineStr">
        <is>
          <t>CODI</t>
        </is>
      </c>
    </row>
    <row r="322" ht="15" customHeight="1" s="86">
      <c r="B322" s="101" t="n">
        <v>45962</v>
      </c>
      <c r="C322" s="102" t="inlineStr">
        <is>
          <t>Assessoria Técnica Profissional - 11/2025</t>
        </is>
      </c>
      <c r="D322" s="102" t="inlineStr">
        <is>
          <t>Saída</t>
        </is>
      </c>
      <c r="E322" s="102" t="inlineStr">
        <is>
          <t>Assessoria Técnica Profissional</t>
        </is>
      </c>
      <c r="F322" s="103" t="n">
        <v>5000</v>
      </c>
      <c r="G322" s="104" t="inlineStr">
        <is>
          <t>11/2025</t>
        </is>
      </c>
      <c r="H322" s="104" t="inlineStr">
        <is>
          <t>CODI</t>
        </is>
      </c>
    </row>
    <row r="323" ht="15" customHeight="1" s="86">
      <c r="B323" s="101" t="n">
        <v>45962</v>
      </c>
      <c r="C323" s="102" t="inlineStr">
        <is>
          <t>Consórcio - 11/2025</t>
        </is>
      </c>
      <c r="D323" s="102" t="inlineStr">
        <is>
          <t>Saída</t>
        </is>
      </c>
      <c r="E323" s="102" t="inlineStr">
        <is>
          <t>Consórcio</t>
        </is>
      </c>
      <c r="F323" s="103" t="n">
        <v>2055.6</v>
      </c>
      <c r="G323" s="104" t="inlineStr">
        <is>
          <t>11/2025</t>
        </is>
      </c>
      <c r="H323" s="104" t="inlineStr">
        <is>
          <t>CODI</t>
        </is>
      </c>
    </row>
    <row r="324" ht="15" customHeight="1" s="86">
      <c r="B324" s="101" t="n">
        <v>45962</v>
      </c>
      <c r="C324" s="102" t="inlineStr">
        <is>
          <t>13º Salário - 11/2025</t>
        </is>
      </c>
      <c r="D324" s="102" t="inlineStr">
        <is>
          <t>Saída</t>
        </is>
      </c>
      <c r="E324" s="102" t="inlineStr">
        <is>
          <t>13º Salário</t>
        </is>
      </c>
      <c r="F324" s="103" t="n">
        <v>13576.63</v>
      </c>
      <c r="G324" s="104" t="inlineStr">
        <is>
          <t>11/2025</t>
        </is>
      </c>
      <c r="H324" s="104" t="inlineStr">
        <is>
          <t>CODI</t>
        </is>
      </c>
    </row>
    <row r="325" ht="15" customHeight="1" s="86">
      <c r="B325" s="101" t="n">
        <v>45992</v>
      </c>
      <c r="C325" s="102" t="inlineStr">
        <is>
          <t>Vendas - 12/2025</t>
        </is>
      </c>
      <c r="D325" s="102" t="inlineStr">
        <is>
          <t>Entrada</t>
        </is>
      </c>
      <c r="E325" s="102" t="inlineStr">
        <is>
          <t>Vendas</t>
        </is>
      </c>
      <c r="F325" s="103" t="n">
        <v>676999.33</v>
      </c>
      <c r="G325" s="104" t="inlineStr">
        <is>
          <t>12/2025</t>
        </is>
      </c>
      <c r="H325" s="104" t="inlineStr">
        <is>
          <t>CODI</t>
        </is>
      </c>
    </row>
    <row r="326" ht="15" customHeight="1" s="86">
      <c r="B326" s="101" t="n">
        <v>45992</v>
      </c>
      <c r="C326" s="102" t="inlineStr">
        <is>
          <t>Salário e Ordenados - 12/2025</t>
        </is>
      </c>
      <c r="D326" s="102" t="inlineStr">
        <is>
          <t>Saída</t>
        </is>
      </c>
      <c r="E326" s="102" t="inlineStr">
        <is>
          <t>Salário e Ordenados</t>
        </is>
      </c>
      <c r="F326" s="103" t="n">
        <v>25922.28</v>
      </c>
      <c r="G326" s="104" t="inlineStr">
        <is>
          <t>12/2025</t>
        </is>
      </c>
      <c r="H326" s="104" t="inlineStr">
        <is>
          <t>CODI</t>
        </is>
      </c>
    </row>
    <row r="327" ht="15" customHeight="1" s="86">
      <c r="B327" s="101" t="n">
        <v>45992</v>
      </c>
      <c r="C327" s="102" t="inlineStr">
        <is>
          <t>Vales e Adiantamentos - 12/2025</t>
        </is>
      </c>
      <c r="D327" s="102" t="inlineStr">
        <is>
          <t>Saída</t>
        </is>
      </c>
      <c r="E327" s="102" t="inlineStr">
        <is>
          <t>Vales e Adiantamentos</t>
        </is>
      </c>
      <c r="F327" s="103" t="n">
        <v>3850</v>
      </c>
      <c r="G327" s="104" t="inlineStr">
        <is>
          <t>12/2025</t>
        </is>
      </c>
      <c r="H327" s="104" t="inlineStr">
        <is>
          <t>CODI</t>
        </is>
      </c>
    </row>
    <row r="328" ht="15" customHeight="1" s="86">
      <c r="B328" s="101" t="n">
        <v>45992</v>
      </c>
      <c r="C328" s="102" t="inlineStr">
        <is>
          <t>Férias - 12/2025</t>
        </is>
      </c>
      <c r="D328" s="102" t="inlineStr">
        <is>
          <t>Saída</t>
        </is>
      </c>
      <c r="E328" s="102" t="inlineStr">
        <is>
          <t>Férias</t>
        </is>
      </c>
      <c r="F328" s="103" t="n">
        <v>8096</v>
      </c>
      <c r="G328" s="104" t="inlineStr">
        <is>
          <t>12/2025</t>
        </is>
      </c>
      <c r="H328" s="104" t="inlineStr">
        <is>
          <t>CODI</t>
        </is>
      </c>
    </row>
    <row r="329" ht="15" customHeight="1" s="86">
      <c r="B329" s="101" t="n">
        <v>45992</v>
      </c>
      <c r="C329" s="102" t="inlineStr">
        <is>
          <t>Acertos e Recisões - 12/2025</t>
        </is>
      </c>
      <c r="D329" s="102" t="inlineStr">
        <is>
          <t>Saída</t>
        </is>
      </c>
      <c r="E329" s="102" t="inlineStr">
        <is>
          <t>Acertos e Recisões</t>
        </is>
      </c>
      <c r="F329" s="103" t="n">
        <v>3434.87</v>
      </c>
      <c r="G329" s="104" t="inlineStr">
        <is>
          <t>12/2025</t>
        </is>
      </c>
      <c r="H329" s="104" t="inlineStr">
        <is>
          <t>CODI</t>
        </is>
      </c>
    </row>
    <row r="330" ht="15" customHeight="1" s="86">
      <c r="B330" s="101" t="n">
        <v>45992</v>
      </c>
      <c r="C330" s="102" t="inlineStr">
        <is>
          <t>Frete e Transporte de Mercadorias - 12/2025</t>
        </is>
      </c>
      <c r="D330" s="102" t="inlineStr">
        <is>
          <t>Saída</t>
        </is>
      </c>
      <c r="E330" s="102" t="inlineStr">
        <is>
          <t>Frete e Transporte de Mercadorias</t>
        </is>
      </c>
      <c r="F330" s="103" t="n">
        <v>7966.01</v>
      </c>
      <c r="G330" s="104" t="inlineStr">
        <is>
          <t>12/2025</t>
        </is>
      </c>
      <c r="H330" s="104" t="inlineStr">
        <is>
          <t>CODI</t>
        </is>
      </c>
    </row>
    <row r="331" ht="15" customHeight="1" s="86">
      <c r="B331" s="101" t="n">
        <v>45992</v>
      </c>
      <c r="C331" s="102" t="inlineStr">
        <is>
          <t>Seguros - 12/2025</t>
        </is>
      </c>
      <c r="D331" s="102" t="inlineStr">
        <is>
          <t>Saída</t>
        </is>
      </c>
      <c r="E331" s="102" t="inlineStr">
        <is>
          <t>Seguros</t>
        </is>
      </c>
      <c r="F331" s="103" t="n">
        <v>269.82</v>
      </c>
      <c r="G331" s="104" t="inlineStr">
        <is>
          <t>12/2025</t>
        </is>
      </c>
      <c r="H331" s="104" t="inlineStr">
        <is>
          <t>CODI</t>
        </is>
      </c>
    </row>
    <row r="332" ht="15" customHeight="1" s="86">
      <c r="B332" s="101" t="n">
        <v>45992</v>
      </c>
      <c r="C332" s="102" t="inlineStr">
        <is>
          <t>Segurança e Monitoramento - 12/2025</t>
        </is>
      </c>
      <c r="D332" s="102" t="inlineStr">
        <is>
          <t>Saída</t>
        </is>
      </c>
      <c r="E332" s="102" t="inlineStr">
        <is>
          <t>Segurança e Monitoramento</t>
        </is>
      </c>
      <c r="F332" s="103" t="n">
        <v>140</v>
      </c>
      <c r="G332" s="104" t="inlineStr">
        <is>
          <t>12/2025</t>
        </is>
      </c>
      <c r="H332" s="104" t="inlineStr">
        <is>
          <t>CODI</t>
        </is>
      </c>
    </row>
    <row r="333" ht="15" customHeight="1" s="86">
      <c r="B333" s="101" t="n">
        <v>45992</v>
      </c>
      <c r="C333" s="102" t="inlineStr">
        <is>
          <t>Vale Transporte - 12/2025</t>
        </is>
      </c>
      <c r="D333" s="102" t="inlineStr">
        <is>
          <t>Saída</t>
        </is>
      </c>
      <c r="E333" s="102" t="inlineStr">
        <is>
          <t>Vale Transporte</t>
        </is>
      </c>
      <c r="F333" s="103" t="n">
        <v>700</v>
      </c>
      <c r="G333" s="104" t="inlineStr">
        <is>
          <t>12/2025</t>
        </is>
      </c>
      <c r="H333" s="104" t="inlineStr">
        <is>
          <t>CODI</t>
        </is>
      </c>
    </row>
    <row r="334" ht="15" customHeight="1" s="86">
      <c r="B334" s="101" t="n">
        <v>45992</v>
      </c>
      <c r="C334" s="102" t="inlineStr">
        <is>
          <t>Publicidade - 12/2025</t>
        </is>
      </c>
      <c r="D334" s="102" t="inlineStr">
        <is>
          <t>Saída</t>
        </is>
      </c>
      <c r="E334" s="102" t="inlineStr">
        <is>
          <t>Publicidade</t>
        </is>
      </c>
      <c r="F334" s="103" t="n">
        <v>3990</v>
      </c>
      <c r="G334" s="104" t="inlineStr">
        <is>
          <t>12/2025</t>
        </is>
      </c>
      <c r="H334" s="104" t="inlineStr">
        <is>
          <t>CODI</t>
        </is>
      </c>
    </row>
    <row r="335" ht="15" customHeight="1" s="86">
      <c r="B335" s="101" t="n">
        <v>45992</v>
      </c>
      <c r="C335" s="102" t="inlineStr">
        <is>
          <t>Energia Elétrica - 12/2025</t>
        </is>
      </c>
      <c r="D335" s="102" t="inlineStr">
        <is>
          <t>Saída</t>
        </is>
      </c>
      <c r="E335" s="102" t="inlineStr">
        <is>
          <t>Energia Elétrica</t>
        </is>
      </c>
      <c r="F335" s="103" t="n">
        <v>790.16</v>
      </c>
      <c r="G335" s="104" t="inlineStr">
        <is>
          <t>12/2025</t>
        </is>
      </c>
      <c r="H335" s="104" t="inlineStr">
        <is>
          <t>CODI</t>
        </is>
      </c>
    </row>
    <row r="336" ht="15" customHeight="1" s="86">
      <c r="B336" s="101" t="n">
        <v>45992</v>
      </c>
      <c r="C336" s="102" t="inlineStr">
        <is>
          <t>Água - 12/2025</t>
        </is>
      </c>
      <c r="D336" s="102" t="inlineStr">
        <is>
          <t>Saída</t>
        </is>
      </c>
      <c r="E336" s="102" t="inlineStr">
        <is>
          <t>Água</t>
        </is>
      </c>
      <c r="F336" s="103" t="n">
        <v>552.26</v>
      </c>
      <c r="G336" s="104" t="inlineStr">
        <is>
          <t>12/2025</t>
        </is>
      </c>
      <c r="H336" s="104" t="inlineStr">
        <is>
          <t>CODI</t>
        </is>
      </c>
    </row>
    <row r="337" ht="15" customHeight="1" s="86">
      <c r="B337" s="101" t="n">
        <v>45992</v>
      </c>
      <c r="C337" s="102" t="inlineStr">
        <is>
          <t>Custo de Mercadoria Vendida - 12/2025</t>
        </is>
      </c>
      <c r="D337" s="102" t="inlineStr">
        <is>
          <t>Saída</t>
        </is>
      </c>
      <c r="E337" s="102" t="inlineStr">
        <is>
          <t>Custo de Mercadoria Vendida</t>
        </is>
      </c>
      <c r="F337" s="103" t="n">
        <v>493994.09</v>
      </c>
      <c r="G337" s="104" t="inlineStr">
        <is>
          <t>12/2025</t>
        </is>
      </c>
      <c r="H337" s="104" t="inlineStr">
        <is>
          <t>CODI</t>
        </is>
      </c>
    </row>
    <row r="338" ht="15" customHeight="1" s="86">
      <c r="B338" s="101" t="n">
        <v>45992</v>
      </c>
      <c r="C338" s="102" t="inlineStr">
        <is>
          <t>Darf - 12/2025</t>
        </is>
      </c>
      <c r="D338" s="102" t="inlineStr">
        <is>
          <t>Saída</t>
        </is>
      </c>
      <c r="E338" s="102" t="inlineStr">
        <is>
          <t>Darf</t>
        </is>
      </c>
      <c r="F338" s="103" t="n">
        <v>4439.64</v>
      </c>
      <c r="G338" s="104" t="inlineStr">
        <is>
          <t>12/2025</t>
        </is>
      </c>
      <c r="H338" s="104" t="inlineStr">
        <is>
          <t>CODI</t>
        </is>
      </c>
    </row>
    <row r="339" ht="15" customHeight="1" s="86">
      <c r="B339" s="101" t="n">
        <v>45992</v>
      </c>
      <c r="C339" s="102" t="inlineStr">
        <is>
          <t>Honorários Contábeis (Contabilidade) - 12/2025</t>
        </is>
      </c>
      <c r="D339" s="102" t="inlineStr">
        <is>
          <t>Saída</t>
        </is>
      </c>
      <c r="E339" s="102" t="inlineStr">
        <is>
          <t>Honorários Contábeis (Contabilidade)</t>
        </is>
      </c>
      <c r="F339" s="103" t="n">
        <v>1100</v>
      </c>
      <c r="G339" s="104" t="inlineStr">
        <is>
          <t>12/2025</t>
        </is>
      </c>
      <c r="H339" s="104" t="inlineStr">
        <is>
          <t>CODI</t>
        </is>
      </c>
    </row>
    <row r="340" ht="15" customHeight="1" s="86">
      <c r="B340" s="101" t="n">
        <v>45992</v>
      </c>
      <c r="C340" s="102" t="inlineStr">
        <is>
          <t>Outras Despesas - 12/2025</t>
        </is>
      </c>
      <c r="D340" s="102" t="inlineStr">
        <is>
          <t>Saída</t>
        </is>
      </c>
      <c r="E340" s="102" t="inlineStr">
        <is>
          <t>Outras Despesas</t>
        </is>
      </c>
      <c r="F340" s="103" t="n">
        <v>20136.76</v>
      </c>
      <c r="G340" s="104" t="inlineStr">
        <is>
          <t>12/2025</t>
        </is>
      </c>
      <c r="H340" s="104" t="inlineStr">
        <is>
          <t>CODI</t>
        </is>
      </c>
    </row>
    <row r="341" ht="15" customHeight="1" s="86">
      <c r="B341" s="101" t="n">
        <v>45992</v>
      </c>
      <c r="C341" s="102" t="inlineStr">
        <is>
          <t>Alimentação - 12/2025</t>
        </is>
      </c>
      <c r="D341" s="102" t="inlineStr">
        <is>
          <t>Saída</t>
        </is>
      </c>
      <c r="E341" s="102" t="inlineStr">
        <is>
          <t>Alimentação</t>
        </is>
      </c>
      <c r="F341" s="103" t="n">
        <v>793.24</v>
      </c>
      <c r="G341" s="104" t="inlineStr">
        <is>
          <t>12/2025</t>
        </is>
      </c>
      <c r="H341" s="104" t="inlineStr">
        <is>
          <t>CODI</t>
        </is>
      </c>
    </row>
    <row r="342" ht="15" customHeight="1" s="86">
      <c r="B342" s="101" t="n">
        <v>45992</v>
      </c>
      <c r="C342" s="102" t="inlineStr">
        <is>
          <t>Combustíveis - 12/2025</t>
        </is>
      </c>
      <c r="D342" s="102" t="inlineStr">
        <is>
          <t>Saída</t>
        </is>
      </c>
      <c r="E342" s="102" t="inlineStr">
        <is>
          <t>Combustíveis</t>
        </is>
      </c>
      <c r="F342" s="103" t="n">
        <v>1470.3</v>
      </c>
      <c r="G342" s="104" t="inlineStr">
        <is>
          <t>12/2025</t>
        </is>
      </c>
      <c r="H342" s="104" t="inlineStr">
        <is>
          <t>CODI</t>
        </is>
      </c>
    </row>
    <row r="343" ht="15" customHeight="1" s="86">
      <c r="B343" s="101" t="n">
        <v>45992</v>
      </c>
      <c r="C343" s="102" t="inlineStr">
        <is>
          <t>Manutenção de Máquinas e Peças - 12/2025</t>
        </is>
      </c>
      <c r="D343" s="102" t="inlineStr">
        <is>
          <t>Saída</t>
        </is>
      </c>
      <c r="E343" s="102" t="inlineStr">
        <is>
          <t>Manutenção de Máquinas e Peças</t>
        </is>
      </c>
      <c r="F343" s="103" t="n">
        <v>110</v>
      </c>
      <c r="G343" s="104" t="inlineStr">
        <is>
          <t>12/2025</t>
        </is>
      </c>
      <c r="H343" s="104" t="inlineStr">
        <is>
          <t>CODI</t>
        </is>
      </c>
    </row>
    <row r="344" ht="15" customHeight="1" s="86">
      <c r="B344" s="101" t="n">
        <v>45992</v>
      </c>
      <c r="C344" s="102" t="inlineStr">
        <is>
          <t>Telefonia Móvel - 12/2025</t>
        </is>
      </c>
      <c r="D344" s="102" t="inlineStr">
        <is>
          <t>Saída</t>
        </is>
      </c>
      <c r="E344" s="102" t="inlineStr">
        <is>
          <t>Telefonia Móvel</t>
        </is>
      </c>
      <c r="F344" s="103" t="n">
        <v>120</v>
      </c>
      <c r="G344" s="104" t="inlineStr">
        <is>
          <t>12/2025</t>
        </is>
      </c>
      <c r="H344" s="104" t="inlineStr">
        <is>
          <t>CODI</t>
        </is>
      </c>
    </row>
    <row r="345" ht="15" customHeight="1" s="86">
      <c r="B345" s="101" t="n">
        <v>45992</v>
      </c>
      <c r="C345" s="102" t="inlineStr">
        <is>
          <t>Manutenção de Veiculos e Estacionamento - 12/2025</t>
        </is>
      </c>
      <c r="D345" s="102" t="inlineStr">
        <is>
          <t>Saída</t>
        </is>
      </c>
      <c r="E345" s="102" t="inlineStr">
        <is>
          <t>Manutenção de Veiculos e Estacionamento</t>
        </is>
      </c>
      <c r="F345" s="103" t="n">
        <v>122</v>
      </c>
      <c r="G345" s="104" t="inlineStr">
        <is>
          <t>12/2025</t>
        </is>
      </c>
      <c r="H345" s="104" t="inlineStr">
        <is>
          <t>CODI</t>
        </is>
      </c>
    </row>
    <row r="346" ht="15" customHeight="1" s="86">
      <c r="B346" s="101" t="n">
        <v>45992</v>
      </c>
      <c r="C346" s="102" t="inlineStr">
        <is>
          <t>Consulta de Crédito Cliente - 12/2025</t>
        </is>
      </c>
      <c r="D346" s="102" t="inlineStr">
        <is>
          <t>Saída</t>
        </is>
      </c>
      <c r="E346" s="102" t="inlineStr">
        <is>
          <t>Consulta de Crédito Cliente</t>
        </is>
      </c>
      <c r="F346" s="103" t="n">
        <v>465.7</v>
      </c>
      <c r="G346" s="104" t="inlineStr">
        <is>
          <t>12/2025</t>
        </is>
      </c>
      <c r="H346" s="104" t="inlineStr">
        <is>
          <t>CODI</t>
        </is>
      </c>
    </row>
    <row r="347" ht="15" customHeight="1" s="86">
      <c r="B347" s="101" t="n">
        <v>45992</v>
      </c>
      <c r="C347" s="102" t="inlineStr">
        <is>
          <t>Despesa com Sindicatos - 12/2025</t>
        </is>
      </c>
      <c r="D347" s="102" t="inlineStr">
        <is>
          <t>Saída</t>
        </is>
      </c>
      <c r="E347" s="102" t="inlineStr">
        <is>
          <t>Despesa com Sindicatos</t>
        </is>
      </c>
      <c r="F347" s="103" t="n">
        <v>67.40000000000001</v>
      </c>
      <c r="G347" s="104" t="inlineStr">
        <is>
          <t>12/2025</t>
        </is>
      </c>
      <c r="H347" s="104" t="inlineStr">
        <is>
          <t>CODI</t>
        </is>
      </c>
    </row>
    <row r="348" ht="15" customHeight="1" s="86">
      <c r="B348" s="101" t="n">
        <v>45992</v>
      </c>
      <c r="C348" s="102" t="inlineStr">
        <is>
          <t>Telefonia Fixa e Internet - 12/2025</t>
        </is>
      </c>
      <c r="D348" s="102" t="inlineStr">
        <is>
          <t>Saída</t>
        </is>
      </c>
      <c r="E348" s="102" t="inlineStr">
        <is>
          <t>Telefonia Fixa e Internet</t>
        </is>
      </c>
      <c r="F348" s="103" t="n">
        <v>120</v>
      </c>
      <c r="G348" s="104" t="inlineStr">
        <is>
          <t>12/2025</t>
        </is>
      </c>
      <c r="H348" s="104" t="inlineStr">
        <is>
          <t>CODI</t>
        </is>
      </c>
    </row>
    <row r="349" ht="15" customHeight="1" s="86">
      <c r="B349" s="101" t="n">
        <v>45992</v>
      </c>
      <c r="C349" s="102" t="inlineStr">
        <is>
          <t>Empréstimos - 12/2025</t>
        </is>
      </c>
      <c r="D349" s="102" t="inlineStr">
        <is>
          <t>Saída</t>
        </is>
      </c>
      <c r="E349" s="102" t="inlineStr">
        <is>
          <t>Empréstimos</t>
        </is>
      </c>
      <c r="F349" s="103" t="n">
        <v>95629.47</v>
      </c>
      <c r="G349" s="104" t="inlineStr">
        <is>
          <t>12/2025</t>
        </is>
      </c>
      <c r="H349" s="104" t="inlineStr">
        <is>
          <t>CODI</t>
        </is>
      </c>
    </row>
    <row r="350" ht="15" customHeight="1" s="86">
      <c r="B350" s="101" t="n">
        <v>45992</v>
      </c>
      <c r="C350" s="102" t="inlineStr">
        <is>
          <t>Fgts, Gps e Pis - 12/2025</t>
        </is>
      </c>
      <c r="D350" s="102" t="inlineStr">
        <is>
          <t>Saída</t>
        </is>
      </c>
      <c r="E350" s="102" t="inlineStr">
        <is>
          <t>Fgts, Gps e Pis</t>
        </is>
      </c>
      <c r="F350" s="103" t="n">
        <v>5198.96</v>
      </c>
      <c r="G350" s="104" t="inlineStr">
        <is>
          <t>12/2025</t>
        </is>
      </c>
      <c r="H350" s="104" t="inlineStr">
        <is>
          <t>CODI</t>
        </is>
      </c>
    </row>
    <row r="351" ht="15" customHeight="1" s="86">
      <c r="B351" s="101" t="n">
        <v>45992</v>
      </c>
      <c r="C351" s="102" t="inlineStr">
        <is>
          <t>Web Site e Sistema ERP - 12/2025</t>
        </is>
      </c>
      <c r="D351" s="102" t="inlineStr">
        <is>
          <t>Saída</t>
        </is>
      </c>
      <c r="E351" s="102" t="inlineStr">
        <is>
          <t>Web Site e Sistema ERP</t>
        </is>
      </c>
      <c r="F351" s="103" t="n">
        <v>957</v>
      </c>
      <c r="G351" s="104" t="inlineStr">
        <is>
          <t>12/2025</t>
        </is>
      </c>
      <c r="H351" s="104" t="inlineStr">
        <is>
          <t>CODI</t>
        </is>
      </c>
    </row>
    <row r="352" ht="15" customHeight="1" s="86">
      <c r="B352" s="101" t="n">
        <v>45992</v>
      </c>
      <c r="C352" s="102" t="inlineStr">
        <is>
          <t>Patrocínio - 12/2025</t>
        </is>
      </c>
      <c r="D352" s="102" t="inlineStr">
        <is>
          <t>Saída</t>
        </is>
      </c>
      <c r="E352" s="102" t="inlineStr">
        <is>
          <t>Patrocínio</t>
        </is>
      </c>
      <c r="F352" s="103" t="n">
        <v>683.9</v>
      </c>
      <c r="G352" s="104" t="inlineStr">
        <is>
          <t>12/2025</t>
        </is>
      </c>
      <c r="H352" s="104" t="inlineStr">
        <is>
          <t>CODI</t>
        </is>
      </c>
    </row>
    <row r="353" ht="15" customHeight="1" s="86">
      <c r="B353" s="101" t="n">
        <v>45992</v>
      </c>
      <c r="C353" s="102" t="inlineStr">
        <is>
          <t>Juros de Empréstimos - 12/2025</t>
        </is>
      </c>
      <c r="D353" s="102" t="inlineStr">
        <is>
          <t>Saída</t>
        </is>
      </c>
      <c r="E353" s="102" t="inlineStr">
        <is>
          <t>Juros de Empréstimos</t>
        </is>
      </c>
      <c r="F353" s="103" t="n">
        <v>7750</v>
      </c>
      <c r="G353" s="104" t="inlineStr">
        <is>
          <t>12/2025</t>
        </is>
      </c>
      <c r="H353" s="104" t="inlineStr">
        <is>
          <t>CODI</t>
        </is>
      </c>
    </row>
    <row r="354" ht="15" customHeight="1" s="86">
      <c r="B354" s="101" t="n">
        <v>45992</v>
      </c>
      <c r="C354" s="102" t="inlineStr">
        <is>
          <t>Assessoria Técnica Profissional - 12/2025</t>
        </is>
      </c>
      <c r="D354" s="102" t="inlineStr">
        <is>
          <t>Saída</t>
        </is>
      </c>
      <c r="E354" s="102" t="inlineStr">
        <is>
          <t>Assessoria Técnica Profissional</t>
        </is>
      </c>
      <c r="F354" s="103" t="n">
        <v>5000</v>
      </c>
      <c r="G354" s="104" t="inlineStr">
        <is>
          <t>12/2025</t>
        </is>
      </c>
      <c r="H354" s="104" t="inlineStr">
        <is>
          <t>CODI</t>
        </is>
      </c>
    </row>
    <row r="355" ht="15" customHeight="1" s="86">
      <c r="B355" s="101" t="n">
        <v>45992</v>
      </c>
      <c r="C355" s="102" t="inlineStr">
        <is>
          <t>Consórcio - 12/2025</t>
        </is>
      </c>
      <c r="D355" s="102" t="inlineStr">
        <is>
          <t>Saída</t>
        </is>
      </c>
      <c r="E355" s="102" t="inlineStr">
        <is>
          <t>Consórcio</t>
        </is>
      </c>
      <c r="F355" s="103" t="n">
        <v>0.01</v>
      </c>
      <c r="G355" s="104" t="inlineStr">
        <is>
          <t>12/2025</t>
        </is>
      </c>
      <c r="H355" s="104" t="inlineStr">
        <is>
          <t>CODI</t>
        </is>
      </c>
    </row>
    <row r="356" ht="15" customHeight="1" s="86">
      <c r="B356" s="101" t="n">
        <v>45992</v>
      </c>
      <c r="C356" s="102" t="inlineStr">
        <is>
          <t>13º Salário - 12/2025</t>
        </is>
      </c>
      <c r="D356" s="102" t="inlineStr">
        <is>
          <t>Saída</t>
        </is>
      </c>
      <c r="E356" s="102" t="inlineStr">
        <is>
          <t>13º Salário</t>
        </is>
      </c>
      <c r="F356" s="103" t="n">
        <v>12084.67</v>
      </c>
      <c r="G356" s="104" t="inlineStr">
        <is>
          <t>12/2025</t>
        </is>
      </c>
      <c r="H356" s="104" t="inlineStr">
        <is>
          <t>CODI</t>
        </is>
      </c>
    </row>
    <row r="357" ht="15" customHeight="1" s="86">
      <c r="B357" s="101" t="n">
        <v>46023</v>
      </c>
      <c r="C357" s="102" t="inlineStr">
        <is>
          <t>Vendas - 01/2026</t>
        </is>
      </c>
      <c r="D357" s="102" t="inlineStr">
        <is>
          <t>Entrada</t>
        </is>
      </c>
      <c r="E357" s="102" t="inlineStr">
        <is>
          <t>Vendas</t>
        </is>
      </c>
      <c r="F357" s="103" t="n">
        <v>309185.9</v>
      </c>
      <c r="G357" s="104" t="inlineStr">
        <is>
          <t>01/2026</t>
        </is>
      </c>
      <c r="H357" s="104" t="inlineStr">
        <is>
          <t>CODI</t>
        </is>
      </c>
    </row>
    <row r="358" ht="15" customHeight="1" s="86">
      <c r="B358" s="101" t="n">
        <v>46023</v>
      </c>
      <c r="C358" s="102" t="inlineStr">
        <is>
          <t>Aluguéis e Condomínios - 01/2026</t>
        </is>
      </c>
      <c r="D358" s="102" t="inlineStr">
        <is>
          <t>Saída</t>
        </is>
      </c>
      <c r="E358" s="102" t="inlineStr">
        <is>
          <t>Aluguéis e Condomínios</t>
        </is>
      </c>
      <c r="F358" s="103" t="n">
        <v>7600</v>
      </c>
      <c r="G358" s="104" t="inlineStr">
        <is>
          <t>01/2026</t>
        </is>
      </c>
      <c r="H358" s="104" t="inlineStr">
        <is>
          <t>CODI</t>
        </is>
      </c>
    </row>
    <row r="359" ht="15" customHeight="1" s="86">
      <c r="B359" s="101" t="n">
        <v>46023</v>
      </c>
      <c r="C359" s="102" t="inlineStr">
        <is>
          <t>Salário e Ordenados - 01/2026</t>
        </is>
      </c>
      <c r="D359" s="102" t="inlineStr">
        <is>
          <t>Saída</t>
        </is>
      </c>
      <c r="E359" s="102" t="inlineStr">
        <is>
          <t>Salário e Ordenados</t>
        </is>
      </c>
      <c r="F359" s="103" t="n">
        <v>29464</v>
      </c>
      <c r="G359" s="104" t="inlineStr">
        <is>
          <t>01/2026</t>
        </is>
      </c>
      <c r="H359" s="104" t="inlineStr">
        <is>
          <t>CODI</t>
        </is>
      </c>
    </row>
    <row r="360" ht="15" customHeight="1" s="86">
      <c r="B360" s="101" t="n">
        <v>46023</v>
      </c>
      <c r="C360" s="102" t="inlineStr">
        <is>
          <t>Vales e Adiantamentos - 01/2026</t>
        </is>
      </c>
      <c r="D360" s="102" t="inlineStr">
        <is>
          <t>Saída</t>
        </is>
      </c>
      <c r="E360" s="102" t="inlineStr">
        <is>
          <t>Vales e Adiantamentos</t>
        </is>
      </c>
      <c r="F360" s="103" t="n">
        <v>3120.01</v>
      </c>
      <c r="G360" s="104" t="inlineStr">
        <is>
          <t>01/2026</t>
        </is>
      </c>
      <c r="H360" s="104" t="inlineStr">
        <is>
          <t>CODI</t>
        </is>
      </c>
    </row>
    <row r="361" ht="15" customHeight="1" s="86">
      <c r="B361" s="101" t="n">
        <v>46023</v>
      </c>
      <c r="C361" s="102" t="inlineStr">
        <is>
          <t>Acertos e Recisões - 01/2026</t>
        </is>
      </c>
      <c r="D361" s="102" t="inlineStr">
        <is>
          <t>Saída</t>
        </is>
      </c>
      <c r="E361" s="102" t="inlineStr">
        <is>
          <t>Acertos e Recisões</t>
        </is>
      </c>
      <c r="F361" s="103" t="n">
        <v>30769.48</v>
      </c>
      <c r="G361" s="104" t="inlineStr">
        <is>
          <t>01/2026</t>
        </is>
      </c>
      <c r="H361" s="104" t="inlineStr">
        <is>
          <t>CODI</t>
        </is>
      </c>
    </row>
    <row r="362" ht="15" customHeight="1" s="86">
      <c r="B362" s="101" t="n">
        <v>46023</v>
      </c>
      <c r="C362" s="102" t="inlineStr">
        <is>
          <t>Frete e Transporte de Mercadorias - 01/2026</t>
        </is>
      </c>
      <c r="D362" s="102" t="inlineStr">
        <is>
          <t>Saída</t>
        </is>
      </c>
      <c r="E362" s="102" t="inlineStr">
        <is>
          <t>Frete e Transporte de Mercadorias</t>
        </is>
      </c>
      <c r="F362" s="103" t="n">
        <v>1635.49</v>
      </c>
      <c r="G362" s="104" t="inlineStr">
        <is>
          <t>01/2026</t>
        </is>
      </c>
      <c r="H362" s="104" t="inlineStr">
        <is>
          <t>CODI</t>
        </is>
      </c>
    </row>
    <row r="363" ht="15" customHeight="1" s="86">
      <c r="B363" s="101" t="n">
        <v>46023</v>
      </c>
      <c r="C363" s="102" t="inlineStr">
        <is>
          <t>Seguros - 01/2026</t>
        </is>
      </c>
      <c r="D363" s="102" t="inlineStr">
        <is>
          <t>Saída</t>
        </is>
      </c>
      <c r="E363" s="102" t="inlineStr">
        <is>
          <t>Seguros</t>
        </is>
      </c>
      <c r="F363" s="103" t="n">
        <v>265.92</v>
      </c>
      <c r="G363" s="104" t="inlineStr">
        <is>
          <t>01/2026</t>
        </is>
      </c>
      <c r="H363" s="104" t="inlineStr">
        <is>
          <t>CODI</t>
        </is>
      </c>
    </row>
    <row r="364" ht="15" customHeight="1" s="86">
      <c r="B364" s="101" t="n">
        <v>46023</v>
      </c>
      <c r="C364" s="102" t="inlineStr">
        <is>
          <t>Vale Transporte - 01/2026</t>
        </is>
      </c>
      <c r="D364" s="102" t="inlineStr">
        <is>
          <t>Saída</t>
        </is>
      </c>
      <c r="E364" s="102" t="inlineStr">
        <is>
          <t>Vale Transporte</t>
        </is>
      </c>
      <c r="F364" s="103" t="n">
        <v>1700</v>
      </c>
      <c r="G364" s="104" t="inlineStr">
        <is>
          <t>01/2026</t>
        </is>
      </c>
      <c r="H364" s="104" t="inlineStr">
        <is>
          <t>CODI</t>
        </is>
      </c>
    </row>
    <row r="365" ht="15" customHeight="1" s="86">
      <c r="B365" s="101" t="n">
        <v>46023</v>
      </c>
      <c r="C365" s="102" t="inlineStr">
        <is>
          <t>Publicidade - 01/2026</t>
        </is>
      </c>
      <c r="D365" s="102" t="inlineStr">
        <is>
          <t>Saída</t>
        </is>
      </c>
      <c r="E365" s="102" t="inlineStr">
        <is>
          <t>Publicidade</t>
        </is>
      </c>
      <c r="F365" s="103" t="n">
        <v>920</v>
      </c>
      <c r="G365" s="104" t="inlineStr">
        <is>
          <t>01/2026</t>
        </is>
      </c>
      <c r="H365" s="104" t="inlineStr">
        <is>
          <t>CODI</t>
        </is>
      </c>
    </row>
    <row r="366" ht="15" customHeight="1" s="86">
      <c r="B366" s="101" t="n">
        <v>46023</v>
      </c>
      <c r="C366" s="102" t="inlineStr">
        <is>
          <t>Energia Elétrica - 01/2026</t>
        </is>
      </c>
      <c r="D366" s="102" t="inlineStr">
        <is>
          <t>Saída</t>
        </is>
      </c>
      <c r="E366" s="102" t="inlineStr">
        <is>
          <t>Energia Elétrica</t>
        </is>
      </c>
      <c r="F366" s="103" t="n">
        <v>88</v>
      </c>
      <c r="G366" s="104" t="inlineStr">
        <is>
          <t>01/2026</t>
        </is>
      </c>
      <c r="H366" s="104" t="inlineStr">
        <is>
          <t>CODI</t>
        </is>
      </c>
    </row>
    <row r="367" ht="15" customHeight="1" s="86">
      <c r="B367" s="101" t="n">
        <v>46023</v>
      </c>
      <c r="C367" s="102" t="inlineStr">
        <is>
          <t>Água - 01/2026</t>
        </is>
      </c>
      <c r="D367" s="102" t="inlineStr">
        <is>
          <t>Saída</t>
        </is>
      </c>
      <c r="E367" s="102" t="inlineStr">
        <is>
          <t>Água</t>
        </is>
      </c>
      <c r="F367" s="103" t="n">
        <v>227.27</v>
      </c>
      <c r="G367" s="104" t="inlineStr">
        <is>
          <t>01/2026</t>
        </is>
      </c>
      <c r="H367" s="104" t="inlineStr">
        <is>
          <t>CODI</t>
        </is>
      </c>
    </row>
    <row r="368" ht="15" customHeight="1" s="86">
      <c r="B368" s="101" t="n">
        <v>46023</v>
      </c>
      <c r="C368" s="102" t="inlineStr">
        <is>
          <t>Custo de Mercadoria Vendida - 01/2026</t>
        </is>
      </c>
      <c r="D368" s="102" t="inlineStr">
        <is>
          <t>Saída</t>
        </is>
      </c>
      <c r="E368" s="102" t="inlineStr">
        <is>
          <t>Custo de Mercadoria Vendida</t>
        </is>
      </c>
      <c r="F368" s="103" t="n">
        <v>210250.43</v>
      </c>
      <c r="G368" s="104" t="inlineStr">
        <is>
          <t>01/2026</t>
        </is>
      </c>
      <c r="H368" s="104" t="inlineStr">
        <is>
          <t>CODI</t>
        </is>
      </c>
    </row>
    <row r="369" ht="15" customHeight="1" s="86">
      <c r="B369" s="101" t="n">
        <v>46023</v>
      </c>
      <c r="C369" s="102" t="inlineStr">
        <is>
          <t>Darf - 01/2026</t>
        </is>
      </c>
      <c r="D369" s="102" t="inlineStr">
        <is>
          <t>Saída</t>
        </is>
      </c>
      <c r="E369" s="102" t="inlineStr">
        <is>
          <t>Darf</t>
        </is>
      </c>
      <c r="F369" s="103" t="n">
        <v>2855.89</v>
      </c>
      <c r="G369" s="104" t="inlineStr">
        <is>
          <t>01/2026</t>
        </is>
      </c>
      <c r="H369" s="104" t="inlineStr">
        <is>
          <t>CODI</t>
        </is>
      </c>
    </row>
    <row r="370" ht="15" customHeight="1" s="86">
      <c r="B370" s="101" t="n">
        <v>46023</v>
      </c>
      <c r="C370" s="102" t="inlineStr">
        <is>
          <t>Honorários Contábeis (Contabilidade) - 01/2026</t>
        </is>
      </c>
      <c r="D370" s="102" t="inlineStr">
        <is>
          <t>Saída</t>
        </is>
      </c>
      <c r="E370" s="102" t="inlineStr">
        <is>
          <t>Honorários Contábeis (Contabilidade)</t>
        </is>
      </c>
      <c r="F370" s="103" t="n">
        <v>1100</v>
      </c>
      <c r="G370" s="104" t="inlineStr">
        <is>
          <t>01/2026</t>
        </is>
      </c>
      <c r="H370" s="104" t="inlineStr">
        <is>
          <t>CODI</t>
        </is>
      </c>
    </row>
    <row r="371" ht="15" customHeight="1" s="86">
      <c r="B371" s="101" t="n">
        <v>46023</v>
      </c>
      <c r="C371" s="102" t="inlineStr">
        <is>
          <t>Alimentação - 01/2026</t>
        </is>
      </c>
      <c r="D371" s="102" t="inlineStr">
        <is>
          <t>Saída</t>
        </is>
      </c>
      <c r="E371" s="102" t="inlineStr">
        <is>
          <t>Alimentação</t>
        </is>
      </c>
      <c r="F371" s="103" t="n">
        <v>9.380000000000001</v>
      </c>
      <c r="G371" s="104" t="inlineStr">
        <is>
          <t>01/2026</t>
        </is>
      </c>
      <c r="H371" s="104" t="inlineStr">
        <is>
          <t>CODI</t>
        </is>
      </c>
    </row>
    <row r="372" ht="15" customHeight="1" s="86">
      <c r="B372" s="101" t="n">
        <v>46023</v>
      </c>
      <c r="C372" s="102" t="inlineStr">
        <is>
          <t>Combustíveis - 01/2026</t>
        </is>
      </c>
      <c r="D372" s="102" t="inlineStr">
        <is>
          <t>Saída</t>
        </is>
      </c>
      <c r="E372" s="102" t="inlineStr">
        <is>
          <t>Combustíveis</t>
        </is>
      </c>
      <c r="F372" s="103" t="n">
        <v>839.51</v>
      </c>
      <c r="G372" s="104" t="inlineStr">
        <is>
          <t>01/2026</t>
        </is>
      </c>
      <c r="H372" s="104" t="inlineStr">
        <is>
          <t>CODI</t>
        </is>
      </c>
    </row>
    <row r="373" ht="15" customHeight="1" s="86">
      <c r="B373" s="101" t="n">
        <v>46023</v>
      </c>
      <c r="C373" s="102" t="inlineStr">
        <is>
          <t>Telefonia Móvel - 01/2026</t>
        </is>
      </c>
      <c r="D373" s="102" t="inlineStr">
        <is>
          <t>Saída</t>
        </is>
      </c>
      <c r="E373" s="102" t="inlineStr">
        <is>
          <t>Telefonia Móvel</t>
        </is>
      </c>
      <c r="F373" s="103" t="n">
        <v>90</v>
      </c>
      <c r="G373" s="104" t="inlineStr">
        <is>
          <t>01/2026</t>
        </is>
      </c>
      <c r="H373" s="104" t="inlineStr">
        <is>
          <t>CODI</t>
        </is>
      </c>
    </row>
    <row r="374" ht="15" customHeight="1" s="86">
      <c r="B374" s="101" t="n">
        <v>46023</v>
      </c>
      <c r="C374" s="102" t="inlineStr">
        <is>
          <t>Manutenção de Veiculos e Estacionamento - 01/2026</t>
        </is>
      </c>
      <c r="D374" s="102" t="inlineStr">
        <is>
          <t>Saída</t>
        </is>
      </c>
      <c r="E374" s="102" t="inlineStr">
        <is>
          <t>Manutenção de Veiculos e Estacionamento</t>
        </is>
      </c>
      <c r="F374" s="103" t="n">
        <v>225</v>
      </c>
      <c r="G374" s="104" t="inlineStr">
        <is>
          <t>01/2026</t>
        </is>
      </c>
      <c r="H374" s="104" t="inlineStr">
        <is>
          <t>CODI</t>
        </is>
      </c>
    </row>
    <row r="375" ht="15" customHeight="1" s="86">
      <c r="B375" s="101" t="n">
        <v>46023</v>
      </c>
      <c r="C375" s="102" t="inlineStr">
        <is>
          <t>Consulta de Crédito Cliente - 01/2026</t>
        </is>
      </c>
      <c r="D375" s="102" t="inlineStr">
        <is>
          <t>Saída</t>
        </is>
      </c>
      <c r="E375" s="102" t="inlineStr">
        <is>
          <t>Consulta de Crédito Cliente</t>
        </is>
      </c>
      <c r="F375" s="103" t="n">
        <v>350</v>
      </c>
      <c r="G375" s="104" t="inlineStr">
        <is>
          <t>01/2026</t>
        </is>
      </c>
      <c r="H375" s="104" t="inlineStr">
        <is>
          <t>CODI</t>
        </is>
      </c>
    </row>
    <row r="376" ht="15" customHeight="1" s="86">
      <c r="B376" s="101" t="n">
        <v>46023</v>
      </c>
      <c r="C376" s="102" t="inlineStr">
        <is>
          <t>Despesa com Sindicatos - 01/2026</t>
        </is>
      </c>
      <c r="D376" s="102" t="inlineStr">
        <is>
          <t>Saída</t>
        </is>
      </c>
      <c r="E376" s="102" t="inlineStr">
        <is>
          <t>Despesa com Sindicatos</t>
        </is>
      </c>
      <c r="F376" s="103" t="n">
        <v>49.9</v>
      </c>
      <c r="G376" s="104" t="inlineStr">
        <is>
          <t>01/2026</t>
        </is>
      </c>
      <c r="H376" s="104" t="inlineStr">
        <is>
          <t>CODI</t>
        </is>
      </c>
    </row>
    <row r="377" ht="15" customHeight="1" s="86">
      <c r="B377" s="101" t="n">
        <v>46023</v>
      </c>
      <c r="C377" s="102" t="inlineStr">
        <is>
          <t>Telefonia Fixa e Internet - 01/2026</t>
        </is>
      </c>
      <c r="D377" s="102" t="inlineStr">
        <is>
          <t>Saída</t>
        </is>
      </c>
      <c r="E377" s="102" t="inlineStr">
        <is>
          <t>Telefonia Fixa e Internet</t>
        </is>
      </c>
      <c r="F377" s="103" t="n">
        <v>130</v>
      </c>
      <c r="G377" s="104" t="inlineStr">
        <is>
          <t>01/2026</t>
        </is>
      </c>
      <c r="H377" s="104" t="inlineStr">
        <is>
          <t>CODI</t>
        </is>
      </c>
    </row>
    <row r="378" ht="15" customHeight="1" s="86">
      <c r="B378" s="101" t="n">
        <v>46023</v>
      </c>
      <c r="C378" s="102" t="inlineStr">
        <is>
          <t>Empréstimos - 01/2026</t>
        </is>
      </c>
      <c r="D378" s="102" t="inlineStr">
        <is>
          <t>Saída</t>
        </is>
      </c>
      <c r="E378" s="102" t="inlineStr">
        <is>
          <t>Empréstimos</t>
        </is>
      </c>
      <c r="F378" s="103" t="n">
        <v>83254.7</v>
      </c>
      <c r="G378" s="104" t="inlineStr">
        <is>
          <t>01/2026</t>
        </is>
      </c>
      <c r="H378" s="104" t="inlineStr">
        <is>
          <t>CODI</t>
        </is>
      </c>
    </row>
    <row r="379" ht="15" customHeight="1" s="86">
      <c r="B379" s="101" t="n">
        <v>46023</v>
      </c>
      <c r="C379" s="102" t="inlineStr">
        <is>
          <t>Viagens e estadas - 01/2026</t>
        </is>
      </c>
      <c r="D379" s="102" t="inlineStr">
        <is>
          <t>Saída</t>
        </is>
      </c>
      <c r="E379" s="102" t="inlineStr">
        <is>
          <t>Viagens e estadas</t>
        </is>
      </c>
      <c r="F379" s="103" t="n">
        <v>4411.53</v>
      </c>
      <c r="G379" s="104" t="inlineStr">
        <is>
          <t>01/2026</t>
        </is>
      </c>
      <c r="H379" s="104" t="inlineStr">
        <is>
          <t>CODI</t>
        </is>
      </c>
    </row>
    <row r="380" ht="15" customHeight="1" s="86">
      <c r="B380" s="101" t="n">
        <v>46023</v>
      </c>
      <c r="C380" s="102" t="inlineStr">
        <is>
          <t>Material de Escritório - 01/2026</t>
        </is>
      </c>
      <c r="D380" s="102" t="inlineStr">
        <is>
          <t>Saída</t>
        </is>
      </c>
      <c r="E380" s="102" t="inlineStr">
        <is>
          <t>Material de Escritório</t>
        </is>
      </c>
      <c r="F380" s="103" t="n">
        <v>295.9</v>
      </c>
      <c r="G380" s="104" t="inlineStr">
        <is>
          <t>01/2026</t>
        </is>
      </c>
      <c r="H380" s="104" t="inlineStr">
        <is>
          <t>CODI</t>
        </is>
      </c>
    </row>
    <row r="381" ht="15" customHeight="1" s="86">
      <c r="B381" s="101" t="n">
        <v>46023</v>
      </c>
      <c r="C381" s="102" t="inlineStr">
        <is>
          <t>Manutenção de Imóveis - 01/2026</t>
        </is>
      </c>
      <c r="D381" s="102" t="inlineStr">
        <is>
          <t>Saída</t>
        </is>
      </c>
      <c r="E381" s="102" t="inlineStr">
        <is>
          <t>Manutenção de Imóveis</t>
        </is>
      </c>
      <c r="F381" s="103" t="n">
        <v>250</v>
      </c>
      <c r="G381" s="104" t="inlineStr">
        <is>
          <t>01/2026</t>
        </is>
      </c>
      <c r="H381" s="104" t="inlineStr">
        <is>
          <t>CODI</t>
        </is>
      </c>
    </row>
    <row r="382" ht="15" customHeight="1" s="86">
      <c r="B382" s="101" t="n">
        <v>46023</v>
      </c>
      <c r="C382" s="102" t="inlineStr">
        <is>
          <t>Fgts, Gps e Pis - 01/2026</t>
        </is>
      </c>
      <c r="D382" s="102" t="inlineStr">
        <is>
          <t>Saída</t>
        </is>
      </c>
      <c r="E382" s="102" t="inlineStr">
        <is>
          <t>Fgts, Gps e Pis</t>
        </is>
      </c>
      <c r="F382" s="103" t="n">
        <v>5408.24</v>
      </c>
      <c r="G382" s="104" t="inlineStr">
        <is>
          <t>01/2026</t>
        </is>
      </c>
      <c r="H382" s="104" t="inlineStr">
        <is>
          <t>CODI</t>
        </is>
      </c>
    </row>
    <row r="383" ht="15" customHeight="1" s="86">
      <c r="B383" s="101" t="n">
        <v>46023</v>
      </c>
      <c r="C383" s="102" t="inlineStr">
        <is>
          <t>Web Site e Sistema ERP - 01/2026</t>
        </is>
      </c>
      <c r="D383" s="102" t="inlineStr">
        <is>
          <t>Saída</t>
        </is>
      </c>
      <c r="E383" s="102" t="inlineStr">
        <is>
          <t>Web Site e Sistema ERP</t>
        </is>
      </c>
      <c r="F383" s="103" t="n">
        <v>957</v>
      </c>
      <c r="G383" s="104" t="inlineStr">
        <is>
          <t>01/2026</t>
        </is>
      </c>
      <c r="H383" s="104" t="inlineStr">
        <is>
          <t>CODI</t>
        </is>
      </c>
    </row>
    <row r="384" ht="15" customHeight="1" s="86">
      <c r="B384" s="101" t="n">
        <v>46023</v>
      </c>
      <c r="C384" s="102" t="inlineStr">
        <is>
          <t>Patrocínio - 01/2026</t>
        </is>
      </c>
      <c r="D384" s="102" t="inlineStr">
        <is>
          <t>Saída</t>
        </is>
      </c>
      <c r="E384" s="102" t="inlineStr">
        <is>
          <t>Patrocínio</t>
        </is>
      </c>
      <c r="F384" s="103" t="n">
        <v>882.21</v>
      </c>
      <c r="G384" s="104" t="inlineStr">
        <is>
          <t>01/2026</t>
        </is>
      </c>
      <c r="H384" s="104" t="inlineStr">
        <is>
          <t>CODI</t>
        </is>
      </c>
    </row>
    <row r="385" ht="15" customHeight="1" s="86">
      <c r="B385" s="101" t="n">
        <v>46023</v>
      </c>
      <c r="C385" s="102" t="inlineStr">
        <is>
          <t>Material de Copa e Cozinha - 01/2026</t>
        </is>
      </c>
      <c r="D385" s="102" t="inlineStr">
        <is>
          <t>Saída</t>
        </is>
      </c>
      <c r="E385" s="102" t="inlineStr">
        <is>
          <t>Material de Copa e Cozinha</t>
        </is>
      </c>
      <c r="F385" s="103" t="n">
        <v>243</v>
      </c>
      <c r="G385" s="104" t="inlineStr">
        <is>
          <t>01/2026</t>
        </is>
      </c>
      <c r="H385" s="104" t="inlineStr">
        <is>
          <t>CODI</t>
        </is>
      </c>
    </row>
    <row r="386" ht="15" customHeight="1" s="86">
      <c r="B386" s="101" t="n">
        <v>46023</v>
      </c>
      <c r="C386" s="102" t="inlineStr">
        <is>
          <t>Juros de Empréstimos - 01/2026</t>
        </is>
      </c>
      <c r="D386" s="102" t="inlineStr">
        <is>
          <t>Saída</t>
        </is>
      </c>
      <c r="E386" s="102" t="inlineStr">
        <is>
          <t>Juros de Empréstimos</t>
        </is>
      </c>
      <c r="F386" s="103" t="n">
        <v>7750</v>
      </c>
      <c r="G386" s="104" t="inlineStr">
        <is>
          <t>01/2026</t>
        </is>
      </c>
      <c r="H386" s="104" t="inlineStr">
        <is>
          <t>CODI</t>
        </is>
      </c>
    </row>
    <row r="387" ht="15" customHeight="1" s="86">
      <c r="B387" s="101" t="n">
        <v>46023</v>
      </c>
      <c r="C387" s="102" t="inlineStr">
        <is>
          <t>Advogados - Honorários - 01/2026</t>
        </is>
      </c>
      <c r="D387" s="102" t="inlineStr">
        <is>
          <t>Saída</t>
        </is>
      </c>
      <c r="E387" s="102" t="inlineStr">
        <is>
          <t>Advogados - Honorários</t>
        </is>
      </c>
      <c r="F387" s="103" t="n">
        <v>2500</v>
      </c>
      <c r="G387" s="104" t="inlineStr">
        <is>
          <t>01/2026</t>
        </is>
      </c>
      <c r="H387" s="104" t="inlineStr">
        <is>
          <t>CODI</t>
        </is>
      </c>
    </row>
    <row r="388" ht="15" customHeight="1" s="86">
      <c r="B388" s="101" t="n">
        <v>46023</v>
      </c>
      <c r="C388" s="102" t="inlineStr">
        <is>
          <t>Assessoria Técnica Profissional - 01/2026</t>
        </is>
      </c>
      <c r="D388" s="102" t="inlineStr">
        <is>
          <t>Saída</t>
        </is>
      </c>
      <c r="E388" s="102" t="inlineStr">
        <is>
          <t>Assessoria Técnica Profissional</t>
        </is>
      </c>
      <c r="F388" s="103" t="n">
        <v>5000</v>
      </c>
      <c r="G388" s="104" t="inlineStr">
        <is>
          <t>01/2026</t>
        </is>
      </c>
      <c r="H388" s="104" t="inlineStr">
        <is>
          <t>CODI</t>
        </is>
      </c>
    </row>
    <row r="389" ht="15" customHeight="1" s="86">
      <c r="B389" s="101" t="n">
        <v>46023</v>
      </c>
      <c r="C389" s="102" t="inlineStr">
        <is>
          <t>Consórcio - 01/2026</t>
        </is>
      </c>
      <c r="D389" s="102" t="inlineStr">
        <is>
          <t>Saída</t>
        </is>
      </c>
      <c r="E389" s="102" t="inlineStr">
        <is>
          <t>Consórcio</t>
        </is>
      </c>
      <c r="F389" s="103" t="n">
        <v>2000</v>
      </c>
      <c r="G389" s="104" t="inlineStr">
        <is>
          <t>01/2026</t>
        </is>
      </c>
      <c r="H389" s="104" t="inlineStr">
        <is>
          <t>CODI</t>
        </is>
      </c>
    </row>
    <row r="390" ht="15" customHeight="1" s="86">
      <c r="B390" s="101" t="n">
        <v>46023</v>
      </c>
      <c r="C390" s="102" t="inlineStr">
        <is>
          <t>Retiradas de Sócios - 01/2026</t>
        </is>
      </c>
      <c r="D390" s="102" t="inlineStr">
        <is>
          <t>Saída</t>
        </is>
      </c>
      <c r="E390" s="102" t="inlineStr">
        <is>
          <t>Retiradas de Sócios</t>
        </is>
      </c>
      <c r="F390" s="103" t="n">
        <v>25000</v>
      </c>
      <c r="G390" s="104" t="inlineStr">
        <is>
          <t>01/2026</t>
        </is>
      </c>
      <c r="H390" s="104" t="inlineStr">
        <is>
          <t>CODI</t>
        </is>
      </c>
    </row>
    <row r="391" ht="15" customHeight="1" s="86">
      <c r="B391" s="101" t="n">
        <v>46054</v>
      </c>
      <c r="C391" s="102" t="inlineStr">
        <is>
          <t>Vendas - 02/2026</t>
        </is>
      </c>
      <c r="D391" s="102" t="inlineStr">
        <is>
          <t>Entrada</t>
        </is>
      </c>
      <c r="E391" s="102" t="inlineStr">
        <is>
          <t>Vendas</t>
        </is>
      </c>
      <c r="F391" s="103" t="n">
        <v>293114.2</v>
      </c>
      <c r="G391" s="104" t="inlineStr">
        <is>
          <t>02/2026</t>
        </is>
      </c>
      <c r="H391" s="104" t="inlineStr">
        <is>
          <t>CODI</t>
        </is>
      </c>
    </row>
    <row r="392" ht="15" customHeight="1" s="86">
      <c r="B392" s="101" t="n">
        <v>46054</v>
      </c>
      <c r="C392" s="102" t="inlineStr">
        <is>
          <t>Aluguéis e Condomínios - 02/2026</t>
        </is>
      </c>
      <c r="D392" s="102" t="inlineStr">
        <is>
          <t>Saída</t>
        </is>
      </c>
      <c r="E392" s="102" t="inlineStr">
        <is>
          <t>Aluguéis e Condomínios</t>
        </is>
      </c>
      <c r="F392" s="103" t="n">
        <v>8100</v>
      </c>
      <c r="G392" s="104" t="inlineStr">
        <is>
          <t>02/2026</t>
        </is>
      </c>
      <c r="H392" s="104" t="inlineStr">
        <is>
          <t>CODI</t>
        </is>
      </c>
    </row>
    <row r="393" ht="15" customHeight="1" s="86">
      <c r="B393" s="101" t="n">
        <v>46054</v>
      </c>
      <c r="C393" s="102" t="inlineStr">
        <is>
          <t>Salário e Ordenados - 02/2026</t>
        </is>
      </c>
      <c r="D393" s="102" t="inlineStr">
        <is>
          <t>Saída</t>
        </is>
      </c>
      <c r="E393" s="102" t="inlineStr">
        <is>
          <t>Salário e Ordenados</t>
        </is>
      </c>
      <c r="F393" s="103" t="n">
        <v>23938.39</v>
      </c>
      <c r="G393" s="104" t="inlineStr">
        <is>
          <t>02/2026</t>
        </is>
      </c>
      <c r="H393" s="104" t="inlineStr">
        <is>
          <t>CODI</t>
        </is>
      </c>
    </row>
    <row r="394" ht="15" customHeight="1" s="86">
      <c r="B394" s="101" t="n">
        <v>46054</v>
      </c>
      <c r="C394" s="102" t="inlineStr">
        <is>
          <t>Vales e Adiantamentos - 02/2026</t>
        </is>
      </c>
      <c r="D394" s="102" t="inlineStr">
        <is>
          <t>Saída</t>
        </is>
      </c>
      <c r="E394" s="102" t="inlineStr">
        <is>
          <t>Vales e Adiantamentos</t>
        </is>
      </c>
      <c r="F394" s="103" t="n">
        <v>3450.01</v>
      </c>
      <c r="G394" s="104" t="inlineStr">
        <is>
          <t>02/2026</t>
        </is>
      </c>
      <c r="H394" s="104" t="inlineStr">
        <is>
          <t>CODI</t>
        </is>
      </c>
    </row>
    <row r="395" ht="15" customHeight="1" s="86">
      <c r="B395" s="101" t="n">
        <v>46054</v>
      </c>
      <c r="C395" s="102" t="inlineStr">
        <is>
          <t>Férias - 02/2026</t>
        </is>
      </c>
      <c r="D395" s="102" t="inlineStr">
        <is>
          <t>Saída</t>
        </is>
      </c>
      <c r="E395" s="102" t="inlineStr">
        <is>
          <t>Férias</t>
        </is>
      </c>
      <c r="F395" s="103" t="n">
        <v>12475.68</v>
      </c>
      <c r="G395" s="104" t="inlineStr">
        <is>
          <t>02/2026</t>
        </is>
      </c>
      <c r="H395" s="104" t="inlineStr">
        <is>
          <t>CODI</t>
        </is>
      </c>
    </row>
    <row r="396" ht="15" customHeight="1" s="86">
      <c r="B396" s="101" t="n">
        <v>46054</v>
      </c>
      <c r="C396" s="102" t="inlineStr">
        <is>
          <t>Frete e Transporte de Mercadorias - 02/2026</t>
        </is>
      </c>
      <c r="D396" s="102" t="inlineStr">
        <is>
          <t>Saída</t>
        </is>
      </c>
      <c r="E396" s="102" t="inlineStr">
        <is>
          <t>Frete e Transporte de Mercadorias</t>
        </is>
      </c>
      <c r="F396" s="103" t="n">
        <v>3493.33</v>
      </c>
      <c r="G396" s="104" t="inlineStr">
        <is>
          <t>02/2026</t>
        </is>
      </c>
      <c r="H396" s="104" t="inlineStr">
        <is>
          <t>CODI</t>
        </is>
      </c>
    </row>
    <row r="397" ht="15" customHeight="1" s="86">
      <c r="B397" s="101" t="n">
        <v>46054</v>
      </c>
      <c r="C397" s="102" t="inlineStr">
        <is>
          <t>Seguros - 02/2026</t>
        </is>
      </c>
      <c r="D397" s="102" t="inlineStr">
        <is>
          <t>Saída</t>
        </is>
      </c>
      <c r="E397" s="102" t="inlineStr">
        <is>
          <t>Seguros</t>
        </is>
      </c>
      <c r="F397" s="103" t="n">
        <v>1195.15</v>
      </c>
      <c r="G397" s="104" t="inlineStr">
        <is>
          <t>02/2026</t>
        </is>
      </c>
      <c r="H397" s="104" t="inlineStr">
        <is>
          <t>CODI</t>
        </is>
      </c>
    </row>
    <row r="398" ht="15" customHeight="1" s="86">
      <c r="B398" s="101" t="n">
        <v>46054</v>
      </c>
      <c r="C398" s="102" t="inlineStr">
        <is>
          <t>Segurança e Monitoramento - 02/2026</t>
        </is>
      </c>
      <c r="D398" s="102" t="inlineStr">
        <is>
          <t>Saída</t>
        </is>
      </c>
      <c r="E398" s="102" t="inlineStr">
        <is>
          <t>Segurança e Monitoramento</t>
        </is>
      </c>
      <c r="F398" s="103" t="n">
        <v>758.74</v>
      </c>
      <c r="G398" s="104" t="inlineStr">
        <is>
          <t>02/2026</t>
        </is>
      </c>
      <c r="H398" s="104" t="inlineStr">
        <is>
          <t>CODI</t>
        </is>
      </c>
    </row>
    <row r="399" ht="15" customHeight="1" s="86">
      <c r="B399" s="101" t="n">
        <v>46054</v>
      </c>
      <c r="C399" s="102" t="inlineStr">
        <is>
          <t>Vale Transporte - 02/2026</t>
        </is>
      </c>
      <c r="D399" s="102" t="inlineStr">
        <is>
          <t>Saída</t>
        </is>
      </c>
      <c r="E399" s="102" t="inlineStr">
        <is>
          <t>Vale Transporte</t>
        </is>
      </c>
      <c r="F399" s="103" t="n">
        <v>1580</v>
      </c>
      <c r="G399" s="104" t="inlineStr">
        <is>
          <t>02/2026</t>
        </is>
      </c>
      <c r="H399" s="104" t="inlineStr">
        <is>
          <t>CODI</t>
        </is>
      </c>
    </row>
    <row r="400" ht="15" customHeight="1" s="86">
      <c r="B400" s="101" t="n">
        <v>46054</v>
      </c>
      <c r="C400" s="102" t="inlineStr">
        <is>
          <t>Publicidade - 02/2026</t>
        </is>
      </c>
      <c r="D400" s="102" t="inlineStr">
        <is>
          <t>Saída</t>
        </is>
      </c>
      <c r="E400" s="102" t="inlineStr">
        <is>
          <t>Publicidade</t>
        </is>
      </c>
      <c r="F400" s="103" t="n">
        <v>560</v>
      </c>
      <c r="G400" s="104" t="inlineStr">
        <is>
          <t>02/2026</t>
        </is>
      </c>
      <c r="H400" s="104" t="inlineStr">
        <is>
          <t>CODI</t>
        </is>
      </c>
    </row>
    <row r="401" ht="15" customHeight="1" s="86">
      <c r="B401" s="101" t="n">
        <v>46054</v>
      </c>
      <c r="C401" s="102" t="inlineStr">
        <is>
          <t>Energia Elétrica - 02/2026</t>
        </is>
      </c>
      <c r="D401" s="102" t="inlineStr">
        <is>
          <t>Saída</t>
        </is>
      </c>
      <c r="E401" s="102" t="inlineStr">
        <is>
          <t>Energia Elétrica</t>
        </is>
      </c>
      <c r="F401" s="103" t="n">
        <v>130</v>
      </c>
      <c r="G401" s="104" t="inlineStr">
        <is>
          <t>02/2026</t>
        </is>
      </c>
      <c r="H401" s="104" t="inlineStr">
        <is>
          <t>CODI</t>
        </is>
      </c>
    </row>
    <row r="402" ht="15" customHeight="1" s="86">
      <c r="B402" s="101" t="n">
        <v>46054</v>
      </c>
      <c r="C402" s="102" t="inlineStr">
        <is>
          <t>Água - 02/2026</t>
        </is>
      </c>
      <c r="D402" s="102" t="inlineStr">
        <is>
          <t>Saída</t>
        </is>
      </c>
      <c r="E402" s="102" t="inlineStr">
        <is>
          <t>Água</t>
        </is>
      </c>
      <c r="F402" s="103" t="n">
        <v>280</v>
      </c>
      <c r="G402" s="104" t="inlineStr">
        <is>
          <t>02/2026</t>
        </is>
      </c>
      <c r="H402" s="104" t="inlineStr">
        <is>
          <t>CODI</t>
        </is>
      </c>
    </row>
    <row r="403" ht="15" customHeight="1" s="86">
      <c r="B403" s="101" t="n">
        <v>46054</v>
      </c>
      <c r="C403" s="102" t="inlineStr">
        <is>
          <t>Exame Adminissional/Demissional - 02/2026</t>
        </is>
      </c>
      <c r="D403" s="102" t="inlineStr">
        <is>
          <t>Saída</t>
        </is>
      </c>
      <c r="E403" s="102" t="inlineStr">
        <is>
          <t>Exame Adminissional/Demissional</t>
        </is>
      </c>
      <c r="F403" s="103" t="n">
        <v>40</v>
      </c>
      <c r="G403" s="104" t="inlineStr">
        <is>
          <t>02/2026</t>
        </is>
      </c>
      <c r="H403" s="104" t="inlineStr">
        <is>
          <t>CODI</t>
        </is>
      </c>
    </row>
    <row r="404" ht="15" customHeight="1" s="86">
      <c r="B404" s="101" t="n">
        <v>46054</v>
      </c>
      <c r="C404" s="102" t="inlineStr">
        <is>
          <t>Custo de Mercadoria Vendida - 02/2026</t>
        </is>
      </c>
      <c r="D404" s="102" t="inlineStr">
        <is>
          <t>Saída</t>
        </is>
      </c>
      <c r="E404" s="102" t="inlineStr">
        <is>
          <t>Custo de Mercadoria Vendida</t>
        </is>
      </c>
      <c r="F404" s="103" t="n">
        <v>188747.08</v>
      </c>
      <c r="G404" s="104" t="inlineStr">
        <is>
          <t>02/2026</t>
        </is>
      </c>
      <c r="H404" s="104" t="inlineStr">
        <is>
          <t>CODI</t>
        </is>
      </c>
    </row>
    <row r="405" ht="15" customHeight="1" s="86">
      <c r="B405" s="101" t="n">
        <v>46054</v>
      </c>
      <c r="C405" s="102" t="inlineStr">
        <is>
          <t>Darf - 02/2026</t>
        </is>
      </c>
      <c r="D405" s="102" t="inlineStr">
        <is>
          <t>Saída</t>
        </is>
      </c>
      <c r="E405" s="102" t="inlineStr">
        <is>
          <t>Darf</t>
        </is>
      </c>
      <c r="F405" s="103" t="n">
        <v>8591.51</v>
      </c>
      <c r="G405" s="104" t="inlineStr">
        <is>
          <t>02/2026</t>
        </is>
      </c>
      <c r="H405" s="104" t="inlineStr">
        <is>
          <t>CODI</t>
        </is>
      </c>
    </row>
    <row r="406" ht="15" customHeight="1" s="86">
      <c r="B406" s="101" t="n">
        <v>46054</v>
      </c>
      <c r="C406" s="102" t="inlineStr">
        <is>
          <t>Honorários Contábeis (Contabilidade) - 02/2026</t>
        </is>
      </c>
      <c r="D406" s="102" t="inlineStr">
        <is>
          <t>Saída</t>
        </is>
      </c>
      <c r="E406" s="102" t="inlineStr">
        <is>
          <t>Honorários Contábeis (Contabilidade)</t>
        </is>
      </c>
      <c r="F406" s="103" t="n">
        <v>1100</v>
      </c>
      <c r="G406" s="104" t="inlineStr">
        <is>
          <t>02/2026</t>
        </is>
      </c>
      <c r="H406" s="104" t="inlineStr">
        <is>
          <t>CODI</t>
        </is>
      </c>
    </row>
    <row r="407" ht="15" customHeight="1" s="86">
      <c r="B407" s="101" t="n">
        <v>46054</v>
      </c>
      <c r="C407" s="102" t="inlineStr">
        <is>
          <t>Outras Despesas - 02/2026</t>
        </is>
      </c>
      <c r="D407" s="102" t="inlineStr">
        <is>
          <t>Saída</t>
        </is>
      </c>
      <c r="E407" s="102" t="inlineStr">
        <is>
          <t>Outras Despesas</t>
        </is>
      </c>
      <c r="F407" s="103" t="n">
        <v>668</v>
      </c>
      <c r="G407" s="104" t="inlineStr">
        <is>
          <t>02/2026</t>
        </is>
      </c>
      <c r="H407" s="104" t="inlineStr">
        <is>
          <t>CODI</t>
        </is>
      </c>
    </row>
    <row r="408" ht="15" customHeight="1" s="86">
      <c r="B408" s="101" t="n">
        <v>46054</v>
      </c>
      <c r="C408" s="102" t="inlineStr">
        <is>
          <t>Alimentação - 02/2026</t>
        </is>
      </c>
      <c r="D408" s="102" t="inlineStr">
        <is>
          <t>Saída</t>
        </is>
      </c>
      <c r="E408" s="102" t="inlineStr">
        <is>
          <t>Alimentação</t>
        </is>
      </c>
      <c r="F408" s="103" t="n">
        <v>8</v>
      </c>
      <c r="G408" s="104" t="inlineStr">
        <is>
          <t>02/2026</t>
        </is>
      </c>
      <c r="H408" s="104" t="inlineStr">
        <is>
          <t>CODI</t>
        </is>
      </c>
    </row>
    <row r="409" ht="15" customHeight="1" s="86">
      <c r="B409" s="101" t="n">
        <v>46054</v>
      </c>
      <c r="C409" s="102" t="inlineStr">
        <is>
          <t>Combustíveis - 02/2026</t>
        </is>
      </c>
      <c r="D409" s="102" t="inlineStr">
        <is>
          <t>Saída</t>
        </is>
      </c>
      <c r="E409" s="102" t="inlineStr">
        <is>
          <t>Combustíveis</t>
        </is>
      </c>
      <c r="F409" s="103" t="n">
        <v>1136.03</v>
      </c>
      <c r="G409" s="104" t="inlineStr">
        <is>
          <t>02/2026</t>
        </is>
      </c>
      <c r="H409" s="104" t="inlineStr">
        <is>
          <t>CODI</t>
        </is>
      </c>
    </row>
    <row r="410" ht="15" customHeight="1" s="86">
      <c r="B410" s="101" t="n">
        <v>46054</v>
      </c>
      <c r="C410" s="102" t="inlineStr">
        <is>
          <t>Manutenção de Veiculos e Estacionamento - 02/2026</t>
        </is>
      </c>
      <c r="D410" s="102" t="inlineStr">
        <is>
          <t>Saída</t>
        </is>
      </c>
      <c r="E410" s="102" t="inlineStr">
        <is>
          <t>Manutenção de Veiculos e Estacionamento</t>
        </is>
      </c>
      <c r="F410" s="103" t="n">
        <v>150</v>
      </c>
      <c r="G410" s="104" t="inlineStr">
        <is>
          <t>02/2026</t>
        </is>
      </c>
      <c r="H410" s="104" t="inlineStr">
        <is>
          <t>CODI</t>
        </is>
      </c>
    </row>
    <row r="411" ht="15" customHeight="1" s="86">
      <c r="B411" s="101" t="n">
        <v>46054</v>
      </c>
      <c r="C411" s="102" t="inlineStr">
        <is>
          <t>Consulta de Crédito Cliente - 02/2026</t>
        </is>
      </c>
      <c r="D411" s="102" t="inlineStr">
        <is>
          <t>Saída</t>
        </is>
      </c>
      <c r="E411" s="102" t="inlineStr">
        <is>
          <t>Consulta de Crédito Cliente</t>
        </is>
      </c>
      <c r="F411" s="103" t="n">
        <v>327.05</v>
      </c>
      <c r="G411" s="104" t="inlineStr">
        <is>
          <t>02/2026</t>
        </is>
      </c>
      <c r="H411" s="104" t="inlineStr">
        <is>
          <t>CODI</t>
        </is>
      </c>
    </row>
    <row r="412" ht="15" customHeight="1" s="86">
      <c r="B412" s="101" t="n">
        <v>46054</v>
      </c>
      <c r="C412" s="102" t="inlineStr">
        <is>
          <t>Telefonia Fixa e Internet - 02/2026</t>
        </is>
      </c>
      <c r="D412" s="102" t="inlineStr">
        <is>
          <t>Saída</t>
        </is>
      </c>
      <c r="E412" s="102" t="inlineStr">
        <is>
          <t>Telefonia Fixa e Internet</t>
        </is>
      </c>
      <c r="F412" s="103" t="n">
        <v>130</v>
      </c>
      <c r="G412" s="104" t="inlineStr">
        <is>
          <t>02/2026</t>
        </is>
      </c>
      <c r="H412" s="104" t="inlineStr">
        <is>
          <t>CODI</t>
        </is>
      </c>
    </row>
    <row r="413" ht="15" customHeight="1" s="86">
      <c r="B413" s="101" t="n">
        <v>46054</v>
      </c>
      <c r="C413" s="102" t="inlineStr">
        <is>
          <t>Empréstimos - 02/2026</t>
        </is>
      </c>
      <c r="D413" s="102" t="inlineStr">
        <is>
          <t>Saída</t>
        </is>
      </c>
      <c r="E413" s="102" t="inlineStr">
        <is>
          <t>Empréstimos</t>
        </is>
      </c>
      <c r="F413" s="103" t="n">
        <v>83322.37</v>
      </c>
      <c r="G413" s="104" t="inlineStr">
        <is>
          <t>02/2026</t>
        </is>
      </c>
      <c r="H413" s="104" t="inlineStr">
        <is>
          <t>CODI</t>
        </is>
      </c>
    </row>
    <row r="414" ht="15" customHeight="1" s="86">
      <c r="B414" s="101" t="n">
        <v>46054</v>
      </c>
      <c r="C414" s="102" t="inlineStr">
        <is>
          <t>Fgts, Gps e Pis - 02/2026</t>
        </is>
      </c>
      <c r="D414" s="102" t="inlineStr">
        <is>
          <t>Saída</t>
        </is>
      </c>
      <c r="E414" s="102" t="inlineStr">
        <is>
          <t>Fgts, Gps e Pis</t>
        </is>
      </c>
      <c r="F414" s="103" t="n">
        <v>4455.12</v>
      </c>
      <c r="G414" s="104" t="inlineStr">
        <is>
          <t>02/2026</t>
        </is>
      </c>
      <c r="H414" s="104" t="inlineStr">
        <is>
          <t>CODI</t>
        </is>
      </c>
    </row>
    <row r="415" ht="15" customHeight="1" s="86">
      <c r="B415" s="101" t="n">
        <v>46054</v>
      </c>
      <c r="C415" s="102" t="inlineStr">
        <is>
          <t>Web Site e Sistema ERP - 02/2026</t>
        </is>
      </c>
      <c r="D415" s="102" t="inlineStr">
        <is>
          <t>Saída</t>
        </is>
      </c>
      <c r="E415" s="102" t="inlineStr">
        <is>
          <t>Web Site e Sistema ERP</t>
        </is>
      </c>
      <c r="F415" s="103" t="n">
        <v>957</v>
      </c>
      <c r="G415" s="104" t="inlineStr">
        <is>
          <t>02/2026</t>
        </is>
      </c>
      <c r="H415" s="104" t="inlineStr">
        <is>
          <t>CODI</t>
        </is>
      </c>
    </row>
    <row r="416" ht="15" customHeight="1" s="86">
      <c r="B416" s="101" t="n">
        <v>46054</v>
      </c>
      <c r="C416" s="102" t="inlineStr">
        <is>
          <t>Juros de Empréstimos - 02/2026</t>
        </is>
      </c>
      <c r="D416" s="102" t="inlineStr">
        <is>
          <t>Saída</t>
        </is>
      </c>
      <c r="E416" s="102" t="inlineStr">
        <is>
          <t>Juros de Empréstimos</t>
        </is>
      </c>
      <c r="F416" s="103" t="n">
        <v>7750</v>
      </c>
      <c r="G416" s="104" t="inlineStr">
        <is>
          <t>02/2026</t>
        </is>
      </c>
      <c r="H416" s="104" t="inlineStr">
        <is>
          <t>CODI</t>
        </is>
      </c>
    </row>
    <row r="417" ht="15" customHeight="1" s="86">
      <c r="B417" s="101" t="n">
        <v>46054</v>
      </c>
      <c r="C417" s="102" t="inlineStr">
        <is>
          <t>Outros Tributos - 02/2026</t>
        </is>
      </c>
      <c r="D417" s="102" t="inlineStr">
        <is>
          <t>Saída</t>
        </is>
      </c>
      <c r="E417" s="102" t="inlineStr">
        <is>
          <t>Outros Tributos</t>
        </is>
      </c>
      <c r="F417" s="103" t="n">
        <v>517.08</v>
      </c>
      <c r="G417" s="104" t="inlineStr">
        <is>
          <t>02/2026</t>
        </is>
      </c>
      <c r="H417" s="104" t="inlineStr">
        <is>
          <t>CODI</t>
        </is>
      </c>
    </row>
    <row r="418" ht="15" customHeight="1" s="86">
      <c r="B418" s="101" t="n">
        <v>46054</v>
      </c>
      <c r="C418" s="102" t="inlineStr">
        <is>
          <t>Advogados - Honorários - 02/2026</t>
        </is>
      </c>
      <c r="D418" s="102" t="inlineStr">
        <is>
          <t>Saída</t>
        </is>
      </c>
      <c r="E418" s="102" t="inlineStr">
        <is>
          <t>Advogados - Honorários</t>
        </is>
      </c>
      <c r="F418" s="103" t="n">
        <v>2500</v>
      </c>
      <c r="G418" s="104" t="inlineStr">
        <is>
          <t>02/2026</t>
        </is>
      </c>
      <c r="H418" s="104" t="inlineStr">
        <is>
          <t>CODI</t>
        </is>
      </c>
    </row>
    <row r="419" ht="15" customHeight="1" s="86">
      <c r="B419" s="101" t="n">
        <v>46054</v>
      </c>
      <c r="C419" s="102" t="inlineStr">
        <is>
          <t>Assessoria Técnica Profissional - 02/2026</t>
        </is>
      </c>
      <c r="D419" s="102" t="inlineStr">
        <is>
          <t>Saída</t>
        </is>
      </c>
      <c r="E419" s="102" t="inlineStr">
        <is>
          <t>Assessoria Técnica Profissional</t>
        </is>
      </c>
      <c r="F419" s="103" t="n">
        <v>5000</v>
      </c>
      <c r="G419" s="104" t="inlineStr">
        <is>
          <t>02/2026</t>
        </is>
      </c>
      <c r="H419" s="104" t="inlineStr">
        <is>
          <t>CODI</t>
        </is>
      </c>
    </row>
    <row r="420" ht="15" customHeight="1" s="86">
      <c r="B420" s="101" t="n">
        <v>46054</v>
      </c>
      <c r="C420" s="102" t="inlineStr">
        <is>
          <t>Consórcio - 02/2026</t>
        </is>
      </c>
      <c r="D420" s="102" t="inlineStr">
        <is>
          <t>Saída</t>
        </is>
      </c>
      <c r="E420" s="102" t="inlineStr">
        <is>
          <t>Consórcio</t>
        </is>
      </c>
      <c r="F420" s="103" t="n">
        <v>1985.33</v>
      </c>
      <c r="G420" s="104" t="inlineStr">
        <is>
          <t>02/2026</t>
        </is>
      </c>
      <c r="H420" s="104" t="inlineStr">
        <is>
          <t>CODI</t>
        </is>
      </c>
    </row>
    <row r="421" ht="15" customHeight="1" s="86">
      <c r="B421" s="101" t="n">
        <v>46054</v>
      </c>
      <c r="C421" s="102" t="inlineStr">
        <is>
          <t>Retiradas de Sócios - 02/2026</t>
        </is>
      </c>
      <c r="D421" s="102" t="inlineStr">
        <is>
          <t>Saída</t>
        </is>
      </c>
      <c r="E421" s="102" t="inlineStr">
        <is>
          <t>Retiradas de Sócios</t>
        </is>
      </c>
      <c r="F421" s="103" t="n">
        <v>25000</v>
      </c>
      <c r="G421" s="104" t="inlineStr">
        <is>
          <t>02/2026</t>
        </is>
      </c>
      <c r="H421" s="104" t="inlineStr">
        <is>
          <t>CODI</t>
        </is>
      </c>
    </row>
    <row r="422" ht="15" customHeight="1" s="86">
      <c r="B422" s="101" t="n">
        <v>46054</v>
      </c>
      <c r="C422" s="102" t="inlineStr">
        <is>
          <t>Tráfego/Social Mídia - 02/2026</t>
        </is>
      </c>
      <c r="D422" s="102" t="inlineStr">
        <is>
          <t>Saída</t>
        </is>
      </c>
      <c r="E422" s="102" t="inlineStr">
        <is>
          <t>Tráfego/Social Mídia</t>
        </is>
      </c>
      <c r="F422" s="103" t="n">
        <v>989.17</v>
      </c>
      <c r="G422" s="104" t="inlineStr">
        <is>
          <t>02/2026</t>
        </is>
      </c>
      <c r="H422" s="104" t="inlineStr">
        <is>
          <t>CODI</t>
        </is>
      </c>
    </row>
    <row r="423" ht="15" customHeight="1" s="86">
      <c r="B423" s="101" t="n">
        <v>46082</v>
      </c>
      <c r="C423" s="102" t="inlineStr">
        <is>
          <t>Vendas - 03/2026</t>
        </is>
      </c>
      <c r="D423" s="102" t="inlineStr">
        <is>
          <t>Entrada</t>
        </is>
      </c>
      <c r="E423" s="102" t="inlineStr">
        <is>
          <t>Vendas</t>
        </is>
      </c>
      <c r="F423" s="103" t="n">
        <v>318410</v>
      </c>
      <c r="G423" s="104" t="inlineStr">
        <is>
          <t>03/2026</t>
        </is>
      </c>
      <c r="H423" s="104" t="inlineStr">
        <is>
          <t>CODI</t>
        </is>
      </c>
    </row>
    <row r="424" ht="15" customHeight="1" s="86">
      <c r="B424" s="101" t="n">
        <v>46082</v>
      </c>
      <c r="C424" s="102" t="inlineStr">
        <is>
          <t>Aluguéis e Condomínios - 03/2026</t>
        </is>
      </c>
      <c r="D424" s="102" t="inlineStr">
        <is>
          <t>Saída</t>
        </is>
      </c>
      <c r="E424" s="102" t="inlineStr">
        <is>
          <t>Aluguéis e Condomínios</t>
        </is>
      </c>
      <c r="F424" s="103" t="n">
        <v>8100</v>
      </c>
      <c r="G424" s="104" t="inlineStr">
        <is>
          <t>03/2026</t>
        </is>
      </c>
      <c r="H424" s="104" t="inlineStr">
        <is>
          <t>CODI</t>
        </is>
      </c>
    </row>
    <row r="425" ht="15" customHeight="1" s="86">
      <c r="B425" s="101" t="n">
        <v>46082</v>
      </c>
      <c r="C425" s="102" t="inlineStr">
        <is>
          <t>Salário e Ordenados - 03/2026</t>
        </is>
      </c>
      <c r="D425" s="102" t="inlineStr">
        <is>
          <t>Saída</t>
        </is>
      </c>
      <c r="E425" s="102" t="inlineStr">
        <is>
          <t>Salário e Ordenados</t>
        </is>
      </c>
      <c r="F425" s="103" t="n">
        <v>31240.56</v>
      </c>
      <c r="G425" s="104" t="inlineStr">
        <is>
          <t>03/2026</t>
        </is>
      </c>
      <c r="H425" s="104" t="inlineStr">
        <is>
          <t>CODI</t>
        </is>
      </c>
    </row>
    <row r="426" ht="15" customHeight="1" s="86">
      <c r="B426" s="101" t="n">
        <v>46082</v>
      </c>
      <c r="C426" s="102" t="inlineStr">
        <is>
          <t>Vales e Adiantamentos - 03/2026</t>
        </is>
      </c>
      <c r="D426" s="102" t="inlineStr">
        <is>
          <t>Saída</t>
        </is>
      </c>
      <c r="E426" s="102" t="inlineStr">
        <is>
          <t>Vales e Adiantamentos</t>
        </is>
      </c>
      <c r="F426" s="103" t="n">
        <v>3550.01</v>
      </c>
      <c r="G426" s="104" t="inlineStr">
        <is>
          <t>03/2026</t>
        </is>
      </c>
      <c r="H426" s="104" t="inlineStr">
        <is>
          <t>CODI</t>
        </is>
      </c>
    </row>
    <row r="427" ht="15" customHeight="1" s="86">
      <c r="B427" s="101" t="n">
        <v>46082</v>
      </c>
      <c r="C427" s="102" t="inlineStr">
        <is>
          <t>Férias - 03/2026</t>
        </is>
      </c>
      <c r="D427" s="102" t="inlineStr">
        <is>
          <t>Saída</t>
        </is>
      </c>
      <c r="E427" s="102" t="inlineStr">
        <is>
          <t>Férias</t>
        </is>
      </c>
      <c r="F427" s="103" t="n">
        <v>4763.35</v>
      </c>
      <c r="G427" s="104" t="inlineStr">
        <is>
          <t>03/2026</t>
        </is>
      </c>
      <c r="H427" s="104" t="inlineStr">
        <is>
          <t>CODI</t>
        </is>
      </c>
    </row>
    <row r="428" ht="15" customHeight="1" s="86">
      <c r="B428" s="101" t="n">
        <v>46082</v>
      </c>
      <c r="C428" s="102" t="inlineStr">
        <is>
          <t>Frete e Transporte de Mercadorias - 03/2026</t>
        </is>
      </c>
      <c r="D428" s="102" t="inlineStr">
        <is>
          <t>Saída</t>
        </is>
      </c>
      <c r="E428" s="102" t="inlineStr">
        <is>
          <t>Frete e Transporte de Mercadorias</t>
        </is>
      </c>
      <c r="F428" s="103" t="n">
        <v>6370.18</v>
      </c>
      <c r="G428" s="104" t="inlineStr">
        <is>
          <t>03/2026</t>
        </is>
      </c>
      <c r="H428" s="104" t="inlineStr">
        <is>
          <t>CODI</t>
        </is>
      </c>
    </row>
    <row r="429" ht="15" customHeight="1" s="86">
      <c r="B429" s="101" t="n">
        <v>46082</v>
      </c>
      <c r="C429" s="102" t="inlineStr">
        <is>
          <t>Seguros - 03/2026</t>
        </is>
      </c>
      <c r="D429" s="102" t="inlineStr">
        <is>
          <t>Saída</t>
        </is>
      </c>
      <c r="E429" s="102" t="inlineStr">
        <is>
          <t>Seguros</t>
        </is>
      </c>
      <c r="F429" s="103" t="n">
        <v>928.23</v>
      </c>
      <c r="G429" s="104" t="inlineStr">
        <is>
          <t>03/2026</t>
        </is>
      </c>
      <c r="H429" s="104" t="inlineStr">
        <is>
          <t>CODI</t>
        </is>
      </c>
    </row>
    <row r="430" ht="15" customHeight="1" s="86">
      <c r="B430" s="101" t="n">
        <v>46082</v>
      </c>
      <c r="C430" s="102" t="inlineStr">
        <is>
          <t>Segurança e Monitoramento - 03/2026</t>
        </is>
      </c>
      <c r="D430" s="102" t="inlineStr">
        <is>
          <t>Saída</t>
        </is>
      </c>
      <c r="E430" s="102" t="inlineStr">
        <is>
          <t>Segurança e Monitoramento</t>
        </is>
      </c>
      <c r="F430" s="103" t="n">
        <v>508.74</v>
      </c>
      <c r="G430" s="104" t="inlineStr">
        <is>
          <t>03/2026</t>
        </is>
      </c>
      <c r="H430" s="104" t="inlineStr">
        <is>
          <t>CODI</t>
        </is>
      </c>
    </row>
    <row r="431" ht="15" customHeight="1" s="86">
      <c r="B431" s="101" t="n">
        <v>46082</v>
      </c>
      <c r="C431" s="102" t="inlineStr">
        <is>
          <t>Vale Transporte - 03/2026</t>
        </is>
      </c>
      <c r="D431" s="102" t="inlineStr">
        <is>
          <t>Saída</t>
        </is>
      </c>
      <c r="E431" s="102" t="inlineStr">
        <is>
          <t>Vale Transporte</t>
        </is>
      </c>
      <c r="F431" s="103" t="n">
        <v>2400</v>
      </c>
      <c r="G431" s="104" t="inlineStr">
        <is>
          <t>03/2026</t>
        </is>
      </c>
      <c r="H431" s="104" t="inlineStr">
        <is>
          <t>CODI</t>
        </is>
      </c>
    </row>
    <row r="432" ht="15" customHeight="1" s="86">
      <c r="B432" s="101" t="n">
        <v>46082</v>
      </c>
      <c r="C432" s="102" t="inlineStr">
        <is>
          <t>Publicidade - 03/2026</t>
        </is>
      </c>
      <c r="D432" s="102" t="inlineStr">
        <is>
          <t>Saída</t>
        </is>
      </c>
      <c r="E432" s="102" t="inlineStr">
        <is>
          <t>Publicidade</t>
        </is>
      </c>
      <c r="F432" s="103" t="n">
        <v>3950</v>
      </c>
      <c r="G432" s="104" t="inlineStr">
        <is>
          <t>03/2026</t>
        </is>
      </c>
      <c r="H432" s="104" t="inlineStr">
        <is>
          <t>CODI</t>
        </is>
      </c>
    </row>
    <row r="433" ht="15" customHeight="1" s="86">
      <c r="B433" s="101" t="n">
        <v>46082</v>
      </c>
      <c r="C433" s="102" t="inlineStr">
        <is>
          <t>Energia Elétrica - 03/2026</t>
        </is>
      </c>
      <c r="D433" s="102" t="inlineStr">
        <is>
          <t>Saída</t>
        </is>
      </c>
      <c r="E433" s="102" t="inlineStr">
        <is>
          <t>Energia Elétrica</t>
        </is>
      </c>
      <c r="F433" s="103" t="n">
        <v>163.62</v>
      </c>
      <c r="G433" s="104" t="inlineStr">
        <is>
          <t>03/2026</t>
        </is>
      </c>
      <c r="H433" s="104" t="inlineStr">
        <is>
          <t>CODI</t>
        </is>
      </c>
    </row>
    <row r="434" ht="15" customHeight="1" s="86">
      <c r="B434" s="101" t="n">
        <v>46082</v>
      </c>
      <c r="C434" s="102" t="inlineStr">
        <is>
          <t>Água - 03/2026</t>
        </is>
      </c>
      <c r="D434" s="102" t="inlineStr">
        <is>
          <t>Saída</t>
        </is>
      </c>
      <c r="E434" s="102" t="inlineStr">
        <is>
          <t>Água</t>
        </is>
      </c>
      <c r="F434" s="103" t="n">
        <v>203.75</v>
      </c>
      <c r="G434" s="104" t="inlineStr">
        <is>
          <t>03/2026</t>
        </is>
      </c>
      <c r="H434" s="104" t="inlineStr">
        <is>
          <t>CODI</t>
        </is>
      </c>
    </row>
    <row r="435" ht="15" customHeight="1" s="86">
      <c r="B435" s="101" t="n">
        <v>46082</v>
      </c>
      <c r="C435" s="102" t="inlineStr">
        <is>
          <t>Custo de Mercadoria Vendida - 03/2026</t>
        </is>
      </c>
      <c r="D435" s="102" t="inlineStr">
        <is>
          <t>Saída</t>
        </is>
      </c>
      <c r="E435" s="102" t="inlineStr">
        <is>
          <t>Custo de Mercadoria Vendida</t>
        </is>
      </c>
      <c r="F435" s="103" t="n">
        <v>208123.65</v>
      </c>
      <c r="G435" s="104" t="inlineStr">
        <is>
          <t>03/2026</t>
        </is>
      </c>
      <c r="H435" s="104" t="inlineStr">
        <is>
          <t>CODI</t>
        </is>
      </c>
    </row>
    <row r="436" ht="15" customHeight="1" s="86">
      <c r="B436" s="101" t="n">
        <v>46082</v>
      </c>
      <c r="C436" s="102" t="inlineStr">
        <is>
          <t>Darf - 03/2026</t>
        </is>
      </c>
      <c r="D436" s="102" t="inlineStr">
        <is>
          <t>Saída</t>
        </is>
      </c>
      <c r="E436" s="102" t="inlineStr">
        <is>
          <t>Darf</t>
        </is>
      </c>
      <c r="F436" s="103" t="n">
        <v>1967.03</v>
      </c>
      <c r="G436" s="104" t="inlineStr">
        <is>
          <t>03/2026</t>
        </is>
      </c>
      <c r="H436" s="104" t="inlineStr">
        <is>
          <t>CODI</t>
        </is>
      </c>
    </row>
    <row r="437" ht="15" customHeight="1" s="86">
      <c r="B437" s="101" t="n">
        <v>46082</v>
      </c>
      <c r="C437" s="102" t="inlineStr">
        <is>
          <t>Honorários Contábeis (Contabilidade) - 03/2026</t>
        </is>
      </c>
      <c r="D437" s="102" t="inlineStr">
        <is>
          <t>Saída</t>
        </is>
      </c>
      <c r="E437" s="102" t="inlineStr">
        <is>
          <t>Honorários Contábeis (Contabilidade)</t>
        </is>
      </c>
      <c r="F437" s="103" t="n">
        <v>1100</v>
      </c>
      <c r="G437" s="104" t="inlineStr">
        <is>
          <t>03/2026</t>
        </is>
      </c>
      <c r="H437" s="104" t="inlineStr">
        <is>
          <t>CODI</t>
        </is>
      </c>
    </row>
    <row r="438" ht="15" customHeight="1" s="86">
      <c r="B438" s="101" t="n">
        <v>46082</v>
      </c>
      <c r="C438" s="102" t="inlineStr">
        <is>
          <t>Alimentação - 03/2026</t>
        </is>
      </c>
      <c r="D438" s="102" t="inlineStr">
        <is>
          <t>Saída</t>
        </is>
      </c>
      <c r="E438" s="102" t="inlineStr">
        <is>
          <t>Alimentação</t>
        </is>
      </c>
      <c r="F438" s="103" t="n">
        <v>25</v>
      </c>
      <c r="G438" s="104" t="inlineStr">
        <is>
          <t>03/2026</t>
        </is>
      </c>
      <c r="H438" s="104" t="inlineStr">
        <is>
          <t>CODI</t>
        </is>
      </c>
    </row>
    <row r="439" ht="15" customHeight="1" s="86">
      <c r="B439" s="101" t="n">
        <v>46082</v>
      </c>
      <c r="C439" s="102" t="inlineStr">
        <is>
          <t>Combustíveis - 03/2026</t>
        </is>
      </c>
      <c r="D439" s="102" t="inlineStr">
        <is>
          <t>Saída</t>
        </is>
      </c>
      <c r="E439" s="102" t="inlineStr">
        <is>
          <t>Combustíveis</t>
        </is>
      </c>
      <c r="F439" s="103" t="n">
        <v>1421.38</v>
      </c>
      <c r="G439" s="104" t="inlineStr">
        <is>
          <t>03/2026</t>
        </is>
      </c>
      <c r="H439" s="104" t="inlineStr">
        <is>
          <t>CODI</t>
        </is>
      </c>
    </row>
    <row r="440" ht="15" customHeight="1" s="86">
      <c r="B440" s="101" t="n">
        <v>46082</v>
      </c>
      <c r="C440" s="102" t="inlineStr">
        <is>
          <t>Telefonia Móvel - 03/2026</t>
        </is>
      </c>
      <c r="D440" s="102" t="inlineStr">
        <is>
          <t>Saída</t>
        </is>
      </c>
      <c r="E440" s="102" t="inlineStr">
        <is>
          <t>Telefonia Móvel</t>
        </is>
      </c>
      <c r="F440" s="103" t="n">
        <v>90</v>
      </c>
      <c r="G440" s="104" t="inlineStr">
        <is>
          <t>03/2026</t>
        </is>
      </c>
      <c r="H440" s="104" t="inlineStr">
        <is>
          <t>CODI</t>
        </is>
      </c>
    </row>
    <row r="441" ht="15" customHeight="1" s="86">
      <c r="B441" s="101" t="n">
        <v>46082</v>
      </c>
      <c r="C441" s="102" t="inlineStr">
        <is>
          <t>Manutenção de Veiculos e Estacionamento - 03/2026</t>
        </is>
      </c>
      <c r="D441" s="102" t="inlineStr">
        <is>
          <t>Saída</t>
        </is>
      </c>
      <c r="E441" s="102" t="inlineStr">
        <is>
          <t>Manutenção de Veiculos e Estacionamento</t>
        </is>
      </c>
      <c r="F441" s="103" t="n">
        <v>140</v>
      </c>
      <c r="G441" s="104" t="inlineStr">
        <is>
          <t>03/2026</t>
        </is>
      </c>
      <c r="H441" s="104" t="inlineStr">
        <is>
          <t>CODI</t>
        </is>
      </c>
    </row>
    <row r="442" ht="15" customHeight="1" s="86">
      <c r="B442" s="101" t="n">
        <v>46082</v>
      </c>
      <c r="C442" s="102" t="inlineStr">
        <is>
          <t>Consulta de Crédito Cliente - 03/2026</t>
        </is>
      </c>
      <c r="D442" s="102" t="inlineStr">
        <is>
          <t>Saída</t>
        </is>
      </c>
      <c r="E442" s="102" t="inlineStr">
        <is>
          <t>Consulta de Crédito Cliente</t>
        </is>
      </c>
      <c r="F442" s="103" t="n">
        <v>327.05</v>
      </c>
      <c r="G442" s="104" t="inlineStr">
        <is>
          <t>03/2026</t>
        </is>
      </c>
      <c r="H442" s="104" t="inlineStr">
        <is>
          <t>CODI</t>
        </is>
      </c>
    </row>
    <row r="443" ht="15" customHeight="1" s="86">
      <c r="B443" s="101" t="n">
        <v>46082</v>
      </c>
      <c r="C443" s="102" t="inlineStr">
        <is>
          <t>Premiações e Abonos - 03/2026</t>
        </is>
      </c>
      <c r="D443" s="102" t="inlineStr">
        <is>
          <t>Saída</t>
        </is>
      </c>
      <c r="E443" s="102" t="inlineStr">
        <is>
          <t>Premiações e Abonos</t>
        </is>
      </c>
      <c r="F443" s="103" t="n">
        <v>1508.5</v>
      </c>
      <c r="G443" s="104" t="inlineStr">
        <is>
          <t>03/2026</t>
        </is>
      </c>
      <c r="H443" s="104" t="inlineStr">
        <is>
          <t>CODI</t>
        </is>
      </c>
    </row>
    <row r="444" ht="15" customHeight="1" s="86">
      <c r="B444" s="101" t="n">
        <v>46082</v>
      </c>
      <c r="C444" s="102" t="inlineStr">
        <is>
          <t>Telefonia Fixa e Internet - 03/2026</t>
        </is>
      </c>
      <c r="D444" s="102" t="inlineStr">
        <is>
          <t>Saída</t>
        </is>
      </c>
      <c r="E444" s="102" t="inlineStr">
        <is>
          <t>Telefonia Fixa e Internet</t>
        </is>
      </c>
      <c r="F444" s="103" t="n">
        <v>126.97</v>
      </c>
      <c r="G444" s="104" t="inlineStr">
        <is>
          <t>03/2026</t>
        </is>
      </c>
      <c r="H444" s="104" t="inlineStr">
        <is>
          <t>CODI</t>
        </is>
      </c>
    </row>
    <row r="445" ht="15" customHeight="1" s="86">
      <c r="B445" s="101" t="n">
        <v>46082</v>
      </c>
      <c r="C445" s="102" t="inlineStr">
        <is>
          <t>Empréstimos - 03/2026</t>
        </is>
      </c>
      <c r="D445" s="102" t="inlineStr">
        <is>
          <t>Saída</t>
        </is>
      </c>
      <c r="E445" s="102" t="inlineStr">
        <is>
          <t>Empréstimos</t>
        </is>
      </c>
      <c r="F445" s="103" t="n">
        <v>83514.06</v>
      </c>
      <c r="G445" s="104" t="inlineStr">
        <is>
          <t>03/2026</t>
        </is>
      </c>
      <c r="H445" s="104" t="inlineStr">
        <is>
          <t>CODI</t>
        </is>
      </c>
    </row>
    <row r="446" ht="15" customHeight="1" s="86">
      <c r="B446" s="101" t="n">
        <v>46082</v>
      </c>
      <c r="C446" s="102" t="inlineStr">
        <is>
          <t>Manutenção de Imóveis - 03/2026</t>
        </is>
      </c>
      <c r="D446" s="102" t="inlineStr">
        <is>
          <t>Saída</t>
        </is>
      </c>
      <c r="E446" s="102" t="inlineStr">
        <is>
          <t>Manutenção de Imóveis</t>
        </is>
      </c>
      <c r="F446" s="103" t="n">
        <v>905</v>
      </c>
      <c r="G446" s="104" t="inlineStr">
        <is>
          <t>03/2026</t>
        </is>
      </c>
      <c r="H446" s="104" t="inlineStr">
        <is>
          <t>CODI</t>
        </is>
      </c>
    </row>
    <row r="447" ht="15" customHeight="1" s="86">
      <c r="B447" s="101" t="n">
        <v>46082</v>
      </c>
      <c r="C447" s="102" t="inlineStr">
        <is>
          <t>Fgts, Gps e Pis - 03/2026</t>
        </is>
      </c>
      <c r="D447" s="102" t="inlineStr">
        <is>
          <t>Saída</t>
        </is>
      </c>
      <c r="E447" s="102" t="inlineStr">
        <is>
          <t>Fgts, Gps e Pis</t>
        </is>
      </c>
      <c r="F447" s="103" t="n">
        <v>3373.29</v>
      </c>
      <c r="G447" s="104" t="inlineStr">
        <is>
          <t>03/2026</t>
        </is>
      </c>
      <c r="H447" s="104" t="inlineStr">
        <is>
          <t>CODI</t>
        </is>
      </c>
    </row>
    <row r="448" ht="15" customHeight="1" s="86">
      <c r="B448" s="101" t="n">
        <v>46082</v>
      </c>
      <c r="C448" s="102" t="inlineStr">
        <is>
          <t>Web Site e Sistema ERP - 03/2026</t>
        </is>
      </c>
      <c r="D448" s="102" t="inlineStr">
        <is>
          <t>Saída</t>
        </is>
      </c>
      <c r="E448" s="102" t="inlineStr">
        <is>
          <t>Web Site e Sistema ERP</t>
        </is>
      </c>
      <c r="F448" s="103" t="n">
        <v>1085</v>
      </c>
      <c r="G448" s="104" t="inlineStr">
        <is>
          <t>03/2026</t>
        </is>
      </c>
      <c r="H448" s="104" t="inlineStr">
        <is>
          <t>CODI</t>
        </is>
      </c>
    </row>
    <row r="449" ht="15" customHeight="1" s="86">
      <c r="B449" s="101" t="n">
        <v>46082</v>
      </c>
      <c r="C449" s="102" t="inlineStr">
        <is>
          <t>Material de Copa e Cozinha - 03/2026</t>
        </is>
      </c>
      <c r="D449" s="102" t="inlineStr">
        <is>
          <t>Saída</t>
        </is>
      </c>
      <c r="E449" s="102" t="inlineStr">
        <is>
          <t>Material de Copa e Cozinha</t>
        </is>
      </c>
      <c r="F449" s="103" t="n">
        <v>28</v>
      </c>
      <c r="G449" s="104" t="inlineStr">
        <is>
          <t>03/2026</t>
        </is>
      </c>
      <c r="H449" s="104" t="inlineStr">
        <is>
          <t>CODI</t>
        </is>
      </c>
    </row>
    <row r="450" ht="15" customHeight="1" s="86">
      <c r="B450" s="101" t="n">
        <v>46082</v>
      </c>
      <c r="C450" s="102" t="inlineStr">
        <is>
          <t>Juros de Empréstimos - 03/2026</t>
        </is>
      </c>
      <c r="D450" s="102" t="inlineStr">
        <is>
          <t>Saída</t>
        </is>
      </c>
      <c r="E450" s="102" t="inlineStr">
        <is>
          <t>Juros de Empréstimos</t>
        </is>
      </c>
      <c r="F450" s="103" t="n">
        <v>7750</v>
      </c>
      <c r="G450" s="104" t="inlineStr">
        <is>
          <t>03/2026</t>
        </is>
      </c>
      <c r="H450" s="104" t="inlineStr">
        <is>
          <t>CODI</t>
        </is>
      </c>
    </row>
    <row r="451" ht="15" customHeight="1" s="86">
      <c r="B451" s="101" t="n">
        <v>46082</v>
      </c>
      <c r="C451" s="102" t="inlineStr">
        <is>
          <t>Outros Tributos - 03/2026</t>
        </is>
      </c>
      <c r="D451" s="102" t="inlineStr">
        <is>
          <t>Saída</t>
        </is>
      </c>
      <c r="E451" s="102" t="inlineStr">
        <is>
          <t>Outros Tributos</t>
        </is>
      </c>
      <c r="F451" s="103" t="n">
        <v>22</v>
      </c>
      <c r="G451" s="104" t="inlineStr">
        <is>
          <t>03/2026</t>
        </is>
      </c>
      <c r="H451" s="104" t="inlineStr">
        <is>
          <t>CODI</t>
        </is>
      </c>
    </row>
    <row r="452" ht="15" customHeight="1" s="86">
      <c r="B452" s="101" t="n">
        <v>46082</v>
      </c>
      <c r="C452" s="102" t="inlineStr">
        <is>
          <t>Advogados - Honorários - 03/2026</t>
        </is>
      </c>
      <c r="D452" s="102" t="inlineStr">
        <is>
          <t>Saída</t>
        </is>
      </c>
      <c r="E452" s="102" t="inlineStr">
        <is>
          <t>Advogados - Honorários</t>
        </is>
      </c>
      <c r="F452" s="103" t="n">
        <v>2500</v>
      </c>
      <c r="G452" s="104" t="inlineStr">
        <is>
          <t>03/2026</t>
        </is>
      </c>
      <c r="H452" s="104" t="inlineStr">
        <is>
          <t>CODI</t>
        </is>
      </c>
    </row>
    <row r="453" ht="15" customHeight="1" s="86">
      <c r="B453" s="101" t="n">
        <v>46082</v>
      </c>
      <c r="C453" s="102" t="inlineStr">
        <is>
          <t>Assessoria Técnica Profissional - 03/2026</t>
        </is>
      </c>
      <c r="D453" s="102" t="inlineStr">
        <is>
          <t>Saída</t>
        </is>
      </c>
      <c r="E453" s="102" t="inlineStr">
        <is>
          <t>Assessoria Técnica Profissional</t>
        </is>
      </c>
      <c r="F453" s="103" t="n">
        <v>3500</v>
      </c>
      <c r="G453" s="104" t="inlineStr">
        <is>
          <t>03/2026</t>
        </is>
      </c>
      <c r="H453" s="104" t="inlineStr">
        <is>
          <t>CODI</t>
        </is>
      </c>
    </row>
    <row r="454" ht="15" customHeight="1" s="86">
      <c r="B454" s="101" t="n">
        <v>46082</v>
      </c>
      <c r="C454" s="102" t="inlineStr">
        <is>
          <t>Consórcio - 03/2026</t>
        </is>
      </c>
      <c r="D454" s="102" t="inlineStr">
        <is>
          <t>Saída</t>
        </is>
      </c>
      <c r="E454" s="102" t="inlineStr">
        <is>
          <t>Consórcio</t>
        </is>
      </c>
      <c r="F454" s="103" t="n">
        <v>2056</v>
      </c>
      <c r="G454" s="104" t="inlineStr">
        <is>
          <t>03/2026</t>
        </is>
      </c>
      <c r="H454" s="104" t="inlineStr">
        <is>
          <t>CODI</t>
        </is>
      </c>
    </row>
    <row r="455" ht="15" customHeight="1" s="86">
      <c r="B455" s="101" t="n">
        <v>46082</v>
      </c>
      <c r="C455" s="102" t="inlineStr">
        <is>
          <t>Retiradas de Sócios - 03/2026</t>
        </is>
      </c>
      <c r="D455" s="102" t="inlineStr">
        <is>
          <t>Saída</t>
        </is>
      </c>
      <c r="E455" s="102" t="inlineStr">
        <is>
          <t>Retiradas de Sócios</t>
        </is>
      </c>
      <c r="F455" s="103" t="n">
        <v>25000</v>
      </c>
      <c r="G455" s="104" t="inlineStr">
        <is>
          <t>03/2026</t>
        </is>
      </c>
      <c r="H455" s="104" t="inlineStr">
        <is>
          <t>CODI</t>
        </is>
      </c>
    </row>
    <row r="456" ht="15" customHeight="1" s="86">
      <c r="B456" s="101" t="n">
        <v>46082</v>
      </c>
      <c r="C456" s="102" t="inlineStr">
        <is>
          <t>Tráfego/Social Mídia - 03/2026</t>
        </is>
      </c>
      <c r="D456" s="102" t="inlineStr">
        <is>
          <t>Saída</t>
        </is>
      </c>
      <c r="E456" s="102" t="inlineStr">
        <is>
          <t>Tráfego/Social Mídia</t>
        </is>
      </c>
      <c r="F456" s="103" t="n">
        <v>1677.63</v>
      </c>
      <c r="G456" s="104" t="inlineStr">
        <is>
          <t>03/2026</t>
        </is>
      </c>
      <c r="H456" s="104" t="inlineStr">
        <is>
          <t>CODI</t>
        </is>
      </c>
    </row>
    <row r="457" ht="15" customHeight="1" s="86">
      <c r="B457" s="101" t="n">
        <v>46113</v>
      </c>
      <c r="C457" s="102" t="inlineStr">
        <is>
          <t>Vendas - 04/2026</t>
        </is>
      </c>
      <c r="D457" s="102" t="inlineStr">
        <is>
          <t>Entrada</t>
        </is>
      </c>
      <c r="E457" s="102" t="inlineStr">
        <is>
          <t>Vendas</t>
        </is>
      </c>
      <c r="F457" s="103" t="n">
        <v>425042.8</v>
      </c>
      <c r="G457" s="104" t="inlineStr">
        <is>
          <t>04/2026</t>
        </is>
      </c>
      <c r="H457" s="104" t="inlineStr">
        <is>
          <t>CODI</t>
        </is>
      </c>
    </row>
    <row r="458" ht="15" customHeight="1" s="86">
      <c r="B458" s="101" t="n">
        <v>46113</v>
      </c>
      <c r="C458" s="102" t="inlineStr">
        <is>
          <t>Aluguéis e Condomínios - 04/2026</t>
        </is>
      </c>
      <c r="D458" s="102" t="inlineStr">
        <is>
          <t>Saída</t>
        </is>
      </c>
      <c r="E458" s="102" t="inlineStr">
        <is>
          <t>Aluguéis e Condomínios</t>
        </is>
      </c>
      <c r="F458" s="103" t="n">
        <v>8100</v>
      </c>
      <c r="G458" s="104" t="inlineStr">
        <is>
          <t>04/2026</t>
        </is>
      </c>
      <c r="H458" s="104" t="inlineStr">
        <is>
          <t>CODI</t>
        </is>
      </c>
    </row>
    <row r="459" ht="15" customHeight="1" s="86">
      <c r="B459" s="101" t="n">
        <v>46113</v>
      </c>
      <c r="C459" s="102" t="inlineStr">
        <is>
          <t>Salário e Ordenados - 04/2026</t>
        </is>
      </c>
      <c r="D459" s="102" t="inlineStr">
        <is>
          <t>Saída</t>
        </is>
      </c>
      <c r="E459" s="102" t="inlineStr">
        <is>
          <t>Salário e Ordenados</t>
        </is>
      </c>
      <c r="F459" s="103" t="n">
        <v>31939.4</v>
      </c>
      <c r="G459" s="104" t="inlineStr">
        <is>
          <t>04/2026</t>
        </is>
      </c>
      <c r="H459" s="104" t="inlineStr">
        <is>
          <t>CODI</t>
        </is>
      </c>
    </row>
    <row r="460" ht="15" customHeight="1" s="86">
      <c r="B460" s="101" t="n">
        <v>46113</v>
      </c>
      <c r="C460" s="102" t="inlineStr">
        <is>
          <t>Vales e Adiantamentos - 04/2026</t>
        </is>
      </c>
      <c r="D460" s="102" t="inlineStr">
        <is>
          <t>Saída</t>
        </is>
      </c>
      <c r="E460" s="102" t="inlineStr">
        <is>
          <t>Vales e Adiantamentos</t>
        </is>
      </c>
      <c r="F460" s="103" t="n">
        <v>3650</v>
      </c>
      <c r="G460" s="104" t="inlineStr">
        <is>
          <t>04/2026</t>
        </is>
      </c>
      <c r="H460" s="104" t="inlineStr">
        <is>
          <t>CODI</t>
        </is>
      </c>
    </row>
    <row r="461" ht="15" customHeight="1" s="86">
      <c r="B461" s="101" t="n">
        <v>46113</v>
      </c>
      <c r="C461" s="102" t="inlineStr">
        <is>
          <t>Férias - 04/2026</t>
        </is>
      </c>
      <c r="D461" s="102" t="inlineStr">
        <is>
          <t>Saída</t>
        </is>
      </c>
      <c r="E461" s="102" t="inlineStr">
        <is>
          <t>Férias</t>
        </is>
      </c>
      <c r="F461" s="103" t="n">
        <v>2623.23</v>
      </c>
      <c r="G461" s="104" t="inlineStr">
        <is>
          <t>04/2026</t>
        </is>
      </c>
      <c r="H461" s="104" t="inlineStr">
        <is>
          <t>CODI</t>
        </is>
      </c>
    </row>
    <row r="462" ht="15" customHeight="1" s="86">
      <c r="B462" s="101" t="n">
        <v>46113</v>
      </c>
      <c r="C462" s="102" t="inlineStr">
        <is>
          <t>Material de Limpeza e Higiene - 04/2026</t>
        </is>
      </c>
      <c r="D462" s="102" t="inlineStr">
        <is>
          <t>Saída</t>
        </is>
      </c>
      <c r="E462" s="102" t="inlineStr">
        <is>
          <t>Material de Limpeza e Higiene</t>
        </is>
      </c>
      <c r="F462" s="103" t="n">
        <v>168.44</v>
      </c>
      <c r="G462" s="104" t="inlineStr">
        <is>
          <t>04/2026</t>
        </is>
      </c>
      <c r="H462" s="104" t="inlineStr">
        <is>
          <t>CODI</t>
        </is>
      </c>
    </row>
    <row r="463" ht="15" customHeight="1" s="86">
      <c r="B463" s="101" t="n">
        <v>46113</v>
      </c>
      <c r="C463" s="102" t="inlineStr">
        <is>
          <t>Frete e Transporte de Mercadorias - 04/2026</t>
        </is>
      </c>
      <c r="D463" s="102" t="inlineStr">
        <is>
          <t>Saída</t>
        </is>
      </c>
      <c r="E463" s="102" t="inlineStr">
        <is>
          <t>Frete e Transporte de Mercadorias</t>
        </is>
      </c>
      <c r="F463" s="103" t="n">
        <v>6258.05</v>
      </c>
      <c r="G463" s="104" t="inlineStr">
        <is>
          <t>04/2026</t>
        </is>
      </c>
      <c r="H463" s="104" t="inlineStr">
        <is>
          <t>CODI</t>
        </is>
      </c>
    </row>
    <row r="464" ht="15" customHeight="1" s="86">
      <c r="B464" s="101" t="n">
        <v>46113</v>
      </c>
      <c r="C464" s="102" t="inlineStr">
        <is>
          <t>Seguros - 04/2026</t>
        </is>
      </c>
      <c r="D464" s="102" t="inlineStr">
        <is>
          <t>Saída</t>
        </is>
      </c>
      <c r="E464" s="102" t="inlineStr">
        <is>
          <t>Seguros</t>
        </is>
      </c>
      <c r="F464" s="103" t="n">
        <v>1198.14</v>
      </c>
      <c r="G464" s="104" t="inlineStr">
        <is>
          <t>04/2026</t>
        </is>
      </c>
      <c r="H464" s="104" t="inlineStr">
        <is>
          <t>CODI</t>
        </is>
      </c>
    </row>
    <row r="465" ht="15" customHeight="1" s="86">
      <c r="B465" s="101" t="n">
        <v>46113</v>
      </c>
      <c r="C465" s="102" t="inlineStr">
        <is>
          <t>Segurança e Monitoramento - 04/2026</t>
        </is>
      </c>
      <c r="D465" s="102" t="inlineStr">
        <is>
          <t>Saída</t>
        </is>
      </c>
      <c r="E465" s="102" t="inlineStr">
        <is>
          <t>Segurança e Monitoramento</t>
        </is>
      </c>
      <c r="F465" s="103" t="n">
        <v>508.74</v>
      </c>
      <c r="G465" s="104" t="inlineStr">
        <is>
          <t>04/2026</t>
        </is>
      </c>
      <c r="H465" s="104" t="inlineStr">
        <is>
          <t>CODI</t>
        </is>
      </c>
    </row>
    <row r="466" ht="15" customHeight="1" s="86">
      <c r="B466" s="101" t="n">
        <v>46113</v>
      </c>
      <c r="C466" s="102" t="inlineStr">
        <is>
          <t>Vale Transporte - 04/2026</t>
        </is>
      </c>
      <c r="D466" s="102" t="inlineStr">
        <is>
          <t>Saída</t>
        </is>
      </c>
      <c r="E466" s="102" t="inlineStr">
        <is>
          <t>Vale Transporte</t>
        </is>
      </c>
      <c r="F466" s="103" t="n">
        <v>1980</v>
      </c>
      <c r="G466" s="104" t="inlineStr">
        <is>
          <t>04/2026</t>
        </is>
      </c>
      <c r="H466" s="104" t="inlineStr">
        <is>
          <t>CODI</t>
        </is>
      </c>
    </row>
    <row r="467" ht="15" customHeight="1" s="86">
      <c r="B467" s="101" t="n">
        <v>46113</v>
      </c>
      <c r="C467" s="102" t="inlineStr">
        <is>
          <t>Energia Elétrica - 04/2026</t>
        </is>
      </c>
      <c r="D467" s="102" t="inlineStr">
        <is>
          <t>Saída</t>
        </is>
      </c>
      <c r="E467" s="102" t="inlineStr">
        <is>
          <t>Energia Elétrica</t>
        </is>
      </c>
      <c r="F467" s="103" t="n">
        <v>151.96</v>
      </c>
      <c r="G467" s="104" t="inlineStr">
        <is>
          <t>04/2026</t>
        </is>
      </c>
      <c r="H467" s="104" t="inlineStr">
        <is>
          <t>CODI</t>
        </is>
      </c>
    </row>
    <row r="468" ht="15" customHeight="1" s="86">
      <c r="B468" s="101" t="n">
        <v>46113</v>
      </c>
      <c r="C468" s="102" t="inlineStr">
        <is>
          <t>Água - 04/2026</t>
        </is>
      </c>
      <c r="D468" s="102" t="inlineStr">
        <is>
          <t>Saída</t>
        </is>
      </c>
      <c r="E468" s="102" t="inlineStr">
        <is>
          <t>Água</t>
        </is>
      </c>
      <c r="F468" s="103" t="n">
        <v>261.86</v>
      </c>
      <c r="G468" s="104" t="inlineStr">
        <is>
          <t>04/2026</t>
        </is>
      </c>
      <c r="H468" s="104" t="inlineStr">
        <is>
          <t>CODI</t>
        </is>
      </c>
    </row>
    <row r="469" ht="15" customHeight="1" s="86">
      <c r="B469" s="101" t="n">
        <v>46113</v>
      </c>
      <c r="C469" s="102" t="inlineStr">
        <is>
          <t>Custo de Mercadoria Vendida - 04/2026</t>
        </is>
      </c>
      <c r="D469" s="102" t="inlineStr">
        <is>
          <t>Saída</t>
        </is>
      </c>
      <c r="E469" s="102" t="inlineStr">
        <is>
          <t>Custo de Mercadoria Vendida</t>
        </is>
      </c>
      <c r="F469" s="103" t="n">
        <v>284043.68</v>
      </c>
      <c r="G469" s="104" t="inlineStr">
        <is>
          <t>04/2026</t>
        </is>
      </c>
      <c r="H469" s="104" t="inlineStr">
        <is>
          <t>CODI</t>
        </is>
      </c>
    </row>
    <row r="470" ht="15" customHeight="1" s="86">
      <c r="B470" s="101" t="n">
        <v>46113</v>
      </c>
      <c r="C470" s="102" t="inlineStr">
        <is>
          <t>Darf - 04/2026</t>
        </is>
      </c>
      <c r="D470" s="102" t="inlineStr">
        <is>
          <t>Saída</t>
        </is>
      </c>
      <c r="E470" s="102" t="inlineStr">
        <is>
          <t>Darf</t>
        </is>
      </c>
      <c r="F470" s="103" t="n">
        <v>1927.86</v>
      </c>
      <c r="G470" s="104" t="inlineStr">
        <is>
          <t>04/2026</t>
        </is>
      </c>
      <c r="H470" s="104" t="inlineStr">
        <is>
          <t>CODI</t>
        </is>
      </c>
    </row>
    <row r="471" ht="15" customHeight="1" s="86">
      <c r="B471" s="101" t="n">
        <v>46113</v>
      </c>
      <c r="C471" s="102" t="inlineStr">
        <is>
          <t>Honorários Contábeis (Contabilidade) - 04/2026</t>
        </is>
      </c>
      <c r="D471" s="102" t="inlineStr">
        <is>
          <t>Saída</t>
        </is>
      </c>
      <c r="E471" s="102" t="inlineStr">
        <is>
          <t>Honorários Contábeis (Contabilidade)</t>
        </is>
      </c>
      <c r="F471" s="103" t="n">
        <v>1100</v>
      </c>
      <c r="G471" s="104" t="inlineStr">
        <is>
          <t>04/2026</t>
        </is>
      </c>
      <c r="H471" s="104" t="inlineStr">
        <is>
          <t>CODI</t>
        </is>
      </c>
    </row>
    <row r="472" ht="15" customHeight="1" s="86">
      <c r="B472" s="101" t="n">
        <v>46113</v>
      </c>
      <c r="C472" s="102" t="inlineStr">
        <is>
          <t>Combustíveis - 04/2026</t>
        </is>
      </c>
      <c r="D472" s="102" t="inlineStr">
        <is>
          <t>Saída</t>
        </is>
      </c>
      <c r="E472" s="102" t="inlineStr">
        <is>
          <t>Combustíveis</t>
        </is>
      </c>
      <c r="F472" s="103" t="n">
        <v>1349.31</v>
      </c>
      <c r="G472" s="104" t="inlineStr">
        <is>
          <t>04/2026</t>
        </is>
      </c>
      <c r="H472" s="104" t="inlineStr">
        <is>
          <t>CODI</t>
        </is>
      </c>
    </row>
    <row r="473" ht="15" customHeight="1" s="86">
      <c r="B473" s="101" t="n">
        <v>46113</v>
      </c>
      <c r="C473" s="102" t="inlineStr">
        <is>
          <t>Manutenção de Veiculos e Estacionamento - 04/2026</t>
        </is>
      </c>
      <c r="D473" s="102" t="inlineStr">
        <is>
          <t>Saída</t>
        </is>
      </c>
      <c r="E473" s="102" t="inlineStr">
        <is>
          <t>Manutenção de Veiculos e Estacionamento</t>
        </is>
      </c>
      <c r="F473" s="103" t="n">
        <v>150</v>
      </c>
      <c r="G473" s="104" t="inlineStr">
        <is>
          <t>04/2026</t>
        </is>
      </c>
      <c r="H473" s="104" t="inlineStr">
        <is>
          <t>CODI</t>
        </is>
      </c>
    </row>
    <row r="474" ht="15" customHeight="1" s="86">
      <c r="B474" s="101" t="n">
        <v>46113</v>
      </c>
      <c r="C474" s="102" t="inlineStr">
        <is>
          <t>Consulta de Crédito Cliente - 04/2026</t>
        </is>
      </c>
      <c r="D474" s="102" t="inlineStr">
        <is>
          <t>Saída</t>
        </is>
      </c>
      <c r="E474" s="102" t="inlineStr">
        <is>
          <t>Consulta de Crédito Cliente</t>
        </is>
      </c>
      <c r="F474" s="103" t="n">
        <v>327.05</v>
      </c>
      <c r="G474" s="104" t="inlineStr">
        <is>
          <t>04/2026</t>
        </is>
      </c>
      <c r="H474" s="104" t="inlineStr">
        <is>
          <t>CODI</t>
        </is>
      </c>
    </row>
    <row r="475" ht="15" customHeight="1" s="86">
      <c r="B475" s="101" t="n">
        <v>46113</v>
      </c>
      <c r="C475" s="102" t="inlineStr">
        <is>
          <t>Telefonia Fixa e Internet - 04/2026</t>
        </is>
      </c>
      <c r="D475" s="102" t="inlineStr">
        <is>
          <t>Saída</t>
        </is>
      </c>
      <c r="E475" s="102" t="inlineStr">
        <is>
          <t>Telefonia Fixa e Internet</t>
        </is>
      </c>
      <c r="F475" s="103" t="n">
        <v>130</v>
      </c>
      <c r="G475" s="104" t="inlineStr">
        <is>
          <t>04/2026</t>
        </is>
      </c>
      <c r="H475" s="104" t="inlineStr">
        <is>
          <t>CODI</t>
        </is>
      </c>
    </row>
    <row r="476" ht="15" customHeight="1" s="86">
      <c r="B476" s="101" t="n">
        <v>46113</v>
      </c>
      <c r="C476" s="102" t="inlineStr">
        <is>
          <t>Empréstimos - 04/2026</t>
        </is>
      </c>
      <c r="D476" s="102" t="inlineStr">
        <is>
          <t>Saída</t>
        </is>
      </c>
      <c r="E476" s="102" t="inlineStr">
        <is>
          <t>Empréstimos</t>
        </is>
      </c>
      <c r="F476" s="103" t="n">
        <v>103560.2</v>
      </c>
      <c r="G476" s="104" t="inlineStr">
        <is>
          <t>04/2026</t>
        </is>
      </c>
      <c r="H476" s="104" t="inlineStr">
        <is>
          <t>CODI</t>
        </is>
      </c>
    </row>
    <row r="477" ht="15" customHeight="1" s="86">
      <c r="B477" s="101" t="n">
        <v>46113</v>
      </c>
      <c r="C477" s="102" t="inlineStr">
        <is>
          <t>Manutenção de Imóveis - 04/2026</t>
        </is>
      </c>
      <c r="D477" s="102" t="inlineStr">
        <is>
          <t>Saída</t>
        </is>
      </c>
      <c r="E477" s="102" t="inlineStr">
        <is>
          <t>Manutenção de Imóveis</t>
        </is>
      </c>
      <c r="F477" s="103" t="n">
        <v>28.5</v>
      </c>
      <c r="G477" s="104" t="inlineStr">
        <is>
          <t>04/2026</t>
        </is>
      </c>
      <c r="H477" s="104" t="inlineStr">
        <is>
          <t>CODI</t>
        </is>
      </c>
    </row>
    <row r="478" ht="15" customHeight="1" s="86">
      <c r="B478" s="101" t="n">
        <v>46113</v>
      </c>
      <c r="C478" s="102" t="inlineStr">
        <is>
          <t>Fgts, Gps e Pis - 04/2026</t>
        </is>
      </c>
      <c r="D478" s="102" t="inlineStr">
        <is>
          <t>Saída</t>
        </is>
      </c>
      <c r="E478" s="102" t="inlineStr">
        <is>
          <t>Fgts, Gps e Pis</t>
        </is>
      </c>
      <c r="F478" s="103" t="n">
        <v>3216.94</v>
      </c>
      <c r="G478" s="104" t="inlineStr">
        <is>
          <t>04/2026</t>
        </is>
      </c>
      <c r="H478" s="104" t="inlineStr">
        <is>
          <t>CODI</t>
        </is>
      </c>
    </row>
    <row r="479" ht="15" customHeight="1" s="86">
      <c r="B479" s="101" t="n">
        <v>46113</v>
      </c>
      <c r="C479" s="102" t="inlineStr">
        <is>
          <t>Web Site e Sistema ERP - 04/2026</t>
        </is>
      </c>
      <c r="D479" s="102" t="inlineStr">
        <is>
          <t>Saída</t>
        </is>
      </c>
      <c r="E479" s="102" t="inlineStr">
        <is>
          <t>Web Site e Sistema ERP</t>
        </is>
      </c>
      <c r="F479" s="103" t="n">
        <v>957</v>
      </c>
      <c r="G479" s="104" t="inlineStr">
        <is>
          <t>04/2026</t>
        </is>
      </c>
      <c r="H479" s="104" t="inlineStr">
        <is>
          <t>CODI</t>
        </is>
      </c>
    </row>
    <row r="480" ht="15" customHeight="1" s="86">
      <c r="B480" s="101" t="n">
        <v>46113</v>
      </c>
      <c r="C480" s="102" t="inlineStr">
        <is>
          <t>Material de Copa e Cozinha - 04/2026</t>
        </is>
      </c>
      <c r="D480" s="102" t="inlineStr">
        <is>
          <t>Saída</t>
        </is>
      </c>
      <c r="E480" s="102" t="inlineStr">
        <is>
          <t>Material de Copa e Cozinha</t>
        </is>
      </c>
      <c r="F480" s="103" t="n">
        <v>13.74</v>
      </c>
      <c r="G480" s="104" t="inlineStr">
        <is>
          <t>04/2026</t>
        </is>
      </c>
      <c r="H480" s="104" t="inlineStr">
        <is>
          <t>CODI</t>
        </is>
      </c>
    </row>
    <row r="481" ht="15" customHeight="1" s="86">
      <c r="B481" s="101" t="n">
        <v>46113</v>
      </c>
      <c r="C481" s="102" t="inlineStr">
        <is>
          <t>Juros de Empréstimos - 04/2026</t>
        </is>
      </c>
      <c r="D481" s="102" t="inlineStr">
        <is>
          <t>Saída</t>
        </is>
      </c>
      <c r="E481" s="102" t="inlineStr">
        <is>
          <t>Juros de Empréstimos</t>
        </is>
      </c>
      <c r="F481" s="103" t="n">
        <v>7750</v>
      </c>
      <c r="G481" s="104" t="inlineStr">
        <is>
          <t>04/2026</t>
        </is>
      </c>
      <c r="H481" s="104" t="inlineStr">
        <is>
          <t>CODI</t>
        </is>
      </c>
    </row>
    <row r="482" ht="15" customHeight="1" s="86">
      <c r="B482" s="101" t="n">
        <v>46113</v>
      </c>
      <c r="C482" s="102" t="inlineStr">
        <is>
          <t>Outros Tributos - 04/2026</t>
        </is>
      </c>
      <c r="D482" s="102" t="inlineStr">
        <is>
          <t>Saída</t>
        </is>
      </c>
      <c r="E482" s="102" t="inlineStr">
        <is>
          <t>Outros Tributos</t>
        </is>
      </c>
      <c r="F482" s="103" t="n">
        <v>89.29000000000001</v>
      </c>
      <c r="G482" s="104" t="inlineStr">
        <is>
          <t>04/2026</t>
        </is>
      </c>
      <c r="H482" s="104" t="inlineStr">
        <is>
          <t>CODI</t>
        </is>
      </c>
    </row>
    <row r="483" ht="15" customHeight="1" s="86">
      <c r="B483" s="101" t="n">
        <v>46113</v>
      </c>
      <c r="C483" s="102" t="inlineStr">
        <is>
          <t>Advogados - Honorários - 04/2026</t>
        </is>
      </c>
      <c r="D483" s="102" t="inlineStr">
        <is>
          <t>Saída</t>
        </is>
      </c>
      <c r="E483" s="102" t="inlineStr">
        <is>
          <t>Advogados - Honorários</t>
        </is>
      </c>
      <c r="F483" s="103" t="n">
        <v>2500</v>
      </c>
      <c r="G483" s="104" t="inlineStr">
        <is>
          <t>04/2026</t>
        </is>
      </c>
      <c r="H483" s="104" t="inlineStr">
        <is>
          <t>CODI</t>
        </is>
      </c>
    </row>
    <row r="484" ht="15" customHeight="1" s="86">
      <c r="B484" s="101" t="n">
        <v>46113</v>
      </c>
      <c r="C484" s="102" t="inlineStr">
        <is>
          <t>Assessoria Técnica Profissional - 04/2026</t>
        </is>
      </c>
      <c r="D484" s="102" t="inlineStr">
        <is>
          <t>Saída</t>
        </is>
      </c>
      <c r="E484" s="102" t="inlineStr">
        <is>
          <t>Assessoria Técnica Profissional</t>
        </is>
      </c>
      <c r="F484" s="103" t="n">
        <v>3500</v>
      </c>
      <c r="G484" s="104" t="inlineStr">
        <is>
          <t>04/2026</t>
        </is>
      </c>
      <c r="H484" s="104" t="inlineStr">
        <is>
          <t>CODI</t>
        </is>
      </c>
    </row>
    <row r="485" ht="15" customHeight="1" s="86">
      <c r="B485" s="101" t="n">
        <v>46113</v>
      </c>
      <c r="C485" s="102" t="inlineStr">
        <is>
          <t>Consórcio - 04/2026</t>
        </is>
      </c>
      <c r="D485" s="102" t="inlineStr">
        <is>
          <t>Saída</t>
        </is>
      </c>
      <c r="E485" s="102" t="inlineStr">
        <is>
          <t>Consórcio</t>
        </is>
      </c>
      <c r="F485" s="103" t="n">
        <v>2055.6</v>
      </c>
      <c r="G485" s="104" t="inlineStr">
        <is>
          <t>04/2026</t>
        </is>
      </c>
      <c r="H485" s="104" t="inlineStr">
        <is>
          <t>CODI</t>
        </is>
      </c>
    </row>
    <row r="486" ht="15" customHeight="1" s="86">
      <c r="B486" s="101" t="n">
        <v>46113</v>
      </c>
      <c r="C486" s="102" t="inlineStr">
        <is>
          <t>Retiradas de Sócios - 04/2026</t>
        </is>
      </c>
      <c r="D486" s="102" t="inlineStr">
        <is>
          <t>Saída</t>
        </is>
      </c>
      <c r="E486" s="102" t="inlineStr">
        <is>
          <t>Retiradas de Sócios</t>
        </is>
      </c>
      <c r="F486" s="103" t="n">
        <v>25000</v>
      </c>
      <c r="G486" s="104" t="inlineStr">
        <is>
          <t>04/2026</t>
        </is>
      </c>
      <c r="H486" s="104" t="inlineStr">
        <is>
          <t>CODI</t>
        </is>
      </c>
    </row>
    <row r="487" ht="15" customHeight="1" s="86">
      <c r="B487" s="101" t="n">
        <v>46113</v>
      </c>
      <c r="C487" s="102" t="inlineStr">
        <is>
          <t>Tráfego/Social Mídia - 04/2026</t>
        </is>
      </c>
      <c r="D487" s="102" t="inlineStr">
        <is>
          <t>Saída</t>
        </is>
      </c>
      <c r="E487" s="102" t="inlineStr">
        <is>
          <t>Tráfego/Social Mídia</t>
        </is>
      </c>
      <c r="F487" s="103" t="n">
        <v>2147</v>
      </c>
      <c r="G487" s="104" t="inlineStr">
        <is>
          <t>04/2026</t>
        </is>
      </c>
      <c r="H487" s="104" t="inlineStr">
        <is>
          <t>CODI</t>
        </is>
      </c>
    </row>
    <row r="488" ht="15" customHeight="1" s="86">
      <c r="B488" s="101" t="n">
        <v>46143</v>
      </c>
      <c r="C488" s="102" t="inlineStr">
        <is>
          <t>Vendas - 05/2026</t>
        </is>
      </c>
      <c r="D488" s="102" t="inlineStr">
        <is>
          <t>Entrada</t>
        </is>
      </c>
      <c r="E488" s="102" t="inlineStr">
        <is>
          <t>Vendas</t>
        </is>
      </c>
      <c r="F488" s="103" t="n">
        <v>582637.02</v>
      </c>
      <c r="G488" s="104" t="inlineStr">
        <is>
          <t>05/2026</t>
        </is>
      </c>
      <c r="H488" s="104" t="inlineStr">
        <is>
          <t>CODI</t>
        </is>
      </c>
    </row>
    <row r="489" ht="15" customHeight="1" s="86">
      <c r="B489" s="101" t="n">
        <v>46143</v>
      </c>
      <c r="C489" s="102" t="inlineStr">
        <is>
          <t>Aluguéis e Condomínios - 05/2026</t>
        </is>
      </c>
      <c r="D489" s="102" t="inlineStr">
        <is>
          <t>Saída</t>
        </is>
      </c>
      <c r="E489" s="102" t="inlineStr">
        <is>
          <t>Aluguéis e Condomínios</t>
        </is>
      </c>
      <c r="F489" s="103" t="n">
        <v>8100</v>
      </c>
      <c r="G489" s="104" t="inlineStr">
        <is>
          <t>05/2026</t>
        </is>
      </c>
      <c r="H489" s="104" t="inlineStr">
        <is>
          <t>CODI</t>
        </is>
      </c>
    </row>
    <row r="490" ht="15" customHeight="1" s="86">
      <c r="B490" s="101" t="n">
        <v>46143</v>
      </c>
      <c r="C490" s="102" t="inlineStr">
        <is>
          <t>Salário e Ordenados - 05/2026</t>
        </is>
      </c>
      <c r="D490" s="102" t="inlineStr">
        <is>
          <t>Saída</t>
        </is>
      </c>
      <c r="E490" s="102" t="inlineStr">
        <is>
          <t>Salário e Ordenados</t>
        </is>
      </c>
      <c r="F490" s="103" t="n">
        <v>31560.15</v>
      </c>
      <c r="G490" s="104" t="inlineStr">
        <is>
          <t>05/2026</t>
        </is>
      </c>
      <c r="H490" s="104" t="inlineStr">
        <is>
          <t>CODI</t>
        </is>
      </c>
    </row>
    <row r="491" ht="15" customHeight="1" s="86">
      <c r="B491" s="101" t="n">
        <v>46143</v>
      </c>
      <c r="C491" s="102" t="inlineStr">
        <is>
          <t>Vales e Adiantamentos - 05/2026</t>
        </is>
      </c>
      <c r="D491" s="102" t="inlineStr">
        <is>
          <t>Saída</t>
        </is>
      </c>
      <c r="E491" s="102" t="inlineStr">
        <is>
          <t>Vales e Adiantamentos</t>
        </is>
      </c>
      <c r="F491" s="103" t="n">
        <v>2850.01</v>
      </c>
      <c r="G491" s="104" t="inlineStr">
        <is>
          <t>05/2026</t>
        </is>
      </c>
      <c r="H491" s="104" t="inlineStr">
        <is>
          <t>CODI</t>
        </is>
      </c>
    </row>
    <row r="492" ht="15" customHeight="1" s="86">
      <c r="B492" s="101" t="n">
        <v>46143</v>
      </c>
      <c r="C492" s="102" t="inlineStr">
        <is>
          <t>Férias - 05/2026</t>
        </is>
      </c>
      <c r="D492" s="102" t="inlineStr">
        <is>
          <t>Saída</t>
        </is>
      </c>
      <c r="E492" s="102" t="inlineStr">
        <is>
          <t>Férias</t>
        </is>
      </c>
      <c r="F492" s="103" t="n">
        <v>2903.47</v>
      </c>
      <c r="G492" s="104" t="inlineStr">
        <is>
          <t>05/2026</t>
        </is>
      </c>
      <c r="H492" s="104" t="inlineStr">
        <is>
          <t>CODI</t>
        </is>
      </c>
    </row>
    <row r="493" ht="15" customHeight="1" s="86">
      <c r="B493" s="101" t="n">
        <v>46143</v>
      </c>
      <c r="C493" s="102" t="inlineStr">
        <is>
          <t>Frete e Transporte de Mercadorias - 05/2026</t>
        </is>
      </c>
      <c r="D493" s="102" t="inlineStr">
        <is>
          <t>Saída</t>
        </is>
      </c>
      <c r="E493" s="102" t="inlineStr">
        <is>
          <t>Frete e Transporte de Mercadorias</t>
        </is>
      </c>
      <c r="F493" s="103" t="n">
        <v>5873.77</v>
      </c>
      <c r="G493" s="104" t="inlineStr">
        <is>
          <t>05/2026</t>
        </is>
      </c>
      <c r="H493" s="104" t="inlineStr">
        <is>
          <t>CODI</t>
        </is>
      </c>
    </row>
    <row r="494" ht="15" customHeight="1" s="86">
      <c r="B494" s="101" t="n">
        <v>46143</v>
      </c>
      <c r="C494" s="102" t="inlineStr">
        <is>
          <t>Seguros - 05/2026</t>
        </is>
      </c>
      <c r="D494" s="102" t="inlineStr">
        <is>
          <t>Saída</t>
        </is>
      </c>
      <c r="E494" s="102" t="inlineStr">
        <is>
          <t>Seguros</t>
        </is>
      </c>
      <c r="F494" s="103" t="n">
        <v>1198.14</v>
      </c>
      <c r="G494" s="104" t="inlineStr">
        <is>
          <t>05/2026</t>
        </is>
      </c>
      <c r="H494" s="104" t="inlineStr">
        <is>
          <t>CODI</t>
        </is>
      </c>
    </row>
    <row r="495" ht="15" customHeight="1" s="86">
      <c r="B495" s="101" t="n">
        <v>46143</v>
      </c>
      <c r="C495" s="102" t="inlineStr">
        <is>
          <t>Segurança e Monitoramento - 05/2026</t>
        </is>
      </c>
      <c r="D495" s="102" t="inlineStr">
        <is>
          <t>Saída</t>
        </is>
      </c>
      <c r="E495" s="102" t="inlineStr">
        <is>
          <t>Segurança e Monitoramento</t>
        </is>
      </c>
      <c r="F495" s="103" t="n">
        <v>248</v>
      </c>
      <c r="G495" s="104" t="inlineStr">
        <is>
          <t>05/2026</t>
        </is>
      </c>
      <c r="H495" s="104" t="inlineStr">
        <is>
          <t>CODI</t>
        </is>
      </c>
    </row>
    <row r="496" ht="15" customHeight="1" s="86">
      <c r="B496" s="101" t="n">
        <v>46143</v>
      </c>
      <c r="C496" s="102" t="inlineStr">
        <is>
          <t>Vale Transporte - 05/2026</t>
        </is>
      </c>
      <c r="D496" s="102" t="inlineStr">
        <is>
          <t>Saída</t>
        </is>
      </c>
      <c r="E496" s="102" t="inlineStr">
        <is>
          <t>Vale Transporte</t>
        </is>
      </c>
      <c r="F496" s="103" t="n">
        <v>2000</v>
      </c>
      <c r="G496" s="104" t="inlineStr">
        <is>
          <t>05/2026</t>
        </is>
      </c>
      <c r="H496" s="104" t="inlineStr">
        <is>
          <t>CODI</t>
        </is>
      </c>
    </row>
    <row r="497" ht="15" customHeight="1" s="86">
      <c r="B497" s="101" t="n">
        <v>46143</v>
      </c>
      <c r="C497" s="102" t="inlineStr">
        <is>
          <t>Publicidade - 05/2026</t>
        </is>
      </c>
      <c r="D497" s="102" t="inlineStr">
        <is>
          <t>Saída</t>
        </is>
      </c>
      <c r="E497" s="102" t="inlineStr">
        <is>
          <t>Publicidade</t>
        </is>
      </c>
      <c r="F497" s="103" t="n">
        <v>3300</v>
      </c>
      <c r="G497" s="104" t="inlineStr">
        <is>
          <t>05/2026</t>
        </is>
      </c>
      <c r="H497" s="104" t="inlineStr">
        <is>
          <t>CODI</t>
        </is>
      </c>
    </row>
    <row r="498" ht="15" customHeight="1" s="86">
      <c r="B498" s="101" t="n">
        <v>46143</v>
      </c>
      <c r="C498" s="102" t="inlineStr">
        <is>
          <t>Energia Elétrica - 05/2026</t>
        </is>
      </c>
      <c r="D498" s="102" t="inlineStr">
        <is>
          <t>Saída</t>
        </is>
      </c>
      <c r="E498" s="102" t="inlineStr">
        <is>
          <t>Energia Elétrica</t>
        </is>
      </c>
      <c r="F498" s="103" t="n">
        <v>116.38</v>
      </c>
      <c r="G498" s="104" t="inlineStr">
        <is>
          <t>05/2026</t>
        </is>
      </c>
      <c r="H498" s="104" t="inlineStr">
        <is>
          <t>CODI</t>
        </is>
      </c>
    </row>
    <row r="499" ht="15" customHeight="1" s="86">
      <c r="B499" s="101" t="n">
        <v>46143</v>
      </c>
      <c r="C499" s="102" t="inlineStr">
        <is>
          <t>Água - 05/2026</t>
        </is>
      </c>
      <c r="D499" s="102" t="inlineStr">
        <is>
          <t>Saída</t>
        </is>
      </c>
      <c r="E499" s="102" t="inlineStr">
        <is>
          <t>Água</t>
        </is>
      </c>
      <c r="F499" s="103" t="n">
        <v>242.88</v>
      </c>
      <c r="G499" s="104" t="inlineStr">
        <is>
          <t>05/2026</t>
        </is>
      </c>
      <c r="H499" s="104" t="inlineStr">
        <is>
          <t>CODI</t>
        </is>
      </c>
    </row>
    <row r="500" ht="15" customHeight="1" s="86">
      <c r="B500" s="101" t="n">
        <v>46143</v>
      </c>
      <c r="C500" s="102" t="inlineStr">
        <is>
          <t>Custo de Mercadoria Vendida - 05/2026</t>
        </is>
      </c>
      <c r="D500" s="102" t="inlineStr">
        <is>
          <t>Saída</t>
        </is>
      </c>
      <c r="E500" s="102" t="inlineStr">
        <is>
          <t>Custo de Mercadoria Vendida</t>
        </is>
      </c>
      <c r="F500" s="103" t="n">
        <v>395423.3</v>
      </c>
      <c r="G500" s="104" t="inlineStr">
        <is>
          <t>05/2026</t>
        </is>
      </c>
      <c r="H500" s="104" t="inlineStr">
        <is>
          <t>CODI</t>
        </is>
      </c>
    </row>
    <row r="501" ht="15" customHeight="1" s="86">
      <c r="B501" s="101" t="n">
        <v>46143</v>
      </c>
      <c r="C501" s="102" t="inlineStr">
        <is>
          <t>Darf - 05/2026</t>
        </is>
      </c>
      <c r="D501" s="102" t="inlineStr">
        <is>
          <t>Saída</t>
        </is>
      </c>
      <c r="E501" s="102" t="inlineStr">
        <is>
          <t>Darf</t>
        </is>
      </c>
      <c r="F501" s="103" t="n">
        <v>1153.94</v>
      </c>
      <c r="G501" s="104" t="inlineStr">
        <is>
          <t>05/2026</t>
        </is>
      </c>
      <c r="H501" s="104" t="inlineStr">
        <is>
          <t>CODI</t>
        </is>
      </c>
    </row>
    <row r="502" ht="15" customHeight="1" s="86">
      <c r="B502" s="101" t="n">
        <v>46143</v>
      </c>
      <c r="C502" s="102" t="inlineStr">
        <is>
          <t>Honorários Contábeis (Contabilidade) - 05/2026</t>
        </is>
      </c>
      <c r="D502" s="102" t="inlineStr">
        <is>
          <t>Saída</t>
        </is>
      </c>
      <c r="E502" s="102" t="inlineStr">
        <is>
          <t>Honorários Contábeis (Contabilidade)</t>
        </is>
      </c>
      <c r="F502" s="103" t="n">
        <v>1100</v>
      </c>
      <c r="G502" s="104" t="inlineStr">
        <is>
          <t>05/2026</t>
        </is>
      </c>
      <c r="H502" s="104" t="inlineStr">
        <is>
          <t>CODI</t>
        </is>
      </c>
    </row>
    <row r="503" ht="15" customHeight="1" s="86">
      <c r="B503" s="101" t="n">
        <v>46143</v>
      </c>
      <c r="C503" s="102" t="inlineStr">
        <is>
          <t>Outras Despesas - 05/2026</t>
        </is>
      </c>
      <c r="D503" s="102" t="inlineStr">
        <is>
          <t>Saída</t>
        </is>
      </c>
      <c r="E503" s="102" t="inlineStr">
        <is>
          <t>Outras Despesas</t>
        </is>
      </c>
      <c r="F503" s="103" t="n">
        <v>100</v>
      </c>
      <c r="G503" s="104" t="inlineStr">
        <is>
          <t>05/2026</t>
        </is>
      </c>
      <c r="H503" s="104" t="inlineStr">
        <is>
          <t>CODI</t>
        </is>
      </c>
    </row>
    <row r="504" ht="15" customHeight="1" s="86">
      <c r="B504" s="101" t="n">
        <v>46143</v>
      </c>
      <c r="C504" s="102" t="inlineStr">
        <is>
          <t>Alimentação - 05/2026</t>
        </is>
      </c>
      <c r="D504" s="102" t="inlineStr">
        <is>
          <t>Saída</t>
        </is>
      </c>
      <c r="E504" s="102" t="inlineStr">
        <is>
          <t>Alimentação</t>
        </is>
      </c>
      <c r="F504" s="103" t="n">
        <v>202</v>
      </c>
      <c r="G504" s="104" t="inlineStr">
        <is>
          <t>05/2026</t>
        </is>
      </c>
      <c r="H504" s="104" t="inlineStr">
        <is>
          <t>CODI</t>
        </is>
      </c>
    </row>
    <row r="505" ht="15" customHeight="1" s="86">
      <c r="B505" s="101" t="n">
        <v>46143</v>
      </c>
      <c r="C505" s="102" t="inlineStr">
        <is>
          <t>Combustíveis - 05/2026</t>
        </is>
      </c>
      <c r="D505" s="102" t="inlineStr">
        <is>
          <t>Saída</t>
        </is>
      </c>
      <c r="E505" s="102" t="inlineStr">
        <is>
          <t>Combustíveis</t>
        </is>
      </c>
      <c r="F505" s="103" t="n">
        <v>967.75</v>
      </c>
      <c r="G505" s="104" t="inlineStr">
        <is>
          <t>05/2026</t>
        </is>
      </c>
      <c r="H505" s="104" t="inlineStr">
        <is>
          <t>CODI</t>
        </is>
      </c>
    </row>
    <row r="506" ht="15" customHeight="1" s="86">
      <c r="B506" s="101" t="n">
        <v>46143</v>
      </c>
      <c r="C506" s="102" t="inlineStr">
        <is>
          <t>Manutenção de Máquinas e Peças - 05/2026</t>
        </is>
      </c>
      <c r="D506" s="102" t="inlineStr">
        <is>
          <t>Saída</t>
        </is>
      </c>
      <c r="E506" s="102" t="inlineStr">
        <is>
          <t>Manutenção de Máquinas e Peças</t>
        </is>
      </c>
      <c r="F506" s="103" t="n">
        <v>600</v>
      </c>
      <c r="G506" s="104" t="inlineStr">
        <is>
          <t>05/2026</t>
        </is>
      </c>
      <c r="H506" s="104" t="inlineStr">
        <is>
          <t>CODI</t>
        </is>
      </c>
    </row>
    <row r="507" ht="15" customHeight="1" s="86">
      <c r="B507" s="101" t="n">
        <v>46143</v>
      </c>
      <c r="C507" s="102" t="inlineStr">
        <is>
          <t>Telefonia Móvel - 05/2026</t>
        </is>
      </c>
      <c r="D507" s="102" t="inlineStr">
        <is>
          <t>Saída</t>
        </is>
      </c>
      <c r="E507" s="102" t="inlineStr">
        <is>
          <t>Telefonia Móvel</t>
        </is>
      </c>
      <c r="F507" s="103" t="n">
        <v>90</v>
      </c>
      <c r="G507" s="104" t="inlineStr">
        <is>
          <t>05/2026</t>
        </is>
      </c>
      <c r="H507" s="104" t="inlineStr">
        <is>
          <t>CODI</t>
        </is>
      </c>
    </row>
    <row r="508" ht="15" customHeight="1" s="86">
      <c r="B508" s="101" t="n">
        <v>46143</v>
      </c>
      <c r="C508" s="102" t="inlineStr">
        <is>
          <t>Manutenção de Veiculos e Estacionamento - 05/2026</t>
        </is>
      </c>
      <c r="D508" s="102" t="inlineStr">
        <is>
          <t>Saída</t>
        </is>
      </c>
      <c r="E508" s="102" t="inlineStr">
        <is>
          <t>Manutenção de Veiculos e Estacionamento</t>
        </is>
      </c>
      <c r="F508" s="103" t="n">
        <v>155</v>
      </c>
      <c r="G508" s="104" t="inlineStr">
        <is>
          <t>05/2026</t>
        </is>
      </c>
      <c r="H508" s="104" t="inlineStr">
        <is>
          <t>CODI</t>
        </is>
      </c>
    </row>
    <row r="509" ht="15" customHeight="1" s="86">
      <c r="B509" s="101" t="n">
        <v>46143</v>
      </c>
      <c r="C509" s="102" t="inlineStr">
        <is>
          <t>Consulta de Crédito Cliente - 05/2026</t>
        </is>
      </c>
      <c r="D509" s="102" t="inlineStr">
        <is>
          <t>Saída</t>
        </is>
      </c>
      <c r="E509" s="102" t="inlineStr">
        <is>
          <t>Consulta de Crédito Cliente</t>
        </is>
      </c>
      <c r="F509" s="103" t="n">
        <v>404.49</v>
      </c>
      <c r="G509" s="104" t="inlineStr">
        <is>
          <t>05/2026</t>
        </is>
      </c>
      <c r="H509" s="104" t="inlineStr">
        <is>
          <t>CODI</t>
        </is>
      </c>
    </row>
    <row r="510" ht="15" customHeight="1" s="86">
      <c r="B510" s="101" t="n">
        <v>46143</v>
      </c>
      <c r="C510" s="102" t="inlineStr">
        <is>
          <t>Telefonia Fixa e Internet - 05/2026</t>
        </is>
      </c>
      <c r="D510" s="102" t="inlineStr">
        <is>
          <t>Saída</t>
        </is>
      </c>
      <c r="E510" s="102" t="inlineStr">
        <is>
          <t>Telefonia Fixa e Internet</t>
        </is>
      </c>
      <c r="F510" s="103" t="n">
        <v>130</v>
      </c>
      <c r="G510" s="104" t="inlineStr">
        <is>
          <t>05/2026</t>
        </is>
      </c>
      <c r="H510" s="104" t="inlineStr">
        <is>
          <t>CODI</t>
        </is>
      </c>
    </row>
    <row r="511" ht="15" customHeight="1" s="86">
      <c r="B511" s="101" t="n">
        <v>46143</v>
      </c>
      <c r="C511" s="102" t="inlineStr">
        <is>
          <t>Empréstimos - 05/2026</t>
        </is>
      </c>
      <c r="D511" s="102" t="inlineStr">
        <is>
          <t>Saída</t>
        </is>
      </c>
      <c r="E511" s="102" t="inlineStr">
        <is>
          <t>Empréstimos</t>
        </is>
      </c>
      <c r="F511" s="103" t="n">
        <v>103771.9</v>
      </c>
      <c r="G511" s="104" t="inlineStr">
        <is>
          <t>05/2026</t>
        </is>
      </c>
      <c r="H511" s="104" t="inlineStr">
        <is>
          <t>CODI</t>
        </is>
      </c>
    </row>
    <row r="512" ht="15" customHeight="1" s="86">
      <c r="B512" s="101" t="n">
        <v>46143</v>
      </c>
      <c r="C512" s="102" t="inlineStr">
        <is>
          <t>Material de Escritório - 05/2026</t>
        </is>
      </c>
      <c r="D512" s="102" t="inlineStr">
        <is>
          <t>Saída</t>
        </is>
      </c>
      <c r="E512" s="102" t="inlineStr">
        <is>
          <t>Material de Escritório</t>
        </is>
      </c>
      <c r="F512" s="103" t="n">
        <v>243.88</v>
      </c>
      <c r="G512" s="104" t="inlineStr">
        <is>
          <t>05/2026</t>
        </is>
      </c>
      <c r="H512" s="104" t="inlineStr">
        <is>
          <t>CODI</t>
        </is>
      </c>
    </row>
    <row r="513" ht="15" customHeight="1" s="86">
      <c r="B513" s="101" t="n">
        <v>46143</v>
      </c>
      <c r="C513" s="102" t="inlineStr">
        <is>
          <t>Manutenção de Imóveis - 05/2026</t>
        </is>
      </c>
      <c r="D513" s="102" t="inlineStr">
        <is>
          <t>Saída</t>
        </is>
      </c>
      <c r="E513" s="102" t="inlineStr">
        <is>
          <t>Manutenção de Imóveis</t>
        </is>
      </c>
      <c r="F513" s="103" t="n">
        <v>1905</v>
      </c>
      <c r="G513" s="104" t="inlineStr">
        <is>
          <t>05/2026</t>
        </is>
      </c>
      <c r="H513" s="104" t="inlineStr">
        <is>
          <t>CODI</t>
        </is>
      </c>
    </row>
    <row r="514" ht="15" customHeight="1" s="86">
      <c r="B514" s="101" t="n">
        <v>46143</v>
      </c>
      <c r="C514" s="102" t="inlineStr">
        <is>
          <t>Fgts, Gps e Pis - 05/2026</t>
        </is>
      </c>
      <c r="D514" s="102" t="inlineStr">
        <is>
          <t>Saída</t>
        </is>
      </c>
      <c r="E514" s="102" t="inlineStr">
        <is>
          <t>Fgts, Gps e Pis</t>
        </is>
      </c>
      <c r="F514" s="103" t="n">
        <v>3992.67</v>
      </c>
      <c r="G514" s="104" t="inlineStr">
        <is>
          <t>05/2026</t>
        </is>
      </c>
      <c r="H514" s="104" t="inlineStr">
        <is>
          <t>CODI</t>
        </is>
      </c>
    </row>
    <row r="515" ht="15" customHeight="1" s="86">
      <c r="B515" s="101" t="n">
        <v>46143</v>
      </c>
      <c r="C515" s="102" t="inlineStr">
        <is>
          <t>Gasto com Reforma - 05/2026</t>
        </is>
      </c>
      <c r="D515" s="102" t="inlineStr">
        <is>
          <t>Saída</t>
        </is>
      </c>
      <c r="E515" s="102" t="inlineStr">
        <is>
          <t>Gasto com Reforma</t>
        </is>
      </c>
      <c r="F515" s="103" t="n">
        <v>495</v>
      </c>
      <c r="G515" s="104" t="inlineStr">
        <is>
          <t>05/2026</t>
        </is>
      </c>
      <c r="H515" s="104" t="inlineStr">
        <is>
          <t>CODI</t>
        </is>
      </c>
    </row>
    <row r="516" ht="15" customHeight="1" s="86">
      <c r="B516" s="101" t="n">
        <v>46143</v>
      </c>
      <c r="C516" s="102" t="inlineStr">
        <is>
          <t>Web Site e Sistema ERP - 05/2026</t>
        </is>
      </c>
      <c r="D516" s="102" t="inlineStr">
        <is>
          <t>Saída</t>
        </is>
      </c>
      <c r="E516" s="102" t="inlineStr">
        <is>
          <t>Web Site e Sistema ERP</t>
        </is>
      </c>
      <c r="F516" s="103" t="n">
        <v>1456.4</v>
      </c>
      <c r="G516" s="104" t="inlineStr">
        <is>
          <t>05/2026</t>
        </is>
      </c>
      <c r="H516" s="104" t="inlineStr">
        <is>
          <t>CODI</t>
        </is>
      </c>
    </row>
    <row r="517" ht="15" customHeight="1" s="86">
      <c r="B517" s="101" t="n">
        <v>46143</v>
      </c>
      <c r="C517" s="102" t="inlineStr">
        <is>
          <t>Outros Tributos - 05/2026</t>
        </is>
      </c>
      <c r="D517" s="102" t="inlineStr">
        <is>
          <t>Saída</t>
        </is>
      </c>
      <c r="E517" s="102" t="inlineStr">
        <is>
          <t>Outros Tributos</t>
        </is>
      </c>
      <c r="F517" s="103" t="n">
        <v>24.22</v>
      </c>
      <c r="G517" s="104" t="inlineStr">
        <is>
          <t>05/2026</t>
        </is>
      </c>
      <c r="H517" s="104" t="inlineStr">
        <is>
          <t>CODI</t>
        </is>
      </c>
    </row>
    <row r="518" ht="15" customHeight="1" s="86">
      <c r="B518" s="101" t="n">
        <v>46143</v>
      </c>
      <c r="C518" s="102" t="inlineStr">
        <is>
          <t>Advogados - Honorários - 05/2026</t>
        </is>
      </c>
      <c r="D518" s="102" t="inlineStr">
        <is>
          <t>Saída</t>
        </is>
      </c>
      <c r="E518" s="102" t="inlineStr">
        <is>
          <t>Advogados - Honorários</t>
        </is>
      </c>
      <c r="F518" s="103" t="n">
        <v>2500</v>
      </c>
      <c r="G518" s="104" t="inlineStr">
        <is>
          <t>05/2026</t>
        </is>
      </c>
      <c r="H518" s="104" t="inlineStr">
        <is>
          <t>CODI</t>
        </is>
      </c>
    </row>
    <row r="519" ht="15" customHeight="1" s="86">
      <c r="B519" s="101" t="n">
        <v>46143</v>
      </c>
      <c r="C519" s="102" t="inlineStr">
        <is>
          <t>Assessoria Técnica Profissional - 05/2026</t>
        </is>
      </c>
      <c r="D519" s="102" t="inlineStr">
        <is>
          <t>Saída</t>
        </is>
      </c>
      <c r="E519" s="102" t="inlineStr">
        <is>
          <t>Assessoria Técnica Profissional</t>
        </is>
      </c>
      <c r="F519" s="103" t="n">
        <v>3500</v>
      </c>
      <c r="G519" s="104" t="inlineStr">
        <is>
          <t>05/2026</t>
        </is>
      </c>
      <c r="H519" s="104" t="inlineStr">
        <is>
          <t>CODI</t>
        </is>
      </c>
    </row>
    <row r="520" ht="15" customHeight="1" s="86">
      <c r="B520" s="101" t="n">
        <v>46143</v>
      </c>
      <c r="C520" s="102" t="inlineStr">
        <is>
          <t>Consórcio - 05/2026</t>
        </is>
      </c>
      <c r="D520" s="102" t="inlineStr">
        <is>
          <t>Saída</t>
        </is>
      </c>
      <c r="E520" s="102" t="inlineStr">
        <is>
          <t>Consórcio</t>
        </is>
      </c>
      <c r="F520" s="103" t="n">
        <v>2077.21</v>
      </c>
      <c r="G520" s="104" t="inlineStr">
        <is>
          <t>05/2026</t>
        </is>
      </c>
      <c r="H520" s="104" t="inlineStr">
        <is>
          <t>CODI</t>
        </is>
      </c>
    </row>
    <row r="521" ht="15" customHeight="1" s="86">
      <c r="B521" s="101" t="n">
        <v>46143</v>
      </c>
      <c r="C521" s="102" t="inlineStr">
        <is>
          <t>Retiradas de Sócios - 05/2026</t>
        </is>
      </c>
      <c r="D521" s="102" t="inlineStr">
        <is>
          <t>Saída</t>
        </is>
      </c>
      <c r="E521" s="102" t="inlineStr">
        <is>
          <t>Retiradas de Sócios</t>
        </is>
      </c>
      <c r="F521" s="103" t="n">
        <v>25000</v>
      </c>
      <c r="G521" s="104" t="inlineStr">
        <is>
          <t>05/2026</t>
        </is>
      </c>
      <c r="H521" s="104" t="inlineStr">
        <is>
          <t>CODI</t>
        </is>
      </c>
    </row>
    <row r="522" ht="15" customHeight="1" s="86">
      <c r="B522" s="101" t="n">
        <v>46143</v>
      </c>
      <c r="C522" s="102" t="inlineStr">
        <is>
          <t>Tráfego/Social Mídia - 05/2026</t>
        </is>
      </c>
      <c r="D522" s="102" t="inlineStr">
        <is>
          <t>Saída</t>
        </is>
      </c>
      <c r="E522" s="102" t="inlineStr">
        <is>
          <t>Tráfego/Social Mídia</t>
        </is>
      </c>
      <c r="F522" s="103" t="n">
        <v>6721.75</v>
      </c>
      <c r="G522" s="104" t="inlineStr">
        <is>
          <t>05/2026</t>
        </is>
      </c>
      <c r="H522" s="104" t="inlineStr">
        <is>
          <t>CODI</t>
        </is>
      </c>
    </row>
    <row r="523" ht="15" customHeight="1" s="86">
      <c r="B523" s="101" t="n">
        <v>46143</v>
      </c>
      <c r="C523" s="102" t="inlineStr">
        <is>
          <t>ICMS - 05/2026</t>
        </is>
      </c>
      <c r="D523" s="102" t="inlineStr">
        <is>
          <t>Saída</t>
        </is>
      </c>
      <c r="E523" s="102" t="inlineStr">
        <is>
          <t>ICMS</t>
        </is>
      </c>
      <c r="F523" s="103" t="n">
        <v>130.21</v>
      </c>
      <c r="G523" s="104" t="inlineStr">
        <is>
          <t>05/2026</t>
        </is>
      </c>
      <c r="H523" s="104" t="inlineStr">
        <is>
          <t>CODI</t>
        </is>
      </c>
    </row>
    <row r="524" ht="15" customHeight="1" s="86">
      <c r="B524" s="101" t="n">
        <v>46143</v>
      </c>
      <c r="C524" s="102" t="inlineStr">
        <is>
          <t>Empréstimos a Terceiros - 05/2026</t>
        </is>
      </c>
      <c r="D524" s="102" t="inlineStr">
        <is>
          <t>Saída</t>
        </is>
      </c>
      <c r="E524" s="102" t="inlineStr">
        <is>
          <t>Empréstimos a Terceiros</t>
        </is>
      </c>
      <c r="F524" s="103" t="n">
        <v>7750</v>
      </c>
      <c r="G524" s="104" t="inlineStr">
        <is>
          <t>05/2026</t>
        </is>
      </c>
      <c r="H524" s="104" t="inlineStr">
        <is>
          <t>CODI</t>
        </is>
      </c>
    </row>
    <row r="525" ht="15" customHeight="1" s="86">
      <c r="B525" s="101" t="n">
        <v>46174</v>
      </c>
      <c r="C525" s="102" t="inlineStr">
        <is>
          <t>Vendas - 06/2026</t>
        </is>
      </c>
      <c r="D525" s="102" t="inlineStr">
        <is>
          <t>Entrada</t>
        </is>
      </c>
      <c r="E525" s="102" t="inlineStr">
        <is>
          <t>Vendas</t>
        </is>
      </c>
      <c r="F525" s="103" t="n">
        <v>534293.85</v>
      </c>
      <c r="G525" s="104" t="inlineStr">
        <is>
          <t>06/2026</t>
        </is>
      </c>
      <c r="H525" s="104" t="inlineStr">
        <is>
          <t>CODI</t>
        </is>
      </c>
    </row>
    <row r="526" ht="15" customHeight="1" s="86">
      <c r="B526" s="101" t="n">
        <v>46174</v>
      </c>
      <c r="C526" s="102" t="inlineStr">
        <is>
          <t>Salário e Ordenados - 06/2026</t>
        </is>
      </c>
      <c r="D526" s="102" t="inlineStr">
        <is>
          <t>Saída</t>
        </is>
      </c>
      <c r="E526" s="102" t="inlineStr">
        <is>
          <t>Salário e Ordenados</t>
        </is>
      </c>
      <c r="F526" s="103" t="n">
        <v>29390.14</v>
      </c>
      <c r="G526" s="104" t="inlineStr">
        <is>
          <t>06/2026</t>
        </is>
      </c>
      <c r="H526" s="104" t="inlineStr">
        <is>
          <t>CODI</t>
        </is>
      </c>
    </row>
    <row r="527" ht="15" customHeight="1" s="86">
      <c r="B527" s="101" t="n">
        <v>46174</v>
      </c>
      <c r="C527" s="102" t="inlineStr">
        <is>
          <t>Vales e Adiantamentos - 06/2026</t>
        </is>
      </c>
      <c r="D527" s="102" t="inlineStr">
        <is>
          <t>Saída</t>
        </is>
      </c>
      <c r="E527" s="102" t="inlineStr">
        <is>
          <t>Vales e Adiantamentos</t>
        </is>
      </c>
      <c r="F527" s="103" t="n">
        <v>3250</v>
      </c>
      <c r="G527" s="104" t="inlineStr">
        <is>
          <t>06/2026</t>
        </is>
      </c>
      <c r="H527" s="104" t="inlineStr">
        <is>
          <t>CODI</t>
        </is>
      </c>
    </row>
    <row r="528" ht="15" customHeight="1" s="86">
      <c r="B528" s="101" t="n">
        <v>46174</v>
      </c>
      <c r="C528" s="102" t="inlineStr">
        <is>
          <t>Seguros - 06/2026</t>
        </is>
      </c>
      <c r="D528" s="102" t="inlineStr">
        <is>
          <t>Saída</t>
        </is>
      </c>
      <c r="E528" s="102" t="inlineStr">
        <is>
          <t>Seguros</t>
        </is>
      </c>
      <c r="F528" s="103" t="n">
        <v>1198.14</v>
      </c>
      <c r="G528" s="104" t="inlineStr">
        <is>
          <t>06/2026</t>
        </is>
      </c>
      <c r="H528" s="104" t="inlineStr">
        <is>
          <t>CODI</t>
        </is>
      </c>
    </row>
    <row r="529" ht="15" customHeight="1" s="86">
      <c r="B529" s="101" t="n">
        <v>46174</v>
      </c>
      <c r="C529" s="102" t="inlineStr">
        <is>
          <t>Segurança e Monitoramento - 06/2026</t>
        </is>
      </c>
      <c r="D529" s="102" t="inlineStr">
        <is>
          <t>Saída</t>
        </is>
      </c>
      <c r="E529" s="102" t="inlineStr">
        <is>
          <t>Segurança e Monitoramento</t>
        </is>
      </c>
      <c r="F529" s="103" t="n">
        <v>248</v>
      </c>
      <c r="G529" s="104" t="inlineStr">
        <is>
          <t>06/2026</t>
        </is>
      </c>
      <c r="H529" s="104" t="inlineStr">
        <is>
          <t>CODI</t>
        </is>
      </c>
    </row>
    <row r="530" ht="15" customHeight="1" s="86">
      <c r="B530" s="101" t="n">
        <v>46174</v>
      </c>
      <c r="C530" s="102" t="inlineStr">
        <is>
          <t>Vale Transporte - 06/2026</t>
        </is>
      </c>
      <c r="D530" s="102" t="inlineStr">
        <is>
          <t>Saída</t>
        </is>
      </c>
      <c r="E530" s="102" t="inlineStr">
        <is>
          <t>Vale Transporte</t>
        </is>
      </c>
      <c r="F530" s="103" t="n">
        <v>2400</v>
      </c>
      <c r="G530" s="104" t="inlineStr">
        <is>
          <t>06/2026</t>
        </is>
      </c>
      <c r="H530" s="104" t="inlineStr">
        <is>
          <t>CODI</t>
        </is>
      </c>
    </row>
    <row r="531" ht="15" customHeight="1" s="86">
      <c r="B531" s="101" t="n">
        <v>46174</v>
      </c>
      <c r="C531" s="102" t="inlineStr">
        <is>
          <t>Energia Elétrica - 06/2026</t>
        </is>
      </c>
      <c r="D531" s="102" t="inlineStr">
        <is>
          <t>Saída</t>
        </is>
      </c>
      <c r="E531" s="102" t="inlineStr">
        <is>
          <t>Energia Elétrica</t>
        </is>
      </c>
      <c r="F531" s="103" t="n">
        <v>450</v>
      </c>
      <c r="G531" s="104" t="inlineStr">
        <is>
          <t>06/2026</t>
        </is>
      </c>
      <c r="H531" s="104" t="inlineStr">
        <is>
          <t>CODI</t>
        </is>
      </c>
    </row>
    <row r="532" ht="15" customHeight="1" s="86">
      <c r="B532" s="101" t="n">
        <v>46174</v>
      </c>
      <c r="C532" s="102" t="inlineStr">
        <is>
          <t>Água - 06/2026</t>
        </is>
      </c>
      <c r="D532" s="102" t="inlineStr">
        <is>
          <t>Saída</t>
        </is>
      </c>
      <c r="E532" s="102" t="inlineStr">
        <is>
          <t>Água</t>
        </is>
      </c>
      <c r="F532" s="103" t="n">
        <v>280</v>
      </c>
      <c r="G532" s="104" t="inlineStr">
        <is>
          <t>06/2026</t>
        </is>
      </c>
      <c r="H532" s="104" t="inlineStr">
        <is>
          <t>CODI</t>
        </is>
      </c>
    </row>
    <row r="533" ht="15" customHeight="1" s="86">
      <c r="B533" s="101" t="n">
        <v>46174</v>
      </c>
      <c r="C533" s="102" t="inlineStr">
        <is>
          <t>Custo de Mercadoria Vendida - 06/2026</t>
        </is>
      </c>
      <c r="D533" s="102" t="inlineStr">
        <is>
          <t>Saída</t>
        </is>
      </c>
      <c r="E533" s="102" t="inlineStr">
        <is>
          <t>Custo de Mercadoria Vendida</t>
        </is>
      </c>
      <c r="F533" s="103" t="n">
        <v>355255.09</v>
      </c>
      <c r="G533" s="104" t="inlineStr">
        <is>
          <t>06/2026</t>
        </is>
      </c>
      <c r="H533" s="104" t="inlineStr">
        <is>
          <t>CODI</t>
        </is>
      </c>
    </row>
    <row r="534" ht="15" customHeight="1" s="86">
      <c r="B534" s="101" t="n">
        <v>46174</v>
      </c>
      <c r="C534" s="102" t="inlineStr">
        <is>
          <t>Honorários Contábeis (Contabilidade) - 06/2026</t>
        </is>
      </c>
      <c r="D534" s="102" t="inlineStr">
        <is>
          <t>Saída</t>
        </is>
      </c>
      <c r="E534" s="102" t="inlineStr">
        <is>
          <t>Honorários Contábeis (Contabilidade)</t>
        </is>
      </c>
      <c r="F534" s="103" t="n">
        <v>1100</v>
      </c>
      <c r="G534" s="104" t="inlineStr">
        <is>
          <t>06/2026</t>
        </is>
      </c>
      <c r="H534" s="104" t="inlineStr">
        <is>
          <t>CODI</t>
        </is>
      </c>
    </row>
    <row r="535" ht="15" customHeight="1" s="86">
      <c r="B535" s="101" t="n">
        <v>46174</v>
      </c>
      <c r="C535" s="102" t="inlineStr">
        <is>
          <t>Consulta de Crédito Cliente - 06/2026</t>
        </is>
      </c>
      <c r="D535" s="102" t="inlineStr">
        <is>
          <t>Saída</t>
        </is>
      </c>
      <c r="E535" s="102" t="inlineStr">
        <is>
          <t>Consulta de Crédito Cliente</t>
        </is>
      </c>
      <c r="F535" s="103" t="n">
        <v>350</v>
      </c>
      <c r="G535" s="104" t="inlineStr">
        <is>
          <t>06/2026</t>
        </is>
      </c>
      <c r="H535" s="104" t="inlineStr">
        <is>
          <t>CODI</t>
        </is>
      </c>
    </row>
    <row r="536" ht="15" customHeight="1" s="86">
      <c r="B536" s="101" t="n">
        <v>46174</v>
      </c>
      <c r="C536" s="102" t="inlineStr">
        <is>
          <t>Telefonia Fixa e Internet - 06/2026</t>
        </is>
      </c>
      <c r="D536" s="102" t="inlineStr">
        <is>
          <t>Saída</t>
        </is>
      </c>
      <c r="E536" s="102" t="inlineStr">
        <is>
          <t>Telefonia Fixa e Internet</t>
        </is>
      </c>
      <c r="F536" s="103" t="n">
        <v>130</v>
      </c>
      <c r="G536" s="104" t="inlineStr">
        <is>
          <t>06/2026</t>
        </is>
      </c>
      <c r="H536" s="104" t="inlineStr">
        <is>
          <t>CODI</t>
        </is>
      </c>
    </row>
    <row r="537" ht="15" customHeight="1" s="86">
      <c r="B537" s="101" t="n">
        <v>46174</v>
      </c>
      <c r="C537" s="102" t="inlineStr">
        <is>
          <t>Empréstimos - 06/2026</t>
        </is>
      </c>
      <c r="D537" s="102" t="inlineStr">
        <is>
          <t>Saída</t>
        </is>
      </c>
      <c r="E537" s="102" t="inlineStr">
        <is>
          <t>Empréstimos</t>
        </is>
      </c>
      <c r="F537" s="103" t="n">
        <v>103251.2</v>
      </c>
      <c r="G537" s="104" t="inlineStr">
        <is>
          <t>06/2026</t>
        </is>
      </c>
      <c r="H537" s="104" t="inlineStr">
        <is>
          <t>CODI</t>
        </is>
      </c>
    </row>
    <row r="538" ht="15" customHeight="1" s="86">
      <c r="B538" s="101" t="n">
        <v>46174</v>
      </c>
      <c r="C538" s="102" t="inlineStr">
        <is>
          <t>Web Site e Sistema ERP - 06/2026</t>
        </is>
      </c>
      <c r="D538" s="102" t="inlineStr">
        <is>
          <t>Saída</t>
        </is>
      </c>
      <c r="E538" s="102" t="inlineStr">
        <is>
          <t>Web Site e Sistema ERP</t>
        </is>
      </c>
      <c r="F538" s="103" t="n">
        <v>1456.4</v>
      </c>
      <c r="G538" s="104" t="inlineStr">
        <is>
          <t>06/2026</t>
        </is>
      </c>
      <c r="H538" s="104" t="inlineStr">
        <is>
          <t>CODI</t>
        </is>
      </c>
    </row>
    <row r="539" ht="15" customHeight="1" s="86">
      <c r="B539" s="101" t="n">
        <v>46174</v>
      </c>
      <c r="C539" s="102" t="inlineStr">
        <is>
          <t>Advogados - Honorários - 06/2026</t>
        </is>
      </c>
      <c r="D539" s="102" t="inlineStr">
        <is>
          <t>Saída</t>
        </is>
      </c>
      <c r="E539" s="102" t="inlineStr">
        <is>
          <t>Advogados - Honorários</t>
        </is>
      </c>
      <c r="F539" s="103" t="n">
        <v>2500</v>
      </c>
      <c r="G539" s="104" t="inlineStr">
        <is>
          <t>06/2026</t>
        </is>
      </c>
      <c r="H539" s="104" t="inlineStr">
        <is>
          <t>CODI</t>
        </is>
      </c>
    </row>
    <row r="540" ht="15" customHeight="1" s="86">
      <c r="B540" s="101" t="n">
        <v>46174</v>
      </c>
      <c r="C540" s="102" t="inlineStr">
        <is>
          <t>Assessoria Técnica Profissional - 06/2026</t>
        </is>
      </c>
      <c r="D540" s="102" t="inlineStr">
        <is>
          <t>Saída</t>
        </is>
      </c>
      <c r="E540" s="102" t="inlineStr">
        <is>
          <t>Assessoria Técnica Profissional</t>
        </is>
      </c>
      <c r="F540" s="103" t="n">
        <v>3500</v>
      </c>
      <c r="G540" s="104" t="inlineStr">
        <is>
          <t>06/2026</t>
        </is>
      </c>
      <c r="H540" s="104" t="inlineStr">
        <is>
          <t>CODI</t>
        </is>
      </c>
    </row>
    <row r="541" ht="15" customHeight="1" s="86">
      <c r="B541" s="101" t="n">
        <v>46174</v>
      </c>
      <c r="C541" s="102" t="inlineStr">
        <is>
          <t>Retiradas de Sócios - 06/2026</t>
        </is>
      </c>
      <c r="D541" s="102" t="inlineStr">
        <is>
          <t>Saída</t>
        </is>
      </c>
      <c r="E541" s="102" t="inlineStr">
        <is>
          <t>Retiradas de Sócios</t>
        </is>
      </c>
      <c r="F541" s="103" t="n">
        <v>25000</v>
      </c>
      <c r="G541" s="104" t="inlineStr">
        <is>
          <t>06/2026</t>
        </is>
      </c>
      <c r="H541" s="104" t="inlineStr">
        <is>
          <t>CODI</t>
        </is>
      </c>
    </row>
    <row r="542" ht="15" customHeight="1" s="86">
      <c r="B542" s="101" t="n">
        <v>46174</v>
      </c>
      <c r="C542" s="102" t="inlineStr">
        <is>
          <t>Tráfego/Social Mídia - 06/2026</t>
        </is>
      </c>
      <c r="D542" s="102" t="inlineStr">
        <is>
          <t>Saída</t>
        </is>
      </c>
      <c r="E542" s="102" t="inlineStr">
        <is>
          <t>Tráfego/Social Mídia</t>
        </is>
      </c>
      <c r="F542" s="103" t="n">
        <v>3544</v>
      </c>
      <c r="G542" s="104" t="inlineStr">
        <is>
          <t>06/2026</t>
        </is>
      </c>
      <c r="H542" s="104" t="inlineStr">
        <is>
          <t>CODI</t>
        </is>
      </c>
    </row>
    <row r="543" ht="15" customHeight="1" s="86">
      <c r="B543" s="101" t="n">
        <v>46204</v>
      </c>
      <c r="C543" s="102" t="inlineStr">
        <is>
          <t>Vendas - 07/2026</t>
        </is>
      </c>
      <c r="D543" s="102" t="inlineStr">
        <is>
          <t>Entrada</t>
        </is>
      </c>
      <c r="E543" s="102" t="inlineStr">
        <is>
          <t>Vendas</t>
        </is>
      </c>
      <c r="F543" s="103" t="n">
        <v>492528.42</v>
      </c>
      <c r="G543" s="104" t="inlineStr">
        <is>
          <t>07/2026</t>
        </is>
      </c>
      <c r="H543" s="104" t="inlineStr">
        <is>
          <t>CODI</t>
        </is>
      </c>
    </row>
    <row r="544" ht="15" customHeight="1" s="86">
      <c r="B544" s="101" t="n">
        <v>46204</v>
      </c>
      <c r="C544" s="102" t="inlineStr">
        <is>
          <t>Custo de Mercadoria Vendida - 07/2026</t>
        </is>
      </c>
      <c r="D544" s="102" t="inlineStr">
        <is>
          <t>Saída</t>
        </is>
      </c>
      <c r="E544" s="102" t="inlineStr">
        <is>
          <t>Custo de Mercadoria Vendida</t>
        </is>
      </c>
      <c r="F544" s="103" t="n">
        <v>312921.75</v>
      </c>
      <c r="G544" s="104" t="inlineStr">
        <is>
          <t>07/2026</t>
        </is>
      </c>
      <c r="H544" s="104" t="inlineStr">
        <is>
          <t>CODI</t>
        </is>
      </c>
    </row>
    <row r="545" ht="15" customHeight="1" s="86">
      <c r="B545" s="101" t="n">
        <v>46204</v>
      </c>
      <c r="C545" s="102" t="inlineStr">
        <is>
          <t>Despesa não Identificada - 07/2026</t>
        </is>
      </c>
      <c r="D545" s="102" t="inlineStr">
        <is>
          <t>Saída</t>
        </is>
      </c>
      <c r="E545" s="102" t="inlineStr">
        <is>
          <t>Despesa não Identificada</t>
        </is>
      </c>
      <c r="F545" s="103" t="n">
        <v>7818.78</v>
      </c>
      <c r="G545" s="104" t="inlineStr">
        <is>
          <t>07/2026</t>
        </is>
      </c>
      <c r="H545" s="104" t="inlineStr">
        <is>
          <t>CODI</t>
        </is>
      </c>
    </row>
    <row r="546" ht="15" customHeight="1" s="86">
      <c r="B546" s="101" t="n">
        <v>46204</v>
      </c>
      <c r="C546" s="102" t="inlineStr">
        <is>
          <t>Combustíveis - 07/2026</t>
        </is>
      </c>
      <c r="D546" s="102" t="inlineStr">
        <is>
          <t>Saída</t>
        </is>
      </c>
      <c r="E546" s="102" t="inlineStr">
        <is>
          <t>Combustíveis</t>
        </is>
      </c>
      <c r="F546" s="103" t="n">
        <v>1347</v>
      </c>
      <c r="G546" s="104" t="inlineStr">
        <is>
          <t>07/2026</t>
        </is>
      </c>
      <c r="H546" s="104" t="inlineStr">
        <is>
          <t>CODI</t>
        </is>
      </c>
    </row>
    <row r="547" ht="15" customHeight="1" s="86">
      <c r="B547" s="101" t="n">
        <v>46204</v>
      </c>
      <c r="C547" s="102" t="inlineStr">
        <is>
          <t>Manutenção de Veiculos e Estacionamento - 07/2026</t>
        </is>
      </c>
      <c r="D547" s="102" t="inlineStr">
        <is>
          <t>Saída</t>
        </is>
      </c>
      <c r="E547" s="102" t="inlineStr">
        <is>
          <t>Manutenção de Veiculos e Estacionamento</t>
        </is>
      </c>
      <c r="F547" s="103" t="n">
        <v>220</v>
      </c>
      <c r="G547" s="104" t="inlineStr">
        <is>
          <t>07/2026</t>
        </is>
      </c>
      <c r="H547" s="104" t="inlineStr">
        <is>
          <t>CODI</t>
        </is>
      </c>
    </row>
    <row r="548" ht="15" customHeight="1" s="86">
      <c r="B548" s="101" t="n">
        <v>46204</v>
      </c>
      <c r="C548" s="102" t="inlineStr">
        <is>
          <t>Material de Copa e Cozinha - 07/2026</t>
        </is>
      </c>
      <c r="D548" s="102" t="inlineStr">
        <is>
          <t>Saída</t>
        </is>
      </c>
      <c r="E548" s="102" t="inlineStr">
        <is>
          <t>Material de Copa e Cozinha</t>
        </is>
      </c>
      <c r="F548" s="103" t="n">
        <v>40.39</v>
      </c>
      <c r="G548" s="104" t="inlineStr">
        <is>
          <t>07/2026</t>
        </is>
      </c>
      <c r="H548" s="104" t="inlineStr">
        <is>
          <t>CODI</t>
        </is>
      </c>
    </row>
    <row r="549" ht="15" customHeight="1" s="86">
      <c r="B549" s="101" t="n">
        <v>46204</v>
      </c>
      <c r="C549" s="102" t="inlineStr">
        <is>
          <t>Darf - 07/2026</t>
        </is>
      </c>
      <c r="D549" s="102" t="inlineStr">
        <is>
          <t>Saída</t>
        </is>
      </c>
      <c r="E549" s="102" t="inlineStr">
        <is>
          <t>Darf</t>
        </is>
      </c>
      <c r="F549" s="103" t="n">
        <v>3138.46</v>
      </c>
      <c r="G549" s="104" t="inlineStr">
        <is>
          <t>07/2026</t>
        </is>
      </c>
      <c r="H549" s="104" t="inlineStr">
        <is>
          <t>CODI</t>
        </is>
      </c>
    </row>
    <row r="550" ht="15" customHeight="1" s="86">
      <c r="B550" s="101" t="n">
        <v>46204</v>
      </c>
      <c r="C550" s="102" t="inlineStr">
        <is>
          <t>Fgts, Gps e Pis - 07/2026</t>
        </is>
      </c>
      <c r="D550" s="102" t="inlineStr">
        <is>
          <t>Saída</t>
        </is>
      </c>
      <c r="E550" s="102" t="inlineStr">
        <is>
          <t>Fgts, Gps e Pis</t>
        </is>
      </c>
      <c r="F550" s="103" t="n">
        <v>4654.17</v>
      </c>
      <c r="G550" s="104" t="inlineStr">
        <is>
          <t>07/2026</t>
        </is>
      </c>
      <c r="H550" s="104" t="inlineStr">
        <is>
          <t>CODI</t>
        </is>
      </c>
    </row>
    <row r="551" ht="15" customHeight="1" s="86">
      <c r="B551" s="101" t="n">
        <v>46204</v>
      </c>
      <c r="C551" s="102" t="inlineStr">
        <is>
          <t>Material de Escritório - 07/2026</t>
        </is>
      </c>
      <c r="D551" s="102" t="inlineStr">
        <is>
          <t>Saída</t>
        </is>
      </c>
      <c r="E551" s="102" t="inlineStr">
        <is>
          <t>Material de Escritório</t>
        </is>
      </c>
      <c r="F551" s="103" t="n">
        <v>318.76</v>
      </c>
      <c r="G551" s="104" t="inlineStr">
        <is>
          <t>07/2026</t>
        </is>
      </c>
      <c r="H551" s="104" t="inlineStr">
        <is>
          <t>CODI</t>
        </is>
      </c>
    </row>
    <row r="552" ht="15" customHeight="1" s="86">
      <c r="B552" s="101" t="n">
        <v>46204</v>
      </c>
      <c r="C552" s="102" t="inlineStr">
        <is>
          <t>Frete e Transporte de Mercadorias - 07/2026</t>
        </is>
      </c>
      <c r="D552" s="102" t="inlineStr">
        <is>
          <t>Saída</t>
        </is>
      </c>
      <c r="E552" s="102" t="inlineStr">
        <is>
          <t>Frete e Transporte de Mercadorias</t>
        </is>
      </c>
      <c r="F552" s="103" t="n">
        <v>9117.65</v>
      </c>
      <c r="G552" s="104" t="inlineStr">
        <is>
          <t>07/2026</t>
        </is>
      </c>
      <c r="H552" s="104" t="inlineStr">
        <is>
          <t>CODI</t>
        </is>
      </c>
    </row>
    <row r="553" ht="15" customHeight="1" s="86">
      <c r="B553" s="101" t="n">
        <v>46204</v>
      </c>
      <c r="C553" s="102" t="inlineStr">
        <is>
          <t>Outros Tributos - 07/2026</t>
        </is>
      </c>
      <c r="D553" s="102" t="inlineStr">
        <is>
          <t>Saída</t>
        </is>
      </c>
      <c r="E553" s="102" t="inlineStr">
        <is>
          <t>Outros Tributos</t>
        </is>
      </c>
      <c r="F553" s="103" t="n">
        <v>83</v>
      </c>
      <c r="G553" s="104" t="inlineStr">
        <is>
          <t>07/2026</t>
        </is>
      </c>
      <c r="H553" s="104" t="inlineStr">
        <is>
          <t>CODI</t>
        </is>
      </c>
    </row>
    <row r="554" ht="15" customHeight="1" s="86">
      <c r="B554" s="101" t="n">
        <v>46204</v>
      </c>
      <c r="C554" s="102" t="inlineStr">
        <is>
          <t>Salário e Ordenados - 07/2026</t>
        </is>
      </c>
      <c r="D554" s="102" t="inlineStr">
        <is>
          <t>Saída</t>
        </is>
      </c>
      <c r="E554" s="102" t="inlineStr">
        <is>
          <t>Salário e Ordenados</t>
        </is>
      </c>
      <c r="F554" s="103" t="n">
        <v>19095.02</v>
      </c>
      <c r="G554" s="104" t="inlineStr">
        <is>
          <t>07/2026</t>
        </is>
      </c>
      <c r="H554" s="104" t="inlineStr">
        <is>
          <t>CODI</t>
        </is>
      </c>
    </row>
    <row r="555" ht="15" customHeight="1" s="86">
      <c r="B555" s="101" t="n">
        <v>46204</v>
      </c>
      <c r="C555" s="102" t="inlineStr">
        <is>
          <t>Vale Transporte - 07/2026</t>
        </is>
      </c>
      <c r="D555" s="102" t="inlineStr">
        <is>
          <t>Saída</t>
        </is>
      </c>
      <c r="E555" s="102" t="inlineStr">
        <is>
          <t>Vale Transporte</t>
        </is>
      </c>
      <c r="F555" s="103" t="n">
        <v>2040</v>
      </c>
      <c r="G555" s="104" t="inlineStr">
        <is>
          <t>07/2026</t>
        </is>
      </c>
      <c r="H555" s="104" t="inlineStr">
        <is>
          <t>CODI</t>
        </is>
      </c>
    </row>
    <row r="556" ht="15" customHeight="1" s="86">
      <c r="B556" s="101" t="n">
        <v>46204</v>
      </c>
      <c r="C556" s="102" t="inlineStr">
        <is>
          <t>Hora Extra - 07/2026</t>
        </is>
      </c>
      <c r="D556" s="102" t="inlineStr">
        <is>
          <t>Saída</t>
        </is>
      </c>
      <c r="E556" s="102" t="inlineStr">
        <is>
          <t>Hora Extra</t>
        </is>
      </c>
      <c r="F556" s="103" t="n">
        <v>800</v>
      </c>
      <c r="G556" s="104" t="inlineStr">
        <is>
          <t>07/2026</t>
        </is>
      </c>
      <c r="H556" s="104" t="inlineStr">
        <is>
          <t>CODI</t>
        </is>
      </c>
    </row>
    <row r="557" ht="15" customHeight="1" s="86">
      <c r="B557" s="101" t="n">
        <v>46204</v>
      </c>
      <c r="C557" s="102" t="inlineStr">
        <is>
          <t>ICMS - 07/2026</t>
        </is>
      </c>
      <c r="D557" s="102" t="inlineStr">
        <is>
          <t>Saída</t>
        </is>
      </c>
      <c r="E557" s="102" t="inlineStr">
        <is>
          <t>ICMS</t>
        </is>
      </c>
      <c r="F557" s="103" t="n">
        <v>292.81</v>
      </c>
      <c r="G557" s="104" t="inlineStr">
        <is>
          <t>07/2026</t>
        </is>
      </c>
      <c r="H557" s="104" t="inlineStr">
        <is>
          <t>CODI</t>
        </is>
      </c>
    </row>
    <row r="558" ht="15" customHeight="1" s="86">
      <c r="B558" s="101" t="n">
        <v>46204</v>
      </c>
      <c r="C558" s="102" t="inlineStr">
        <is>
          <t>Web Site e Sistema ERP - 07/2026</t>
        </is>
      </c>
      <c r="D558" s="102" t="inlineStr">
        <is>
          <t>Saída</t>
        </is>
      </c>
      <c r="E558" s="102" t="inlineStr">
        <is>
          <t>Web Site e Sistema ERP</t>
        </is>
      </c>
      <c r="F558" s="103" t="n">
        <v>1321</v>
      </c>
      <c r="G558" s="104" t="inlineStr">
        <is>
          <t>07/2026</t>
        </is>
      </c>
      <c r="H558" s="104" t="inlineStr">
        <is>
          <t>CODI</t>
        </is>
      </c>
    </row>
    <row r="559" ht="15" customHeight="1" s="86">
      <c r="B559" s="101" t="n">
        <v>46204</v>
      </c>
      <c r="C559" s="102" t="inlineStr">
        <is>
          <t>Acabamento Externo - 07/2026</t>
        </is>
      </c>
      <c r="D559" s="102" t="inlineStr">
        <is>
          <t>Saída</t>
        </is>
      </c>
      <c r="E559" s="102" t="inlineStr">
        <is>
          <t>Acabamento Externo</t>
        </is>
      </c>
      <c r="F559" s="103" t="n">
        <v>396</v>
      </c>
      <c r="G559" s="104" t="inlineStr">
        <is>
          <t>07/2026</t>
        </is>
      </c>
      <c r="H559" s="104" t="inlineStr">
        <is>
          <t>CDK</t>
        </is>
      </c>
    </row>
    <row r="560" ht="15" customHeight="1" s="86">
      <c r="B560" s="101" t="n">
        <v>46204</v>
      </c>
      <c r="C560" s="102" t="inlineStr">
        <is>
          <t>Travete - 07/2026</t>
        </is>
      </c>
      <c r="D560" s="102" t="inlineStr">
        <is>
          <t>Saída</t>
        </is>
      </c>
      <c r="E560" s="102" t="inlineStr">
        <is>
          <t>Travete</t>
        </is>
      </c>
      <c r="F560" s="103" t="n">
        <v>861.3</v>
      </c>
      <c r="G560" s="104" t="inlineStr">
        <is>
          <t>07/2026</t>
        </is>
      </c>
      <c r="H560" s="104" t="inlineStr">
        <is>
          <t>VAREN</t>
        </is>
      </c>
    </row>
    <row r="561" ht="15" customHeight="1" s="86">
      <c r="B561" s="101" t="n">
        <v>46204</v>
      </c>
      <c r="C561" s="102" t="inlineStr">
        <is>
          <t>Tecidos - 07/2026</t>
        </is>
      </c>
      <c r="D561" s="102" t="inlineStr">
        <is>
          <t>Saída</t>
        </is>
      </c>
      <c r="E561" s="102" t="inlineStr">
        <is>
          <t>Tecidos</t>
        </is>
      </c>
      <c r="F561" s="103" t="n">
        <v>2527.87</v>
      </c>
      <c r="G561" s="104" t="inlineStr">
        <is>
          <t>07/2026</t>
        </is>
      </c>
      <c r="H561" s="104" t="inlineStr">
        <is>
          <t>CDK</t>
        </is>
      </c>
    </row>
    <row r="562" ht="15" customHeight="1" s="86">
      <c r="B562" s="101" t="n">
        <v>46204</v>
      </c>
      <c r="C562" s="102" t="inlineStr">
        <is>
          <t>Lavanderia - 07/2026</t>
        </is>
      </c>
      <c r="D562" s="102" t="inlineStr">
        <is>
          <t>Saída</t>
        </is>
      </c>
      <c r="E562" s="102" t="inlineStr">
        <is>
          <t>Lavanderia</t>
        </is>
      </c>
      <c r="F562" s="103" t="n">
        <v>3047.4</v>
      </c>
      <c r="G562" s="104" t="inlineStr">
        <is>
          <t>07/2026</t>
        </is>
      </c>
      <c r="H562" s="104" t="inlineStr">
        <is>
          <t>CDK</t>
        </is>
      </c>
    </row>
    <row r="563" ht="15" customHeight="1" s="86">
      <c r="B563" s="101" t="n">
        <v>46204</v>
      </c>
      <c r="C563" s="102" t="inlineStr">
        <is>
          <t>Consórcio - 07/2026</t>
        </is>
      </c>
      <c r="D563" s="102" t="inlineStr">
        <is>
          <t>Saída</t>
        </is>
      </c>
      <c r="E563" s="102" t="inlineStr">
        <is>
          <t>Consórcio</t>
        </is>
      </c>
      <c r="F563" s="103" t="n">
        <v>2083.88</v>
      </c>
      <c r="G563" s="104" t="inlineStr">
        <is>
          <t>07/2026</t>
        </is>
      </c>
      <c r="H563" s="104" t="inlineStr">
        <is>
          <t>CODI</t>
        </is>
      </c>
    </row>
    <row r="564" ht="15" customHeight="1" s="86">
      <c r="B564" s="101" t="n">
        <v>46204</v>
      </c>
      <c r="C564" s="102" t="inlineStr">
        <is>
          <t>Consulta de Crédito Cliente - 07/2026</t>
        </is>
      </c>
      <c r="D564" s="102" t="inlineStr">
        <is>
          <t>Saída</t>
        </is>
      </c>
      <c r="E564" s="102" t="inlineStr">
        <is>
          <t>Consulta de Crédito Cliente</t>
        </is>
      </c>
      <c r="F564" s="103" t="n">
        <v>578.9299999999999</v>
      </c>
      <c r="G564" s="104" t="inlineStr">
        <is>
          <t>07/2026</t>
        </is>
      </c>
      <c r="H564" s="104" t="inlineStr">
        <is>
          <t>CODI</t>
        </is>
      </c>
    </row>
    <row r="565" ht="15" customHeight="1" s="86">
      <c r="B565" s="101" t="n">
        <v>46204</v>
      </c>
      <c r="C565" s="102" t="inlineStr">
        <is>
          <t>Tráfego/Social Mídia - 07/2026</t>
        </is>
      </c>
      <c r="D565" s="102" t="inlineStr">
        <is>
          <t>Saída</t>
        </is>
      </c>
      <c r="E565" s="102" t="inlineStr">
        <is>
          <t>Tráfego/Social Mídia</t>
        </is>
      </c>
      <c r="F565" s="103" t="n">
        <v>2681.2</v>
      </c>
      <c r="G565" s="104" t="inlineStr">
        <is>
          <t>07/2026</t>
        </is>
      </c>
      <c r="H565" s="104" t="inlineStr">
        <is>
          <t>CODI</t>
        </is>
      </c>
    </row>
    <row r="566" ht="15" customHeight="1" s="86">
      <c r="B566" s="101" t="n">
        <v>46204</v>
      </c>
      <c r="C566" s="102" t="inlineStr">
        <is>
          <t>Água - 07/2026</t>
        </is>
      </c>
      <c r="D566" s="102" t="inlineStr">
        <is>
          <t>Saída</t>
        </is>
      </c>
      <c r="E566" s="102" t="inlineStr">
        <is>
          <t>Água</t>
        </is>
      </c>
      <c r="F566" s="103" t="n">
        <v>399</v>
      </c>
      <c r="G566" s="104" t="inlineStr">
        <is>
          <t>07/2026</t>
        </is>
      </c>
      <c r="H566" s="104" t="inlineStr">
        <is>
          <t>CODI</t>
        </is>
      </c>
    </row>
    <row r="567" ht="15" customHeight="1" s="86">
      <c r="B567" s="101" t="n">
        <v>46204</v>
      </c>
      <c r="C567" s="102" t="inlineStr">
        <is>
          <t>Travete - 07/2026</t>
        </is>
      </c>
      <c r="D567" s="102" t="inlineStr">
        <is>
          <t>Saída</t>
        </is>
      </c>
      <c r="E567" s="102" t="inlineStr">
        <is>
          <t>Travete</t>
        </is>
      </c>
      <c r="F567" s="103" t="n">
        <v>722.7</v>
      </c>
      <c r="G567" s="104" t="inlineStr">
        <is>
          <t>07/2026</t>
        </is>
      </c>
      <c r="H567" s="104" t="inlineStr">
        <is>
          <t>CDK</t>
        </is>
      </c>
    </row>
    <row r="568" ht="15" customHeight="1" s="86">
      <c r="B568" s="101" t="n">
        <v>46204</v>
      </c>
      <c r="C568" s="102" t="inlineStr">
        <is>
          <t>Energia Elétrica - 07/2026</t>
        </is>
      </c>
      <c r="D568" s="102" t="inlineStr">
        <is>
          <t>Saída</t>
        </is>
      </c>
      <c r="E568" s="102" t="inlineStr">
        <is>
          <t>Energia Elétrica</t>
        </is>
      </c>
      <c r="F568" s="103" t="n">
        <v>123.79</v>
      </c>
      <c r="G568" s="104" t="inlineStr">
        <is>
          <t>07/2026</t>
        </is>
      </c>
      <c r="H568" s="104" t="inlineStr">
        <is>
          <t>CODI</t>
        </is>
      </c>
    </row>
    <row r="569" ht="15" customHeight="1" s="86">
      <c r="B569" s="101" t="n">
        <v>46204</v>
      </c>
      <c r="C569" s="102" t="inlineStr">
        <is>
          <t>Facção - 07/2026</t>
        </is>
      </c>
      <c r="D569" s="102" t="inlineStr">
        <is>
          <t>Saída</t>
        </is>
      </c>
      <c r="E569" s="102" t="inlineStr">
        <is>
          <t>Facção</t>
        </is>
      </c>
      <c r="F569" s="103" t="n">
        <v>7018</v>
      </c>
      <c r="G569" s="104" t="inlineStr">
        <is>
          <t>07/2026</t>
        </is>
      </c>
      <c r="H569" s="104" t="inlineStr">
        <is>
          <t>CDK</t>
        </is>
      </c>
    </row>
    <row r="570" ht="15" customHeight="1" s="86">
      <c r="B570" s="101" t="n">
        <v>46204</v>
      </c>
      <c r="C570" s="102" t="inlineStr">
        <is>
          <t>Seguros - 07/2026</t>
        </is>
      </c>
      <c r="D570" s="102" t="inlineStr">
        <is>
          <t>Saída</t>
        </is>
      </c>
      <c r="E570" s="102" t="inlineStr">
        <is>
          <t>Seguros</t>
        </is>
      </c>
      <c r="F570" s="103" t="n">
        <v>267.86</v>
      </c>
      <c r="G570" s="104" t="inlineStr">
        <is>
          <t>07/2026</t>
        </is>
      </c>
      <c r="H570" s="104" t="inlineStr">
        <is>
          <t>CODI</t>
        </is>
      </c>
    </row>
    <row r="571" ht="15" customHeight="1" s="86">
      <c r="B571" s="101" t="n">
        <v>46204</v>
      </c>
      <c r="C571" s="102" t="inlineStr">
        <is>
          <t>Vales e Adiantamentos - 07/2026</t>
        </is>
      </c>
      <c r="D571" s="102" t="inlineStr">
        <is>
          <t>Saída</t>
        </is>
      </c>
      <c r="E571" s="102" t="inlineStr">
        <is>
          <t>Vales e Adiantamentos</t>
        </is>
      </c>
      <c r="F571" s="103" t="n">
        <v>1000</v>
      </c>
      <c r="G571" s="104" t="inlineStr">
        <is>
          <t>07/2026</t>
        </is>
      </c>
      <c r="H571" s="104" t="inlineStr">
        <is>
          <t>CODI</t>
        </is>
      </c>
    </row>
    <row r="572" ht="15" customHeight="1" s="86">
      <c r="B572" s="101" t="n">
        <v>46204</v>
      </c>
      <c r="C572" s="102" t="inlineStr">
        <is>
          <t>Publicidade - 07/2026</t>
        </is>
      </c>
      <c r="D572" s="102" t="inlineStr">
        <is>
          <t>Saída</t>
        </is>
      </c>
      <c r="E572" s="102" t="inlineStr">
        <is>
          <t>Publicidade</t>
        </is>
      </c>
      <c r="F572" s="103" t="n">
        <v>4320</v>
      </c>
      <c r="G572" s="104" t="inlineStr">
        <is>
          <t>07/2026</t>
        </is>
      </c>
      <c r="H572" s="104" t="inlineStr">
        <is>
          <t>CODI</t>
        </is>
      </c>
    </row>
    <row r="573" ht="15" customHeight="1" s="86">
      <c r="B573" s="101" t="n">
        <v>46204</v>
      </c>
      <c r="C573" s="102" t="inlineStr">
        <is>
          <t>Lavanderia - 07/2026</t>
        </is>
      </c>
      <c r="D573" s="102" t="inlineStr">
        <is>
          <t>Saída</t>
        </is>
      </c>
      <c r="E573" s="102" t="inlineStr">
        <is>
          <t>Lavanderia</t>
        </is>
      </c>
      <c r="F573" s="103" t="n">
        <v>1692.9</v>
      </c>
      <c r="G573" s="104" t="inlineStr">
        <is>
          <t>07/2026</t>
        </is>
      </c>
      <c r="H573" s="104" t="inlineStr">
        <is>
          <t>VAREN</t>
        </is>
      </c>
    </row>
    <row r="574" ht="15" customHeight="1" s="86">
      <c r="B574" s="101" t="n">
        <v>46204</v>
      </c>
      <c r="C574" s="102" t="inlineStr">
        <is>
          <t>Alimentação - 07/2026</t>
        </is>
      </c>
      <c r="D574" s="102" t="inlineStr">
        <is>
          <t>Saída</t>
        </is>
      </c>
      <c r="E574" s="102" t="inlineStr">
        <is>
          <t>Alimentação</t>
        </is>
      </c>
      <c r="F574" s="103" t="n">
        <v>50</v>
      </c>
      <c r="G574" s="104" t="inlineStr">
        <is>
          <t>07/2026</t>
        </is>
      </c>
      <c r="H574" s="104" t="inlineStr">
        <is>
          <t>CODI</t>
        </is>
      </c>
    </row>
    <row r="575" ht="15" customHeight="1" s="86">
      <c r="B575" s="101" t="n">
        <v>46204</v>
      </c>
      <c r="C575" s="102" t="inlineStr">
        <is>
          <t>Aviamento - 07/2026</t>
        </is>
      </c>
      <c r="D575" s="102" t="inlineStr">
        <is>
          <t>Saída</t>
        </is>
      </c>
      <c r="E575" s="102" t="inlineStr">
        <is>
          <t>Aviamento</t>
        </is>
      </c>
      <c r="F575" s="103" t="n">
        <v>87.75</v>
      </c>
      <c r="G575" s="104" t="inlineStr">
        <is>
          <t>07/2026</t>
        </is>
      </c>
      <c r="H575" s="104" t="inlineStr">
        <is>
          <t>VAREN</t>
        </is>
      </c>
    </row>
    <row r="576" ht="15" customHeight="1" s="86">
      <c r="B576" s="101" t="n">
        <v>46204</v>
      </c>
      <c r="C576" s="102" t="inlineStr">
        <is>
          <t>Aviamento - 07/2026</t>
        </is>
      </c>
      <c r="D576" s="102" t="inlineStr">
        <is>
          <t>Saída</t>
        </is>
      </c>
      <c r="E576" s="102" t="inlineStr">
        <is>
          <t>Aviamento</t>
        </is>
      </c>
      <c r="F576" s="103" t="n">
        <v>34.1</v>
      </c>
      <c r="G576" s="104" t="inlineStr">
        <is>
          <t>07/2026</t>
        </is>
      </c>
      <c r="H576" s="104" t="inlineStr">
        <is>
          <t>CDK</t>
        </is>
      </c>
    </row>
    <row r="577" ht="15" customHeight="1" s="86">
      <c r="B577" s="101" t="n">
        <v>46204</v>
      </c>
      <c r="C577" s="102" t="inlineStr">
        <is>
          <t>Etiquetas - 07/2026</t>
        </is>
      </c>
      <c r="D577" s="102" t="inlineStr">
        <is>
          <t>Saída</t>
        </is>
      </c>
      <c r="E577" s="102" t="inlineStr">
        <is>
          <t>Etiquetas</t>
        </is>
      </c>
      <c r="F577" s="103" t="n">
        <v>80</v>
      </c>
      <c r="G577" s="104" t="inlineStr">
        <is>
          <t>07/2026</t>
        </is>
      </c>
      <c r="H577" s="104" t="inlineStr">
        <is>
          <t>CDK</t>
        </is>
      </c>
    </row>
    <row r="578" ht="15" customHeight="1" s="86">
      <c r="B578" s="101" t="n">
        <v>46204</v>
      </c>
      <c r="C578" s="102" t="inlineStr">
        <is>
          <t>PROVISÃO CDK - 07/2026</t>
        </is>
      </c>
      <c r="D578" s="102" t="inlineStr">
        <is>
          <t>Saída</t>
        </is>
      </c>
      <c r="E578" s="102" t="inlineStr">
        <is>
          <t>PROVISÃO CDK</t>
        </is>
      </c>
      <c r="F578" s="103" t="n">
        <v>4843.3</v>
      </c>
      <c r="G578" s="104" t="inlineStr">
        <is>
          <t>07/2026</t>
        </is>
      </c>
      <c r="H578" s="104" t="inlineStr">
        <is>
          <t>CDK</t>
        </is>
      </c>
    </row>
    <row r="579" ht="15" customHeight="1" s="86">
      <c r="B579" s="101" t="n">
        <v>46204</v>
      </c>
      <c r="C579" s="102" t="inlineStr">
        <is>
          <t>Retiradas de Sócios - 07/2026</t>
        </is>
      </c>
      <c r="D579" s="102" t="inlineStr">
        <is>
          <t>Saída</t>
        </is>
      </c>
      <c r="E579" s="102" t="inlineStr">
        <is>
          <t>Retiradas de Sócios</t>
        </is>
      </c>
      <c r="F579" s="103" t="n">
        <v>25000</v>
      </c>
      <c r="G579" s="104" t="inlineStr">
        <is>
          <t>07/2026</t>
        </is>
      </c>
      <c r="H579" s="104" t="inlineStr">
        <is>
          <t>CODI</t>
        </is>
      </c>
    </row>
    <row r="580" ht="15" customHeight="1" s="86">
      <c r="B580" s="101" t="n">
        <v>46235</v>
      </c>
      <c r="C580" s="102" t="inlineStr">
        <is>
          <t>Vendas - 08/2026</t>
        </is>
      </c>
      <c r="D580" s="102" t="inlineStr">
        <is>
          <t>Entrada</t>
        </is>
      </c>
      <c r="E580" s="102" t="inlineStr">
        <is>
          <t>Vendas</t>
        </is>
      </c>
      <c r="F580" s="103" t="n">
        <v>473714.32</v>
      </c>
      <c r="G580" s="104" t="inlineStr">
        <is>
          <t>08/2026</t>
        </is>
      </c>
      <c r="H580" s="104" t="inlineStr">
        <is>
          <t>CODI</t>
        </is>
      </c>
    </row>
    <row r="581" ht="15" customHeight="1" s="86">
      <c r="B581" s="101" t="n">
        <v>46235</v>
      </c>
      <c r="C581" s="102" t="inlineStr">
        <is>
          <t>Custo de Mercadoria Vendida - 08/2026</t>
        </is>
      </c>
      <c r="D581" s="102" t="inlineStr">
        <is>
          <t>Saída</t>
        </is>
      </c>
      <c r="E581" s="102" t="inlineStr">
        <is>
          <t>Custo de Mercadoria Vendida</t>
        </is>
      </c>
      <c r="F581" s="103" t="n">
        <v>298322.34</v>
      </c>
      <c r="G581" s="104" t="inlineStr">
        <is>
          <t>08/2026</t>
        </is>
      </c>
      <c r="H581" s="104" t="inlineStr">
        <is>
          <t>CODI</t>
        </is>
      </c>
    </row>
    <row r="582" ht="15" customHeight="1" s="86">
      <c r="B582" s="101" t="n">
        <v>46235</v>
      </c>
      <c r="C582" s="102" t="inlineStr">
        <is>
          <t>PROVISÃO CDK - 08/2026</t>
        </is>
      </c>
      <c r="D582" s="102" t="inlineStr">
        <is>
          <t>Saída</t>
        </is>
      </c>
      <c r="E582" s="102" t="inlineStr">
        <is>
          <t>PROVISÃO CDK</t>
        </is>
      </c>
      <c r="F582" s="103" t="n">
        <v>6998.2</v>
      </c>
      <c r="G582" s="104" t="inlineStr">
        <is>
          <t>08/2026</t>
        </is>
      </c>
      <c r="H582" s="104" t="inlineStr">
        <is>
          <t>CDK</t>
        </is>
      </c>
    </row>
    <row r="583" ht="15" customHeight="1" s="86">
      <c r="B583" s="101" t="n">
        <v>46235</v>
      </c>
      <c r="C583" s="102" t="inlineStr">
        <is>
          <t>Frete e Transporte de Mercadorias - 08/2026</t>
        </is>
      </c>
      <c r="D583" s="102" t="inlineStr">
        <is>
          <t>Saída</t>
        </is>
      </c>
      <c r="E583" s="102" t="inlineStr">
        <is>
          <t>Frete e Transporte de Mercadorias</t>
        </is>
      </c>
      <c r="F583" s="103" t="n">
        <v>4146.28</v>
      </c>
      <c r="G583" s="104" t="inlineStr">
        <is>
          <t>08/2026</t>
        </is>
      </c>
      <c r="H583" s="104" t="inlineStr">
        <is>
          <t>CODI</t>
        </is>
      </c>
    </row>
    <row r="584" ht="15" customHeight="1" s="86">
      <c r="B584" s="101" t="n">
        <v>46235</v>
      </c>
      <c r="C584" s="102" t="inlineStr">
        <is>
          <t>Web Site e Sistema ERP - 08/2026</t>
        </is>
      </c>
      <c r="D584" s="102" t="inlineStr">
        <is>
          <t>Saída</t>
        </is>
      </c>
      <c r="E584" s="102" t="inlineStr">
        <is>
          <t>Web Site e Sistema ERP</t>
        </is>
      </c>
      <c r="F584" s="103" t="n">
        <v>4320</v>
      </c>
      <c r="G584" s="104" t="inlineStr">
        <is>
          <t>08/2026</t>
        </is>
      </c>
      <c r="H584" s="104" t="inlineStr">
        <is>
          <t>CODI</t>
        </is>
      </c>
    </row>
    <row r="585" ht="15" customHeight="1" s="86">
      <c r="B585" s="101" t="n">
        <v>46235</v>
      </c>
      <c r="C585" s="102" t="inlineStr">
        <is>
          <t>Material de Limpeza e Higiene - 08/2026</t>
        </is>
      </c>
      <c r="D585" s="102" t="inlineStr">
        <is>
          <t>Saída</t>
        </is>
      </c>
      <c r="E585" s="102" t="inlineStr">
        <is>
          <t>Material de Limpeza e Higiene</t>
        </is>
      </c>
      <c r="F585" s="103" t="n">
        <v>67.18000000000001</v>
      </c>
      <c r="G585" s="104" t="inlineStr">
        <is>
          <t>08/2026</t>
        </is>
      </c>
      <c r="H585" s="104" t="inlineStr">
        <is>
          <t>CODI</t>
        </is>
      </c>
    </row>
    <row r="586" ht="15" customHeight="1" s="86">
      <c r="B586" s="101" t="n">
        <v>46235</v>
      </c>
      <c r="C586" s="102" t="inlineStr">
        <is>
          <t>Embalagens - 08/2026</t>
        </is>
      </c>
      <c r="D586" s="102" t="inlineStr">
        <is>
          <t>Saída</t>
        </is>
      </c>
      <c r="E586" s="102" t="inlineStr">
        <is>
          <t>Embalagens</t>
        </is>
      </c>
      <c r="F586" s="103" t="n">
        <v>561.87</v>
      </c>
      <c r="G586" s="104" t="inlineStr">
        <is>
          <t>08/2026</t>
        </is>
      </c>
      <c r="H586" s="104" t="inlineStr">
        <is>
          <t>CDK</t>
        </is>
      </c>
    </row>
    <row r="587" ht="15" customHeight="1" s="86">
      <c r="B587" s="101" t="n">
        <v>46235</v>
      </c>
      <c r="C587" s="102" t="inlineStr">
        <is>
          <t>Aviamento - 08/2026</t>
        </is>
      </c>
      <c r="D587" s="102" t="inlineStr">
        <is>
          <t>Saída</t>
        </is>
      </c>
      <c r="E587" s="102" t="inlineStr">
        <is>
          <t>Aviamento</t>
        </is>
      </c>
      <c r="F587" s="103" t="n">
        <v>522.8</v>
      </c>
      <c r="G587" s="104" t="inlineStr">
        <is>
          <t>08/2026</t>
        </is>
      </c>
      <c r="H587" s="104" t="inlineStr">
        <is>
          <t>CDK</t>
        </is>
      </c>
    </row>
    <row r="588" ht="15" customHeight="1" s="86">
      <c r="B588" s="101" t="n">
        <v>46235</v>
      </c>
      <c r="C588" s="102" t="inlineStr">
        <is>
          <t>Acertos e Recisões - 08/2026</t>
        </is>
      </c>
      <c r="D588" s="102" t="inlineStr">
        <is>
          <t>Saída</t>
        </is>
      </c>
      <c r="E588" s="102" t="inlineStr">
        <is>
          <t>Acertos e Recisões</t>
        </is>
      </c>
      <c r="F588" s="103" t="n">
        <v>14962.53</v>
      </c>
      <c r="G588" s="104" t="inlineStr">
        <is>
          <t>08/2026</t>
        </is>
      </c>
      <c r="H588" s="104" t="inlineStr">
        <is>
          <t>CODI</t>
        </is>
      </c>
    </row>
    <row r="589" ht="15" customHeight="1" s="86">
      <c r="B589" s="101" t="n">
        <v>46235</v>
      </c>
      <c r="C589" s="102" t="inlineStr">
        <is>
          <t>Salário e Ordenados - 08/2026</t>
        </is>
      </c>
      <c r="D589" s="102" t="inlineStr">
        <is>
          <t>Saída</t>
        </is>
      </c>
      <c r="E589" s="102" t="inlineStr">
        <is>
          <t>Salário e Ordenados</t>
        </is>
      </c>
      <c r="F589" s="103" t="n">
        <v>17200.22</v>
      </c>
      <c r="G589" s="104" t="inlineStr">
        <is>
          <t>08/2026</t>
        </is>
      </c>
      <c r="H589" s="104" t="inlineStr">
        <is>
          <t>CODI</t>
        </is>
      </c>
    </row>
    <row r="590" ht="15" customHeight="1" s="86">
      <c r="B590" s="101" t="n">
        <v>46235</v>
      </c>
      <c r="C590" s="102" t="inlineStr">
        <is>
          <t>Outros Tributos - 08/2026</t>
        </is>
      </c>
      <c r="D590" s="102" t="inlineStr">
        <is>
          <t>Saída</t>
        </is>
      </c>
      <c r="E590" s="102" t="inlineStr">
        <is>
          <t>Outros Tributos</t>
        </is>
      </c>
      <c r="F590" s="103" t="n">
        <v>90.77</v>
      </c>
      <c r="G590" s="104" t="inlineStr">
        <is>
          <t>08/2026</t>
        </is>
      </c>
      <c r="H590" s="104" t="inlineStr">
        <is>
          <t>CODI</t>
        </is>
      </c>
    </row>
    <row r="591" ht="15" customHeight="1" s="86">
      <c r="B591" s="101" t="n">
        <v>46235</v>
      </c>
      <c r="C591" s="102" t="inlineStr">
        <is>
          <t>Fgts, Gps e Pis - 08/2026</t>
        </is>
      </c>
      <c r="D591" s="102" t="inlineStr">
        <is>
          <t>Saída</t>
        </is>
      </c>
      <c r="E591" s="102" t="inlineStr">
        <is>
          <t>Fgts, Gps e Pis</t>
        </is>
      </c>
      <c r="F591" s="103" t="n">
        <v>3652.84</v>
      </c>
      <c r="G591" s="104" t="inlineStr">
        <is>
          <t>08/2026</t>
        </is>
      </c>
      <c r="H591" s="104" t="inlineStr">
        <is>
          <t>CODI</t>
        </is>
      </c>
    </row>
    <row r="592" ht="15" customHeight="1" s="86">
      <c r="B592" s="101" t="n">
        <v>46235</v>
      </c>
      <c r="C592" s="102" t="inlineStr">
        <is>
          <t>Darf - 08/2026</t>
        </is>
      </c>
      <c r="D592" s="102" t="inlineStr">
        <is>
          <t>Saída</t>
        </is>
      </c>
      <c r="E592" s="102" t="inlineStr">
        <is>
          <t>Darf</t>
        </is>
      </c>
      <c r="F592" s="103" t="n">
        <v>3369.53</v>
      </c>
      <c r="G592" s="104" t="inlineStr">
        <is>
          <t>08/2026</t>
        </is>
      </c>
      <c r="H592" s="104" t="inlineStr">
        <is>
          <t>CODI</t>
        </is>
      </c>
    </row>
    <row r="593" ht="15" customHeight="1" s="86">
      <c r="B593" s="101" t="n">
        <v>46235</v>
      </c>
      <c r="C593" s="102" t="inlineStr">
        <is>
          <t>Acabamento Externo - 08/2026</t>
        </is>
      </c>
      <c r="D593" s="102" t="inlineStr">
        <is>
          <t>Saída</t>
        </is>
      </c>
      <c r="E593" s="102" t="inlineStr">
        <is>
          <t>Acabamento Externo</t>
        </is>
      </c>
      <c r="F593" s="103" t="n">
        <v>1914</v>
      </c>
      <c r="G593" s="104" t="inlineStr">
        <is>
          <t>08/2026</t>
        </is>
      </c>
      <c r="H593" s="104" t="inlineStr">
        <is>
          <t>VAREN</t>
        </is>
      </c>
    </row>
    <row r="594" ht="15" customHeight="1" s="86">
      <c r="B594" s="101" t="n">
        <v>46235</v>
      </c>
      <c r="C594" s="102" t="inlineStr">
        <is>
          <t>Lavanderia - 08/2026</t>
        </is>
      </c>
      <c r="D594" s="102" t="inlineStr">
        <is>
          <t>Saída</t>
        </is>
      </c>
      <c r="E594" s="102" t="inlineStr">
        <is>
          <t>Lavanderia</t>
        </is>
      </c>
      <c r="F594" s="103" t="n">
        <v>673.2</v>
      </c>
      <c r="G594" s="104" t="inlineStr">
        <is>
          <t>08/2026</t>
        </is>
      </c>
      <c r="H594" s="104" t="inlineStr">
        <is>
          <t>CDK</t>
        </is>
      </c>
    </row>
    <row r="595" ht="15" customHeight="1" s="86">
      <c r="B595" s="101" t="n">
        <v>46235</v>
      </c>
      <c r="C595" s="102" t="inlineStr">
        <is>
          <t>Acabamento Externo - 08/2026</t>
        </is>
      </c>
      <c r="D595" s="102" t="inlineStr">
        <is>
          <t>Saída</t>
        </is>
      </c>
      <c r="E595" s="102" t="inlineStr">
        <is>
          <t>Acabamento Externo</t>
        </is>
      </c>
      <c r="F595" s="103" t="n">
        <v>4480</v>
      </c>
      <c r="G595" s="104" t="inlineStr">
        <is>
          <t>08/2026</t>
        </is>
      </c>
      <c r="H595" s="104" t="inlineStr">
        <is>
          <t>CDK</t>
        </is>
      </c>
    </row>
    <row r="596" ht="15" customHeight="1" s="86">
      <c r="B596" s="101" t="n">
        <v>46235</v>
      </c>
      <c r="C596" s="102" t="inlineStr">
        <is>
          <t>Travete - 08/2026</t>
        </is>
      </c>
      <c r="D596" s="102" t="inlineStr">
        <is>
          <t>Saída</t>
        </is>
      </c>
      <c r="E596" s="102" t="inlineStr">
        <is>
          <t>Travete</t>
        </is>
      </c>
      <c r="F596" s="103" t="n">
        <v>1293.3</v>
      </c>
      <c r="G596" s="104" t="inlineStr">
        <is>
          <t>08/2026</t>
        </is>
      </c>
      <c r="H596" s="104" t="inlineStr">
        <is>
          <t>CDK</t>
        </is>
      </c>
    </row>
    <row r="597" ht="15" customHeight="1" s="86">
      <c r="B597" s="101" t="n">
        <v>46235</v>
      </c>
      <c r="C597" s="102" t="inlineStr">
        <is>
          <t>ICMS - 08/2026</t>
        </is>
      </c>
      <c r="D597" s="102" t="inlineStr">
        <is>
          <t>Saída</t>
        </is>
      </c>
      <c r="E597" s="102" t="inlineStr">
        <is>
          <t>ICMS</t>
        </is>
      </c>
      <c r="F597" s="103" t="n">
        <v>112.18</v>
      </c>
      <c r="G597" s="104" t="inlineStr">
        <is>
          <t>08/2026</t>
        </is>
      </c>
      <c r="H597" s="104" t="inlineStr">
        <is>
          <t>CODI</t>
        </is>
      </c>
    </row>
    <row r="598" ht="15" customHeight="1" s="86">
      <c r="B598" s="101" t="n">
        <v>46235</v>
      </c>
      <c r="C598" s="102" t="inlineStr">
        <is>
          <t>Combustíveis - 08/2026</t>
        </is>
      </c>
      <c r="D598" s="102" t="inlineStr">
        <is>
          <t>Saída</t>
        </is>
      </c>
      <c r="E598" s="102" t="inlineStr">
        <is>
          <t>Combustíveis</t>
        </is>
      </c>
      <c r="F598" s="103" t="n">
        <v>841</v>
      </c>
      <c r="G598" s="104" t="inlineStr">
        <is>
          <t>08/2026</t>
        </is>
      </c>
      <c r="H598" s="104" t="inlineStr">
        <is>
          <t>CODI</t>
        </is>
      </c>
    </row>
    <row r="599" ht="15" customHeight="1" s="86">
      <c r="B599" s="101" t="n">
        <v>46235</v>
      </c>
      <c r="C599" s="102" t="inlineStr">
        <is>
          <t>Vales e Adiantamentos - 08/2026</t>
        </is>
      </c>
      <c r="D599" s="102" t="inlineStr">
        <is>
          <t>Saída</t>
        </is>
      </c>
      <c r="E599" s="102" t="inlineStr">
        <is>
          <t>Vales e Adiantamentos</t>
        </is>
      </c>
      <c r="F599" s="103" t="n">
        <v>1425</v>
      </c>
      <c r="G599" s="104" t="inlineStr">
        <is>
          <t>08/2026</t>
        </is>
      </c>
      <c r="H599" s="104" t="inlineStr">
        <is>
          <t>CODI</t>
        </is>
      </c>
    </row>
    <row r="600" ht="15" customHeight="1" s="86">
      <c r="B600" s="101" t="n">
        <v>46235</v>
      </c>
      <c r="C600" s="102" t="inlineStr">
        <is>
          <t>Exame Adminissional/Demissional - 08/2026</t>
        </is>
      </c>
      <c r="D600" s="102" t="inlineStr">
        <is>
          <t>Saída</t>
        </is>
      </c>
      <c r="E600" s="102" t="inlineStr">
        <is>
          <t>Exame Adminissional/Demissional</t>
        </is>
      </c>
      <c r="F600" s="103" t="n">
        <v>280</v>
      </c>
      <c r="G600" s="104" t="inlineStr">
        <is>
          <t>08/2026</t>
        </is>
      </c>
      <c r="H600" s="104" t="inlineStr">
        <is>
          <t>CODI</t>
        </is>
      </c>
    </row>
    <row r="601" ht="15" customHeight="1" s="86">
      <c r="B601" s="101" t="n">
        <v>46235</v>
      </c>
      <c r="C601" s="102" t="inlineStr">
        <is>
          <t>Facção - 08/2026</t>
        </is>
      </c>
      <c r="D601" s="102" t="inlineStr">
        <is>
          <t>Saída</t>
        </is>
      </c>
      <c r="E601" s="102" t="inlineStr">
        <is>
          <t>Facção</t>
        </is>
      </c>
      <c r="F601" s="103" t="n">
        <v>16368</v>
      </c>
      <c r="G601" s="104" t="inlineStr">
        <is>
          <t>08/2026</t>
        </is>
      </c>
      <c r="H601" s="104" t="inlineStr">
        <is>
          <t>CDK</t>
        </is>
      </c>
    </row>
    <row r="602" ht="15" customHeight="1" s="86">
      <c r="B602" s="101" t="n">
        <v>46235</v>
      </c>
      <c r="C602" s="102" t="inlineStr">
        <is>
          <t>Manutenção de Veiculos e Estacionamento - 08/2026</t>
        </is>
      </c>
      <c r="D602" s="102" t="inlineStr">
        <is>
          <t>Saída</t>
        </is>
      </c>
      <c r="E602" s="102" t="inlineStr">
        <is>
          <t>Manutenção de Veiculos e Estacionamento</t>
        </is>
      </c>
      <c r="F602" s="103" t="n">
        <v>285</v>
      </c>
      <c r="G602" s="104" t="inlineStr">
        <is>
          <t>08/2026</t>
        </is>
      </c>
      <c r="H602" s="104" t="inlineStr">
        <is>
          <t>CODI</t>
        </is>
      </c>
    </row>
    <row r="603" ht="15" customHeight="1" s="86">
      <c r="B603" s="101" t="n">
        <v>46235</v>
      </c>
      <c r="C603" s="102" t="inlineStr">
        <is>
          <t>Água - 08/2026</t>
        </is>
      </c>
      <c r="D603" s="102" t="inlineStr">
        <is>
          <t>Saída</t>
        </is>
      </c>
      <c r="E603" s="102" t="inlineStr">
        <is>
          <t>Água</t>
        </is>
      </c>
      <c r="F603" s="103" t="n">
        <v>286.52</v>
      </c>
      <c r="G603" s="104" t="inlineStr">
        <is>
          <t>08/2026</t>
        </is>
      </c>
      <c r="H603" s="104" t="inlineStr">
        <is>
          <t>CODI</t>
        </is>
      </c>
    </row>
    <row r="604" ht="15" customHeight="1" s="86">
      <c r="B604" s="101" t="n">
        <v>46235</v>
      </c>
      <c r="C604" s="102" t="inlineStr">
        <is>
          <t>Tráfego/Social Mídia - 08/2026</t>
        </is>
      </c>
      <c r="D604" s="102" t="inlineStr">
        <is>
          <t>Saída</t>
        </is>
      </c>
      <c r="E604" s="102" t="inlineStr">
        <is>
          <t>Tráfego/Social Mídia</t>
        </is>
      </c>
      <c r="F604" s="103" t="n">
        <v>2391.05</v>
      </c>
      <c r="G604" s="104" t="inlineStr">
        <is>
          <t>08/2026</t>
        </is>
      </c>
      <c r="H604" s="104" t="inlineStr">
        <is>
          <t>CODI</t>
        </is>
      </c>
    </row>
    <row r="605" ht="15" customHeight="1" s="86">
      <c r="B605" s="101" t="n">
        <v>46235</v>
      </c>
      <c r="C605" s="102" t="inlineStr">
        <is>
          <t>Consulta de Crédito Cliente - 08/2026</t>
        </is>
      </c>
      <c r="D605" s="102" t="inlineStr">
        <is>
          <t>Saída</t>
        </is>
      </c>
      <c r="E605" s="102" t="inlineStr">
        <is>
          <t>Consulta de Crédito Cliente</t>
        </is>
      </c>
      <c r="F605" s="103" t="n">
        <v>395.54</v>
      </c>
      <c r="G605" s="104" t="inlineStr">
        <is>
          <t>08/2026</t>
        </is>
      </c>
      <c r="H605" s="104" t="inlineStr">
        <is>
          <t>CODI</t>
        </is>
      </c>
    </row>
    <row r="606" ht="15" customHeight="1" s="86">
      <c r="B606" s="101" t="n">
        <v>46235</v>
      </c>
      <c r="C606" s="102" t="inlineStr">
        <is>
          <t>Tecidos - 08/2026</t>
        </is>
      </c>
      <c r="D606" s="102" t="inlineStr">
        <is>
          <t>Saída</t>
        </is>
      </c>
      <c r="E606" s="102" t="inlineStr">
        <is>
          <t>Tecidos</t>
        </is>
      </c>
      <c r="F606" s="103" t="n">
        <v>47472.48</v>
      </c>
      <c r="G606" s="104" t="inlineStr">
        <is>
          <t>08/2026</t>
        </is>
      </c>
      <c r="H606" s="104" t="inlineStr">
        <is>
          <t>CDK</t>
        </is>
      </c>
    </row>
    <row r="607" ht="15" customHeight="1" s="86">
      <c r="B607" s="101" t="n">
        <v>46235</v>
      </c>
      <c r="C607" s="102" t="inlineStr">
        <is>
          <t>Despesa não Identificada - 08/2026</t>
        </is>
      </c>
      <c r="D607" s="102" t="inlineStr">
        <is>
          <t>Saída</t>
        </is>
      </c>
      <c r="E607" s="102" t="inlineStr">
        <is>
          <t>Despesa não Identificada</t>
        </is>
      </c>
      <c r="F607" s="103" t="n">
        <v>6732.95</v>
      </c>
      <c r="G607" s="104" t="inlineStr">
        <is>
          <t>08/2026</t>
        </is>
      </c>
      <c r="H607" s="104" t="inlineStr">
        <is>
          <t>CODI</t>
        </is>
      </c>
    </row>
    <row r="608" ht="15" customHeight="1" s="86">
      <c r="B608" s="101" t="n">
        <v>46235</v>
      </c>
      <c r="C608" s="102" t="inlineStr">
        <is>
          <t>Alimentação - 08/2026</t>
        </is>
      </c>
      <c r="D608" s="102" t="inlineStr">
        <is>
          <t>Saída</t>
        </is>
      </c>
      <c r="E608" s="102" t="inlineStr">
        <is>
          <t>Alimentação</t>
        </is>
      </c>
      <c r="F608" s="103" t="n">
        <v>100</v>
      </c>
      <c r="G608" s="104" t="inlineStr">
        <is>
          <t>08/2026</t>
        </is>
      </c>
      <c r="H608" s="104" t="inlineStr">
        <is>
          <t>CODI</t>
        </is>
      </c>
    </row>
    <row r="609" ht="15" customHeight="1" s="86">
      <c r="B609" s="101" t="n">
        <v>46235</v>
      </c>
      <c r="C609" s="102" t="inlineStr">
        <is>
          <t>Energia Elétrica - 08/2026</t>
        </is>
      </c>
      <c r="D609" s="102" t="inlineStr">
        <is>
          <t>Saída</t>
        </is>
      </c>
      <c r="E609" s="102" t="inlineStr">
        <is>
          <t>Energia Elétrica</t>
        </is>
      </c>
      <c r="F609" s="103" t="n">
        <v>153.48</v>
      </c>
      <c r="G609" s="104" t="inlineStr">
        <is>
          <t>08/2026</t>
        </is>
      </c>
      <c r="H609" s="104" t="inlineStr">
        <is>
          <t>CODI</t>
        </is>
      </c>
    </row>
    <row r="610" ht="15" customHeight="1" s="86">
      <c r="B610" s="101" t="n">
        <v>46235</v>
      </c>
      <c r="C610" s="102" t="inlineStr">
        <is>
          <t>Vale Transporte - 08/2026</t>
        </is>
      </c>
      <c r="D610" s="102" t="inlineStr">
        <is>
          <t>Saída</t>
        </is>
      </c>
      <c r="E610" s="102" t="inlineStr">
        <is>
          <t>Vale Transporte</t>
        </is>
      </c>
      <c r="F610" s="103" t="n">
        <v>440</v>
      </c>
      <c r="G610" s="104" t="inlineStr">
        <is>
          <t>08/2026</t>
        </is>
      </c>
      <c r="H610" s="104" t="inlineStr">
        <is>
          <t>CODI</t>
        </is>
      </c>
    </row>
    <row r="611" ht="15" customHeight="1" s="86">
      <c r="B611" s="101" t="n">
        <v>46235</v>
      </c>
      <c r="C611" s="102" t="inlineStr">
        <is>
          <t>Retiradas de Sócios - 08/2026</t>
        </is>
      </c>
      <c r="D611" s="102" t="inlineStr">
        <is>
          <t>Saída</t>
        </is>
      </c>
      <c r="E611" s="102" t="inlineStr">
        <is>
          <t>Retiradas de Sócios</t>
        </is>
      </c>
      <c r="F611" s="103" t="n">
        <v>25000</v>
      </c>
      <c r="G611" s="104" t="inlineStr">
        <is>
          <t>08/2026</t>
        </is>
      </c>
      <c r="H611" s="104" t="inlineStr">
        <is>
          <t>CODI</t>
        </is>
      </c>
    </row>
    <row r="612" ht="15" customHeight="1" s="86">
      <c r="B612" s="101" t="n">
        <v>46266</v>
      </c>
      <c r="C612" s="102" t="inlineStr">
        <is>
          <t>Vendas - 09/2026</t>
        </is>
      </c>
      <c r="D612" s="102" t="inlineStr">
        <is>
          <t>Entrada</t>
        </is>
      </c>
      <c r="E612" s="102" t="inlineStr">
        <is>
          <t>Vendas</t>
        </is>
      </c>
      <c r="F612" s="103" t="n">
        <v>535495.65</v>
      </c>
      <c r="G612" s="104" t="inlineStr">
        <is>
          <t>09/2026</t>
        </is>
      </c>
      <c r="H612" s="104" t="inlineStr">
        <is>
          <t>CODI</t>
        </is>
      </c>
    </row>
    <row r="613" ht="15" customHeight="1" s="86">
      <c r="B613" s="101" t="n">
        <v>46266</v>
      </c>
      <c r="C613" s="102" t="inlineStr">
        <is>
          <t>Custo de Mercadoria Vendida - 09/2026</t>
        </is>
      </c>
      <c r="D613" s="102" t="inlineStr">
        <is>
          <t>Saída</t>
        </is>
      </c>
      <c r="E613" s="102" t="inlineStr">
        <is>
          <t>Custo de Mercadoria Vendida</t>
        </is>
      </c>
      <c r="F613" s="103" t="n">
        <v>317150.97</v>
      </c>
      <c r="G613" s="104" t="inlineStr">
        <is>
          <t>09/2026</t>
        </is>
      </c>
      <c r="H613" s="104" t="inlineStr">
        <is>
          <t>CODI</t>
        </is>
      </c>
    </row>
    <row r="614" ht="15" customHeight="1" s="86">
      <c r="B614" s="101" t="n">
        <v>46266</v>
      </c>
      <c r="C614" s="102" t="inlineStr">
        <is>
          <t>Retiradas de Sócios - 09/2026</t>
        </is>
      </c>
      <c r="D614" s="102" t="inlineStr">
        <is>
          <t>Saída</t>
        </is>
      </c>
      <c r="E614" s="102" t="inlineStr">
        <is>
          <t>Retiradas de Sócios</t>
        </is>
      </c>
      <c r="F614" s="103" t="n">
        <v>25000</v>
      </c>
      <c r="G614" s="104" t="inlineStr">
        <is>
          <t>09/2026</t>
        </is>
      </c>
      <c r="H614" s="104" t="inlineStr">
        <is>
          <t>CODI</t>
        </is>
      </c>
    </row>
    <row r="615" ht="15" customHeight="1" s="86">
      <c r="B615" s="101" t="n">
        <v>46266</v>
      </c>
      <c r="C615" s="102" t="inlineStr">
        <is>
          <t>Despesa não Identificada - 09/2026</t>
        </is>
      </c>
      <c r="D615" s="102" t="inlineStr">
        <is>
          <t>Saída</t>
        </is>
      </c>
      <c r="E615" s="102" t="inlineStr">
        <is>
          <t>Despesa não Identificada</t>
        </is>
      </c>
      <c r="F615" s="103" t="n">
        <v>88770.88</v>
      </c>
      <c r="G615" s="104" t="inlineStr">
        <is>
          <t>09/2026</t>
        </is>
      </c>
      <c r="H615" s="104" t="inlineStr">
        <is>
          <t>ALV</t>
        </is>
      </c>
    </row>
    <row r="616" ht="15" customHeight="1" s="86">
      <c r="B616" s="101" t="n">
        <v>46266</v>
      </c>
      <c r="C616" s="102" t="inlineStr">
        <is>
          <t>Tráfego/Social Mídia - 09/2026</t>
        </is>
      </c>
      <c r="D616" s="102" t="inlineStr">
        <is>
          <t>Saída</t>
        </is>
      </c>
      <c r="E616" s="102" t="inlineStr">
        <is>
          <t>Tráfego/Social Mídia</t>
        </is>
      </c>
      <c r="F616" s="103" t="n">
        <v>6609.14</v>
      </c>
      <c r="G616" s="104" t="inlineStr">
        <is>
          <t>09/2026</t>
        </is>
      </c>
      <c r="H616" s="104" t="inlineStr">
        <is>
          <t>CODI</t>
        </is>
      </c>
    </row>
    <row r="617" ht="15" customHeight="1" s="86">
      <c r="B617" s="101" t="n">
        <v>46266</v>
      </c>
      <c r="C617" s="102" t="inlineStr">
        <is>
          <t>Frete e Transporte de Mercadorias - 09/2026</t>
        </is>
      </c>
      <c r="D617" s="102" t="inlineStr">
        <is>
          <t>Saída</t>
        </is>
      </c>
      <c r="E617" s="102" t="inlineStr">
        <is>
          <t>Frete e Transporte de Mercadorias</t>
        </is>
      </c>
      <c r="F617" s="103" t="n">
        <v>4838.41</v>
      </c>
      <c r="G617" s="104" t="inlineStr">
        <is>
          <t>09/2026</t>
        </is>
      </c>
      <c r="H617" s="104" t="inlineStr">
        <is>
          <t>CODI</t>
        </is>
      </c>
    </row>
    <row r="618" ht="15" customHeight="1" s="86">
      <c r="B618" s="101" t="n">
        <v>46266</v>
      </c>
      <c r="C618" s="102" t="inlineStr">
        <is>
          <t>Publicidade - 09/2026</t>
        </is>
      </c>
      <c r="D618" s="102" t="inlineStr">
        <is>
          <t>Saída</t>
        </is>
      </c>
      <c r="E618" s="102" t="inlineStr">
        <is>
          <t>Publicidade</t>
        </is>
      </c>
      <c r="F618" s="103" t="n">
        <v>2140</v>
      </c>
      <c r="G618" s="104" t="inlineStr">
        <is>
          <t>09/2026</t>
        </is>
      </c>
      <c r="H618" s="104" t="inlineStr">
        <is>
          <t>CODI</t>
        </is>
      </c>
    </row>
    <row r="619" ht="15" customHeight="1" s="86">
      <c r="B619" s="101" t="n">
        <v>46266</v>
      </c>
      <c r="C619" s="102" t="inlineStr">
        <is>
          <t>Manutenção de Imóveis - 09/2026</t>
        </is>
      </c>
      <c r="D619" s="102" t="inlineStr">
        <is>
          <t>Saída</t>
        </is>
      </c>
      <c r="E619" s="102" t="inlineStr">
        <is>
          <t>Manutenção de Imóveis</t>
        </is>
      </c>
      <c r="F619" s="103" t="n">
        <v>419</v>
      </c>
      <c r="G619" s="104" t="inlineStr">
        <is>
          <t>09/2026</t>
        </is>
      </c>
      <c r="H619" s="104" t="inlineStr">
        <is>
          <t>CODI</t>
        </is>
      </c>
    </row>
    <row r="620" ht="15" customHeight="1" s="86">
      <c r="B620" s="101" t="n">
        <v>46266</v>
      </c>
      <c r="C620" s="102" t="inlineStr">
        <is>
          <t>Facção - 09/2026</t>
        </is>
      </c>
      <c r="D620" s="102" t="inlineStr">
        <is>
          <t>Saída</t>
        </is>
      </c>
      <c r="E620" s="102" t="inlineStr">
        <is>
          <t>Facção</t>
        </is>
      </c>
      <c r="F620" s="103" t="n">
        <v>20873</v>
      </c>
      <c r="G620" s="104" t="inlineStr">
        <is>
          <t>09/2026</t>
        </is>
      </c>
      <c r="H620" s="104" t="inlineStr">
        <is>
          <t>CDK</t>
        </is>
      </c>
    </row>
    <row r="621" ht="15" customHeight="1" s="86">
      <c r="B621" s="101" t="n">
        <v>46266</v>
      </c>
      <c r="C621" s="102" t="inlineStr">
        <is>
          <t>Travete - 09/2026</t>
        </is>
      </c>
      <c r="D621" s="102" t="inlineStr">
        <is>
          <t>Saída</t>
        </is>
      </c>
      <c r="E621" s="102" t="inlineStr">
        <is>
          <t>Travete</t>
        </is>
      </c>
      <c r="F621" s="103" t="n">
        <v>793.8</v>
      </c>
      <c r="G621" s="104" t="inlineStr">
        <is>
          <t>09/2026</t>
        </is>
      </c>
      <c r="H621" s="104" t="inlineStr">
        <is>
          <t>CDK</t>
        </is>
      </c>
    </row>
    <row r="622" ht="15" customHeight="1" s="86">
      <c r="B622" s="101" t="n">
        <v>46266</v>
      </c>
      <c r="C622" s="102" t="inlineStr">
        <is>
          <t>Combustíveis - 09/2026</t>
        </is>
      </c>
      <c r="D622" s="102" t="inlineStr">
        <is>
          <t>Saída</t>
        </is>
      </c>
      <c r="E622" s="102" t="inlineStr">
        <is>
          <t>Combustíveis</t>
        </is>
      </c>
      <c r="F622" s="103" t="n">
        <v>673.28</v>
      </c>
      <c r="G622" s="104" t="inlineStr">
        <is>
          <t>09/2026</t>
        </is>
      </c>
      <c r="H622" s="104" t="inlineStr">
        <is>
          <t>CODI</t>
        </is>
      </c>
    </row>
    <row r="623" ht="15" customHeight="1" s="86">
      <c r="B623" s="101" t="n">
        <v>46266</v>
      </c>
      <c r="C623" s="102" t="inlineStr">
        <is>
          <t>Telefonia Móvel - 09/2026</t>
        </is>
      </c>
      <c r="D623" s="102" t="inlineStr">
        <is>
          <t>Saída</t>
        </is>
      </c>
      <c r="E623" s="102" t="inlineStr">
        <is>
          <t>Telefonia Móvel</t>
        </is>
      </c>
      <c r="F623" s="103" t="n">
        <v>90</v>
      </c>
      <c r="G623" s="104" t="inlineStr">
        <is>
          <t>09/2026</t>
        </is>
      </c>
      <c r="H623" s="104" t="inlineStr">
        <is>
          <t>CODI</t>
        </is>
      </c>
    </row>
    <row r="624" ht="15" customHeight="1" s="86">
      <c r="B624" s="101" t="n">
        <v>46266</v>
      </c>
      <c r="C624" s="102" t="inlineStr">
        <is>
          <t>Salário e Ordenados - 09/2026</t>
        </is>
      </c>
      <c r="D624" s="102" t="inlineStr">
        <is>
          <t>Saída</t>
        </is>
      </c>
      <c r="E624" s="102" t="inlineStr">
        <is>
          <t>Salário e Ordenados</t>
        </is>
      </c>
      <c r="F624" s="103" t="n">
        <v>28904.78</v>
      </c>
      <c r="G624" s="104" t="inlineStr">
        <is>
          <t>09/2026</t>
        </is>
      </c>
      <c r="H624" s="104" t="inlineStr">
        <is>
          <t>CODI</t>
        </is>
      </c>
    </row>
    <row r="625" ht="15" customHeight="1" s="86">
      <c r="B625" s="101" t="n">
        <v>46266</v>
      </c>
      <c r="C625" s="102" t="inlineStr">
        <is>
          <t>Vales e Adiantamentos - 09/2026</t>
        </is>
      </c>
      <c r="D625" s="102" t="inlineStr">
        <is>
          <t>Saída</t>
        </is>
      </c>
      <c r="E625" s="102" t="inlineStr">
        <is>
          <t>Vales e Adiantamentos</t>
        </is>
      </c>
      <c r="F625" s="103" t="n">
        <v>1744.46</v>
      </c>
      <c r="G625" s="104" t="inlineStr">
        <is>
          <t>09/2026</t>
        </is>
      </c>
      <c r="H625" s="104" t="inlineStr">
        <is>
          <t>CODI</t>
        </is>
      </c>
    </row>
    <row r="626" ht="15" customHeight="1" s="86">
      <c r="B626" s="101" t="n">
        <v>46266</v>
      </c>
      <c r="C626" s="102" t="inlineStr">
        <is>
          <t>Vale Transporte - 09/2026</t>
        </is>
      </c>
      <c r="D626" s="102" t="inlineStr">
        <is>
          <t>Saída</t>
        </is>
      </c>
      <c r="E626" s="102" t="inlineStr">
        <is>
          <t>Vale Transporte</t>
        </is>
      </c>
      <c r="F626" s="103" t="n">
        <v>1720</v>
      </c>
      <c r="G626" s="104" t="inlineStr">
        <is>
          <t>09/2026</t>
        </is>
      </c>
      <c r="H626" s="104" t="inlineStr">
        <is>
          <t>CODI</t>
        </is>
      </c>
    </row>
    <row r="627" ht="15" customHeight="1" s="86">
      <c r="B627" s="101" t="n">
        <v>46266</v>
      </c>
      <c r="C627" s="102" t="inlineStr">
        <is>
          <t>Advogados - Honorários - 09/2026</t>
        </is>
      </c>
      <c r="D627" s="102" t="inlineStr">
        <is>
          <t>Saída</t>
        </is>
      </c>
      <c r="E627" s="102" t="inlineStr">
        <is>
          <t>Advogados - Honorários</t>
        </is>
      </c>
      <c r="F627" s="103" t="n">
        <v>2500</v>
      </c>
      <c r="G627" s="104" t="inlineStr">
        <is>
          <t>09/2026</t>
        </is>
      </c>
      <c r="H627" s="104" t="inlineStr">
        <is>
          <t>CODI</t>
        </is>
      </c>
    </row>
    <row r="628" ht="15" customHeight="1" s="86">
      <c r="B628" s="101" t="n">
        <v>46266</v>
      </c>
      <c r="C628" s="102" t="inlineStr">
        <is>
          <t>Assessoria Técnica Profissional - 09/2026</t>
        </is>
      </c>
      <c r="D628" s="102" t="inlineStr">
        <is>
          <t>Saída</t>
        </is>
      </c>
      <c r="E628" s="102" t="inlineStr">
        <is>
          <t>Assessoria Técnica Profissional</t>
        </is>
      </c>
      <c r="F628" s="103" t="n">
        <v>3500</v>
      </c>
      <c r="G628" s="104" t="inlineStr">
        <is>
          <t>09/2026</t>
        </is>
      </c>
      <c r="H628" s="104" t="inlineStr">
        <is>
          <t>CODI</t>
        </is>
      </c>
    </row>
    <row r="629" ht="15" customHeight="1" s="86">
      <c r="B629" s="101" t="n">
        <v>46266</v>
      </c>
      <c r="C629" s="102" t="inlineStr">
        <is>
          <t>Tecidos - 09/2026</t>
        </is>
      </c>
      <c r="D629" s="102" t="inlineStr">
        <is>
          <t>Saída</t>
        </is>
      </c>
      <c r="E629" s="102" t="inlineStr">
        <is>
          <t>Tecidos</t>
        </is>
      </c>
      <c r="F629" s="103" t="n">
        <v>22076.14</v>
      </c>
      <c r="G629" s="104" t="inlineStr">
        <is>
          <t>09/2026</t>
        </is>
      </c>
      <c r="H629" s="104" t="inlineStr">
        <is>
          <t>CDK</t>
        </is>
      </c>
    </row>
    <row r="630" ht="15" customHeight="1" s="86">
      <c r="B630" s="101" t="n">
        <v>46266</v>
      </c>
      <c r="C630" s="102" t="inlineStr">
        <is>
          <t>Acabamento Externo - 09/2026</t>
        </is>
      </c>
      <c r="D630" s="102" t="inlineStr">
        <is>
          <t>Saída</t>
        </is>
      </c>
      <c r="E630" s="102" t="inlineStr">
        <is>
          <t>Acabamento Externo</t>
        </is>
      </c>
      <c r="F630" s="103" t="n">
        <v>2932</v>
      </c>
      <c r="G630" s="104" t="inlineStr">
        <is>
          <t>09/2026</t>
        </is>
      </c>
      <c r="H630" s="104" t="inlineStr">
        <is>
          <t>CDK</t>
        </is>
      </c>
    </row>
    <row r="631" ht="15" customHeight="1" s="86">
      <c r="B631" s="101" t="n">
        <v>46266</v>
      </c>
      <c r="C631" s="102" t="inlineStr">
        <is>
          <t>Web Site e Sistema ERP - 09/2026</t>
        </is>
      </c>
      <c r="D631" s="102" t="inlineStr">
        <is>
          <t>Saída</t>
        </is>
      </c>
      <c r="E631" s="102" t="inlineStr">
        <is>
          <t>Web Site e Sistema ERP</t>
        </is>
      </c>
      <c r="F631" s="103" t="n">
        <v>1819.4</v>
      </c>
      <c r="G631" s="104" t="inlineStr">
        <is>
          <t>09/2026</t>
        </is>
      </c>
      <c r="H631" s="104" t="inlineStr">
        <is>
          <t>CODI</t>
        </is>
      </c>
    </row>
    <row r="632" ht="15" customHeight="1" s="86">
      <c r="B632" s="101" t="n">
        <v>46266</v>
      </c>
      <c r="C632" s="102" t="inlineStr">
        <is>
          <t>Aluguéis e Condomínios - 09/2026</t>
        </is>
      </c>
      <c r="D632" s="102" t="inlineStr">
        <is>
          <t>Saída</t>
        </is>
      </c>
      <c r="E632" s="102" t="inlineStr">
        <is>
          <t>Aluguéis e Condomínios</t>
        </is>
      </c>
      <c r="F632" s="103" t="n">
        <v>6484</v>
      </c>
      <c r="G632" s="104" t="inlineStr">
        <is>
          <t>09/2026</t>
        </is>
      </c>
      <c r="H632" s="104" t="inlineStr">
        <is>
          <t>CODI</t>
        </is>
      </c>
    </row>
    <row r="633" ht="15" customHeight="1" s="86">
      <c r="B633" s="101" t="n">
        <v>46266</v>
      </c>
      <c r="C633" s="102" t="inlineStr">
        <is>
          <t>Honorários Contábeis (Contabilidade) - 09/2026</t>
        </is>
      </c>
      <c r="D633" s="102" t="inlineStr">
        <is>
          <t>Saída</t>
        </is>
      </c>
      <c r="E633" s="102" t="inlineStr">
        <is>
          <t>Honorários Contábeis (Contabilidade)</t>
        </is>
      </c>
      <c r="F633" s="103" t="n">
        <v>1100</v>
      </c>
      <c r="G633" s="104" t="inlineStr">
        <is>
          <t>09/2026</t>
        </is>
      </c>
      <c r="H633" s="104" t="inlineStr">
        <is>
          <t>CODI</t>
        </is>
      </c>
    </row>
    <row r="634" ht="15" customHeight="1" s="86">
      <c r="B634" s="101" t="n">
        <v>46266</v>
      </c>
      <c r="C634" s="102" t="inlineStr">
        <is>
          <t>Consórcio - 09/2026</t>
        </is>
      </c>
      <c r="D634" s="102" t="inlineStr">
        <is>
          <t>Saída</t>
        </is>
      </c>
      <c r="E634" s="102" t="inlineStr">
        <is>
          <t>Consórcio</t>
        </is>
      </c>
      <c r="F634" s="103" t="n">
        <v>2055.6</v>
      </c>
      <c r="G634" s="104" t="inlineStr">
        <is>
          <t>09/2026</t>
        </is>
      </c>
      <c r="H634" s="104" t="inlineStr">
        <is>
          <t>CODI</t>
        </is>
      </c>
    </row>
    <row r="635" ht="15" customHeight="1" s="86">
      <c r="B635" s="101" t="n">
        <v>46266</v>
      </c>
      <c r="C635" s="102" t="inlineStr">
        <is>
          <t>Outros Tributos - 09/2026</t>
        </is>
      </c>
      <c r="D635" s="102" t="inlineStr">
        <is>
          <t>Saída</t>
        </is>
      </c>
      <c r="E635" s="102" t="inlineStr">
        <is>
          <t>Outros Tributos</t>
        </is>
      </c>
      <c r="F635" s="103" t="n">
        <v>83</v>
      </c>
      <c r="G635" s="104" t="inlineStr">
        <is>
          <t>09/2026</t>
        </is>
      </c>
      <c r="H635" s="104" t="inlineStr">
        <is>
          <t>CODI</t>
        </is>
      </c>
    </row>
    <row r="636" ht="15" customHeight="1" s="86">
      <c r="B636" s="101" t="n">
        <v>46266</v>
      </c>
      <c r="C636" s="102" t="inlineStr">
        <is>
          <t>Acertos e Recisões - 09/2026</t>
        </is>
      </c>
      <c r="D636" s="102" t="inlineStr">
        <is>
          <t>Saída</t>
        </is>
      </c>
      <c r="E636" s="102" t="inlineStr">
        <is>
          <t>Acertos e Recisões</t>
        </is>
      </c>
      <c r="F636" s="103" t="n">
        <v>62942.24</v>
      </c>
      <c r="G636" s="104" t="inlineStr">
        <is>
          <t>09/2026</t>
        </is>
      </c>
      <c r="H636" s="104" t="inlineStr">
        <is>
          <t>CODI</t>
        </is>
      </c>
    </row>
    <row r="637" ht="15" customHeight="1" s="86">
      <c r="B637" s="101" t="n">
        <v>46266</v>
      </c>
      <c r="C637" s="102" t="inlineStr">
        <is>
          <t>ICMS - 09/2026</t>
        </is>
      </c>
      <c r="D637" s="102" t="inlineStr">
        <is>
          <t>Saída</t>
        </is>
      </c>
      <c r="E637" s="102" t="inlineStr">
        <is>
          <t>ICMS</t>
        </is>
      </c>
      <c r="F637" s="103" t="n">
        <v>606.35</v>
      </c>
      <c r="G637" s="104" t="inlineStr">
        <is>
          <t>09/2026</t>
        </is>
      </c>
      <c r="H637" s="104" t="inlineStr">
        <is>
          <t>CODI</t>
        </is>
      </c>
    </row>
    <row r="638" ht="15" customHeight="1" s="86">
      <c r="B638" s="101" t="n">
        <v>46266</v>
      </c>
      <c r="C638" s="102" t="inlineStr">
        <is>
          <t>Etiquetas - 09/2026</t>
        </is>
      </c>
      <c r="D638" s="102" t="inlineStr">
        <is>
          <t>Saída</t>
        </is>
      </c>
      <c r="E638" s="102" t="inlineStr">
        <is>
          <t>Etiquetas</t>
        </is>
      </c>
      <c r="F638" s="103" t="n">
        <v>120</v>
      </c>
      <c r="G638" s="104" t="inlineStr">
        <is>
          <t>09/2026</t>
        </is>
      </c>
      <c r="H638" s="104" t="inlineStr">
        <is>
          <t>CDK</t>
        </is>
      </c>
    </row>
    <row r="639" ht="15" customHeight="1" s="86">
      <c r="B639" s="101" t="n">
        <v>46266</v>
      </c>
      <c r="C639" s="102" t="inlineStr">
        <is>
          <t>Manutenção de Veiculos e Estacionamento - 09/2026</t>
        </is>
      </c>
      <c r="D639" s="102" t="inlineStr">
        <is>
          <t>Saída</t>
        </is>
      </c>
      <c r="E639" s="102" t="inlineStr">
        <is>
          <t>Manutenção de Veiculos e Estacionamento</t>
        </is>
      </c>
      <c r="F639" s="103" t="n">
        <v>20</v>
      </c>
      <c r="G639" s="104" t="inlineStr">
        <is>
          <t>09/2026</t>
        </is>
      </c>
      <c r="H639" s="104" t="inlineStr">
        <is>
          <t>CODI</t>
        </is>
      </c>
    </row>
    <row r="640" ht="15" customHeight="1" s="86">
      <c r="B640" s="101" t="n">
        <v>46266</v>
      </c>
      <c r="C640" s="102" t="inlineStr">
        <is>
          <t>Consulta de Crédito Cliente - 09/2026</t>
        </is>
      </c>
      <c r="D640" s="102" t="inlineStr">
        <is>
          <t>Saída</t>
        </is>
      </c>
      <c r="E640" s="102" t="inlineStr">
        <is>
          <t>Consulta de Crédito Cliente</t>
        </is>
      </c>
      <c r="F640" s="103" t="n">
        <v>424.36</v>
      </c>
      <c r="G640" s="104" t="inlineStr">
        <is>
          <t>09/2026</t>
        </is>
      </c>
      <c r="H640" s="104" t="inlineStr">
        <is>
          <t>CODI</t>
        </is>
      </c>
    </row>
    <row r="641" ht="15" customHeight="1" s="86">
      <c r="B641" s="101" t="n">
        <v>46266</v>
      </c>
      <c r="C641" s="102" t="inlineStr">
        <is>
          <t>Aviamento - 09/2026</t>
        </is>
      </c>
      <c r="D641" s="102" t="inlineStr">
        <is>
          <t>Saída</t>
        </is>
      </c>
      <c r="E641" s="102" t="inlineStr">
        <is>
          <t>Aviamento</t>
        </is>
      </c>
      <c r="F641" s="103" t="n">
        <v>712.5</v>
      </c>
      <c r="G641" s="104" t="inlineStr">
        <is>
          <t>09/2026</t>
        </is>
      </c>
      <c r="H641" s="104" t="inlineStr">
        <is>
          <t>CDK</t>
        </is>
      </c>
    </row>
    <row r="642" ht="15" customHeight="1" s="86">
      <c r="B642" s="101" t="n">
        <v>46266</v>
      </c>
      <c r="C642" s="102" t="inlineStr">
        <is>
          <t>Seguros - 09/2026</t>
        </is>
      </c>
      <c r="D642" s="102" t="inlineStr">
        <is>
          <t>Saída</t>
        </is>
      </c>
      <c r="E642" s="102" t="inlineStr">
        <is>
          <t>Seguros</t>
        </is>
      </c>
      <c r="F642" s="103" t="n">
        <v>1198.14</v>
      </c>
      <c r="G642" s="104" t="inlineStr">
        <is>
          <t>09/2026</t>
        </is>
      </c>
      <c r="H642" s="104" t="inlineStr">
        <is>
          <t>CODI</t>
        </is>
      </c>
    </row>
    <row r="643" ht="15" customHeight="1" s="86">
      <c r="B643" s="101" t="n">
        <v>46266</v>
      </c>
      <c r="C643" s="102" t="inlineStr">
        <is>
          <t>Coquetéis, festas e outros eventos - 09/2026</t>
        </is>
      </c>
      <c r="D643" s="102" t="inlineStr">
        <is>
          <t>Saída</t>
        </is>
      </c>
      <c r="E643" s="102" t="inlineStr">
        <is>
          <t>Coquetéis, festas e outros eventos</t>
        </is>
      </c>
      <c r="F643" s="103" t="n">
        <v>199</v>
      </c>
      <c r="G643" s="104" t="inlineStr">
        <is>
          <t>09/2026</t>
        </is>
      </c>
      <c r="H643" s="104" t="inlineStr">
        <is>
          <t>CODI</t>
        </is>
      </c>
    </row>
    <row r="644" ht="15" customHeight="1" s="86">
      <c r="B644" s="101" t="n">
        <v>46266</v>
      </c>
      <c r="C644" s="102" t="inlineStr">
        <is>
          <t>Embalagens - 09/2026</t>
        </is>
      </c>
      <c r="D644" s="102" t="inlineStr">
        <is>
          <t>Saída</t>
        </is>
      </c>
      <c r="E644" s="102" t="inlineStr">
        <is>
          <t>Embalagens</t>
        </is>
      </c>
      <c r="F644" s="103" t="n">
        <v>915</v>
      </c>
      <c r="G644" s="104" t="inlineStr">
        <is>
          <t>09/2026</t>
        </is>
      </c>
      <c r="H644" s="104" t="inlineStr">
        <is>
          <t>CDK</t>
        </is>
      </c>
    </row>
    <row r="645" ht="15" customHeight="1" s="86">
      <c r="B645" s="101" t="n">
        <v>46266</v>
      </c>
      <c r="C645" s="102" t="inlineStr">
        <is>
          <t>Lavanderia - 09/2026</t>
        </is>
      </c>
      <c r="D645" s="102" t="inlineStr">
        <is>
          <t>Saída</t>
        </is>
      </c>
      <c r="E645" s="102" t="inlineStr">
        <is>
          <t>Lavanderia</t>
        </is>
      </c>
      <c r="F645" s="103" t="n">
        <v>394</v>
      </c>
      <c r="G645" s="104" t="inlineStr">
        <is>
          <t>09/2026</t>
        </is>
      </c>
      <c r="H645" s="104" t="inlineStr">
        <is>
          <t>CDK</t>
        </is>
      </c>
    </row>
    <row r="646" ht="15" customHeight="1" s="86">
      <c r="B646" s="101" t="n">
        <v>46266</v>
      </c>
      <c r="C646" s="102" t="inlineStr">
        <is>
          <t>Darf - 09/2026</t>
        </is>
      </c>
      <c r="D646" s="102" t="inlineStr">
        <is>
          <t>Saída</t>
        </is>
      </c>
      <c r="E646" s="102" t="inlineStr">
        <is>
          <t>Darf</t>
        </is>
      </c>
      <c r="F646" s="103" t="n">
        <v>2807.95</v>
      </c>
      <c r="G646" s="104" t="inlineStr">
        <is>
          <t>09/2026</t>
        </is>
      </c>
      <c r="H646" s="104" t="inlineStr">
        <is>
          <t>CODI</t>
        </is>
      </c>
    </row>
    <row r="647" ht="15" customHeight="1" s="86">
      <c r="B647" s="101" t="n">
        <v>46266</v>
      </c>
      <c r="C647" s="102" t="inlineStr">
        <is>
          <t>Fgts, Gps e Pis - 09/2026</t>
        </is>
      </c>
      <c r="D647" s="102" t="inlineStr">
        <is>
          <t>Saída</t>
        </is>
      </c>
      <c r="E647" s="102" t="inlineStr">
        <is>
          <t>Fgts, Gps e Pis</t>
        </is>
      </c>
      <c r="F647" s="103" t="n">
        <v>3870.81</v>
      </c>
      <c r="G647" s="104" t="inlineStr">
        <is>
          <t>09/2026</t>
        </is>
      </c>
      <c r="H647" s="104" t="inlineStr">
        <is>
          <t>CODI</t>
        </is>
      </c>
    </row>
    <row r="648" ht="15" customHeight="1" s="86">
      <c r="B648" s="101" t="n">
        <v>46266</v>
      </c>
      <c r="C648" s="102" t="inlineStr">
        <is>
          <t>Segurança e Monitoramento - 09/2026</t>
        </is>
      </c>
      <c r="D648" s="102" t="inlineStr">
        <is>
          <t>Saída</t>
        </is>
      </c>
      <c r="E648" s="102" t="inlineStr">
        <is>
          <t>Segurança e Monitoramento</t>
        </is>
      </c>
      <c r="F648" s="103" t="n">
        <v>248</v>
      </c>
      <c r="G648" s="104" t="inlineStr">
        <is>
          <t>09/2026</t>
        </is>
      </c>
      <c r="H648" s="104" t="inlineStr">
        <is>
          <t>CODI</t>
        </is>
      </c>
    </row>
    <row r="649" ht="15" customHeight="1" s="86">
      <c r="B649" s="101" t="n">
        <v>46266</v>
      </c>
      <c r="C649" s="102" t="inlineStr">
        <is>
          <t>Telefonia Fixa e Internet - 09/2026</t>
        </is>
      </c>
      <c r="D649" s="102" t="inlineStr">
        <is>
          <t>Saída</t>
        </is>
      </c>
      <c r="E649" s="102" t="inlineStr">
        <is>
          <t>Telefonia Fixa e Internet</t>
        </is>
      </c>
      <c r="F649" s="103" t="n">
        <v>130</v>
      </c>
      <c r="G649" s="104" t="inlineStr">
        <is>
          <t>09/2026</t>
        </is>
      </c>
      <c r="H649" s="104" t="inlineStr">
        <is>
          <t>CODI</t>
        </is>
      </c>
    </row>
    <row r="650" ht="15" customHeight="1" s="86">
      <c r="B650" s="101" t="n">
        <v>46266</v>
      </c>
      <c r="C650" s="102" t="inlineStr">
        <is>
          <t>Despesa não Identificada - 09/2026</t>
        </is>
      </c>
      <c r="D650" s="102" t="inlineStr">
        <is>
          <t>Saída</t>
        </is>
      </c>
      <c r="E650" s="102" t="inlineStr">
        <is>
          <t>Despesa não Identificada</t>
        </is>
      </c>
      <c r="F650" s="103" t="n">
        <v>13304.36</v>
      </c>
      <c r="G650" s="104" t="inlineStr">
        <is>
          <t>09/2026</t>
        </is>
      </c>
      <c r="H650" s="104" t="inlineStr">
        <is>
          <t>CODI</t>
        </is>
      </c>
    </row>
    <row r="651" ht="15" customHeight="1" s="86">
      <c r="B651" s="101" t="n">
        <v>46266</v>
      </c>
      <c r="C651" s="102" t="inlineStr">
        <is>
          <t>Exame Adminissional/Demissional - 09/2026</t>
        </is>
      </c>
      <c r="D651" s="102" t="inlineStr">
        <is>
          <t>Saída</t>
        </is>
      </c>
      <c r="E651" s="102" t="inlineStr">
        <is>
          <t>Exame Adminissional/Demissional</t>
        </is>
      </c>
      <c r="F651" s="103" t="n">
        <v>80</v>
      </c>
      <c r="G651" s="104" t="inlineStr">
        <is>
          <t>09/2026</t>
        </is>
      </c>
      <c r="H651" s="104" t="inlineStr">
        <is>
          <t>CODI</t>
        </is>
      </c>
    </row>
    <row r="652" ht="15" customHeight="1" s="86">
      <c r="B652" s="101" t="n">
        <v>46266</v>
      </c>
      <c r="C652" s="102" t="inlineStr">
        <is>
          <t>Energia Elétrica - 09/2026</t>
        </is>
      </c>
      <c r="D652" s="102" t="inlineStr">
        <is>
          <t>Saída</t>
        </is>
      </c>
      <c r="E652" s="102" t="inlineStr">
        <is>
          <t>Energia Elétrica</t>
        </is>
      </c>
      <c r="F652" s="103" t="n">
        <v>506.25</v>
      </c>
      <c r="G652" s="104" t="inlineStr">
        <is>
          <t>09/2026</t>
        </is>
      </c>
      <c r="H652" s="104" t="inlineStr">
        <is>
          <t>CODI</t>
        </is>
      </c>
    </row>
    <row r="653" ht="15" customHeight="1" s="86">
      <c r="B653" s="101" t="n">
        <v>46266</v>
      </c>
      <c r="C653" s="102" t="inlineStr">
        <is>
          <t>Material de Escritório - 09/2026</t>
        </is>
      </c>
      <c r="D653" s="102" t="inlineStr">
        <is>
          <t>Saída</t>
        </is>
      </c>
      <c r="E653" s="102" t="inlineStr">
        <is>
          <t>Material de Escritório</t>
        </is>
      </c>
      <c r="F653" s="103" t="n">
        <v>449.43</v>
      </c>
      <c r="G653" s="104" t="inlineStr">
        <is>
          <t>09/2026</t>
        </is>
      </c>
      <c r="H653" s="104" t="inlineStr">
        <is>
          <t>CODI</t>
        </is>
      </c>
    </row>
    <row r="654" ht="15" customHeight="1" s="86">
      <c r="B654" s="101" t="n">
        <v>46266</v>
      </c>
      <c r="C654" s="102" t="inlineStr">
        <is>
          <t>Água - 09/2026</t>
        </is>
      </c>
      <c r="D654" s="102" t="inlineStr">
        <is>
          <t>Saída</t>
        </is>
      </c>
      <c r="E654" s="102" t="inlineStr">
        <is>
          <t>Água</t>
        </is>
      </c>
      <c r="F654" s="103" t="n">
        <v>286.52</v>
      </c>
      <c r="G654" s="104" t="inlineStr">
        <is>
          <t>09/2026</t>
        </is>
      </c>
      <c r="H654" s="104" t="inlineStr">
        <is>
          <t>CODI</t>
        </is>
      </c>
    </row>
    <row r="655" ht="15" customHeight="1" s="86">
      <c r="B655" s="105" t="n"/>
      <c r="C655" s="106" t="n"/>
      <c r="D655" s="106" t="n"/>
      <c r="E655" s="106" t="n"/>
      <c r="F655" s="107" t="n"/>
      <c r="G655" s="108" t="n"/>
      <c r="H655" s="129" t="n"/>
    </row>
    <row r="656" ht="15" customHeight="1" s="86">
      <c r="B656" s="105" t="n"/>
      <c r="C656" s="106" t="n"/>
      <c r="D656" s="106" t="n"/>
      <c r="E656" s="106" t="n"/>
      <c r="F656" s="107" t="n"/>
      <c r="G656" s="108" t="n"/>
      <c r="H656" s="129" t="n"/>
    </row>
    <row r="657" ht="15" customHeight="1" s="86">
      <c r="B657" s="105" t="n"/>
      <c r="C657" s="106" t="n"/>
      <c r="D657" s="106" t="n"/>
      <c r="E657" s="106" t="n"/>
      <c r="F657" s="107" t="n"/>
      <c r="G657" s="108" t="n"/>
      <c r="H657" s="129" t="n"/>
    </row>
    <row r="658" ht="15" customHeight="1" s="86">
      <c r="B658" s="105" t="n"/>
      <c r="C658" s="106" t="n"/>
      <c r="D658" s="106" t="n"/>
      <c r="E658" s="106" t="n"/>
      <c r="F658" s="107" t="n"/>
      <c r="G658" s="108" t="n"/>
      <c r="H658" s="129" t="n"/>
    </row>
    <row r="659" ht="15" customHeight="1" s="86">
      <c r="B659" s="105" t="n"/>
      <c r="C659" s="106" t="n"/>
      <c r="D659" s="106" t="n"/>
      <c r="E659" s="106" t="n"/>
      <c r="F659" s="107" t="n"/>
      <c r="G659" s="108" t="n"/>
      <c r="H659" s="129" t="n"/>
    </row>
    <row r="660" ht="15" customHeight="1" s="86">
      <c r="B660" s="105" t="n"/>
      <c r="C660" s="106" t="n"/>
      <c r="D660" s="106" t="n"/>
      <c r="E660" s="106" t="n"/>
      <c r="F660" s="107" t="n"/>
      <c r="G660" s="108" t="n"/>
      <c r="H660" s="129" t="n"/>
    </row>
    <row r="661" ht="15" customHeight="1" s="86">
      <c r="B661" s="105" t="n"/>
      <c r="C661" s="106" t="n"/>
      <c r="D661" s="106" t="n"/>
      <c r="E661" s="106" t="n"/>
      <c r="F661" s="107" t="n"/>
      <c r="G661" s="108" t="n"/>
      <c r="H661" s="129" t="n"/>
    </row>
    <row r="662" ht="15" customHeight="1" s="86">
      <c r="B662" s="105" t="n"/>
      <c r="C662" s="106" t="n"/>
      <c r="D662" s="106" t="n"/>
      <c r="E662" s="106" t="n"/>
      <c r="F662" s="107" t="n"/>
      <c r="G662" s="108" t="n"/>
      <c r="H662" s="129" t="n"/>
    </row>
    <row r="663" ht="15" customHeight="1" s="86">
      <c r="B663" s="105" t="n"/>
      <c r="C663" s="106" t="n"/>
      <c r="D663" s="106" t="n"/>
      <c r="E663" s="106" t="n"/>
      <c r="F663" s="107" t="n"/>
      <c r="G663" s="108" t="n"/>
      <c r="H663" s="129" t="n"/>
    </row>
    <row r="664" ht="15" customHeight="1" s="86">
      <c r="B664" s="105" t="n"/>
      <c r="C664" s="106" t="n"/>
      <c r="D664" s="106" t="n"/>
      <c r="E664" s="106" t="n"/>
      <c r="F664" s="107" t="n"/>
      <c r="G664" s="108" t="n"/>
      <c r="H664" s="129" t="n"/>
    </row>
    <row r="665" ht="15" customHeight="1" s="86">
      <c r="B665" s="105" t="n"/>
      <c r="C665" s="106" t="n"/>
      <c r="D665" s="106" t="n"/>
      <c r="E665" s="106" t="n"/>
      <c r="F665" s="107" t="n"/>
      <c r="G665" s="108" t="n"/>
      <c r="H665" s="129" t="n"/>
    </row>
    <row r="666" ht="15" customHeight="1" s="86">
      <c r="B666" s="105" t="n"/>
      <c r="C666" s="106" t="n"/>
      <c r="D666" s="106" t="n"/>
      <c r="E666" s="106" t="n"/>
      <c r="F666" s="107" t="n"/>
      <c r="G666" s="108" t="n"/>
      <c r="H666" s="129" t="n"/>
    </row>
    <row r="667" ht="15" customHeight="1" s="86">
      <c r="B667" s="105" t="n"/>
      <c r="C667" s="106" t="n"/>
      <c r="D667" s="106" t="n"/>
      <c r="E667" s="106" t="n"/>
      <c r="F667" s="107" t="n"/>
      <c r="G667" s="108" t="n"/>
      <c r="H667" s="129" t="n"/>
    </row>
    <row r="668" ht="15" customHeight="1" s="86">
      <c r="B668" s="105" t="n"/>
      <c r="C668" s="106" t="n"/>
      <c r="D668" s="106" t="n"/>
      <c r="E668" s="106" t="n"/>
      <c r="F668" s="107" t="n"/>
      <c r="G668" s="108" t="n"/>
      <c r="H668" s="129" t="n"/>
    </row>
    <row r="669" ht="15" customHeight="1" s="86">
      <c r="B669" s="105" t="n"/>
      <c r="C669" s="106" t="n"/>
      <c r="D669" s="106" t="n"/>
      <c r="E669" s="106" t="n"/>
      <c r="F669" s="107" t="n"/>
      <c r="G669" s="108" t="n"/>
      <c r="H669" s="129" t="n"/>
    </row>
    <row r="670" ht="15" customHeight="1" s="86">
      <c r="B670" s="105" t="n"/>
      <c r="C670" s="106" t="n"/>
      <c r="D670" s="106" t="n"/>
      <c r="E670" s="106" t="n"/>
      <c r="F670" s="107" t="n"/>
      <c r="G670" s="108" t="n"/>
      <c r="H670" s="129" t="n"/>
    </row>
    <row r="671" ht="15" customHeight="1" s="86">
      <c r="B671" s="105" t="n"/>
      <c r="C671" s="106" t="n"/>
      <c r="D671" s="106" t="n"/>
      <c r="E671" s="106" t="n"/>
      <c r="F671" s="107" t="n"/>
      <c r="G671" s="108" t="n"/>
      <c r="H671" s="129" t="n"/>
    </row>
    <row r="672" ht="15" customHeight="1" s="86">
      <c r="B672" s="105" t="n"/>
      <c r="C672" s="106" t="n"/>
      <c r="D672" s="106" t="n"/>
      <c r="E672" s="106" t="n"/>
      <c r="F672" s="107" t="n"/>
      <c r="G672" s="108" t="n"/>
      <c r="H672" s="129" t="n"/>
    </row>
    <row r="673" ht="15" customHeight="1" s="86">
      <c r="B673" s="105" t="n"/>
      <c r="C673" s="106" t="n"/>
      <c r="D673" s="106" t="n"/>
      <c r="E673" s="106" t="n"/>
      <c r="F673" s="107" t="n"/>
      <c r="G673" s="108" t="n"/>
      <c r="H673" s="129" t="n"/>
    </row>
    <row r="674" ht="15" customHeight="1" s="86">
      <c r="B674" s="105" t="n"/>
      <c r="C674" s="106" t="n"/>
      <c r="D674" s="106" t="n"/>
      <c r="E674" s="106" t="n"/>
      <c r="F674" s="107" t="n"/>
      <c r="G674" s="108" t="n"/>
      <c r="H674" s="129" t="n"/>
    </row>
    <row r="675" ht="15" customHeight="1" s="86">
      <c r="B675" s="105" t="n"/>
      <c r="C675" s="106" t="n"/>
      <c r="D675" s="106" t="n"/>
      <c r="E675" s="106" t="n"/>
      <c r="F675" s="107" t="n"/>
      <c r="G675" s="108" t="n"/>
      <c r="H675" s="129" t="n"/>
    </row>
    <row r="676" ht="15" customHeight="1" s="86">
      <c r="B676" s="105" t="n"/>
      <c r="C676" s="106" t="n"/>
      <c r="D676" s="106" t="n"/>
      <c r="E676" s="106" t="n"/>
      <c r="F676" s="107" t="n"/>
      <c r="G676" s="108" t="n"/>
      <c r="H676" s="129" t="n"/>
    </row>
    <row r="677" ht="15" customHeight="1" s="86">
      <c r="B677" s="105" t="n"/>
      <c r="C677" s="106" t="n"/>
      <c r="D677" s="106" t="n"/>
      <c r="E677" s="106" t="n"/>
      <c r="F677" s="107" t="n"/>
      <c r="G677" s="108" t="n"/>
      <c r="H677" s="129" t="n"/>
    </row>
    <row r="678" ht="15" customHeight="1" s="86">
      <c r="B678" s="105" t="n"/>
      <c r="C678" s="106" t="n"/>
      <c r="D678" s="106" t="n"/>
      <c r="E678" s="106" t="n"/>
      <c r="F678" s="107" t="n"/>
      <c r="G678" s="108" t="n"/>
      <c r="H678" s="129" t="n"/>
    </row>
    <row r="679" ht="15" customHeight="1" s="86">
      <c r="B679" s="105" t="n"/>
      <c r="C679" s="106" t="n"/>
      <c r="D679" s="106" t="n"/>
      <c r="E679" s="106" t="n"/>
      <c r="F679" s="107" t="n"/>
      <c r="G679" s="108" t="n"/>
      <c r="H679" s="129" t="n"/>
    </row>
    <row r="680" ht="15" customHeight="1" s="86">
      <c r="B680" s="105" t="n"/>
      <c r="C680" s="106" t="n"/>
      <c r="D680" s="106" t="n"/>
      <c r="E680" s="106" t="n"/>
      <c r="F680" s="107" t="n"/>
      <c r="G680" s="108" t="n"/>
      <c r="H680" s="129" t="n"/>
    </row>
    <row r="681" ht="15" customHeight="1" s="86">
      <c r="B681" s="105" t="n"/>
      <c r="C681" s="106" t="n"/>
      <c r="D681" s="106" t="n"/>
      <c r="E681" s="106" t="n"/>
      <c r="F681" s="107" t="n"/>
      <c r="G681" s="108" t="n"/>
      <c r="H681" s="129" t="n"/>
    </row>
    <row r="682" ht="15" customHeight="1" s="86">
      <c r="B682" s="105" t="n"/>
      <c r="C682" s="106" t="n"/>
      <c r="D682" s="106" t="n"/>
      <c r="E682" s="106" t="n"/>
      <c r="F682" s="107" t="n"/>
      <c r="G682" s="108" t="n"/>
      <c r="H682" s="129" t="n"/>
    </row>
    <row r="683" ht="15" customHeight="1" s="86">
      <c r="B683" s="105" t="n"/>
      <c r="C683" s="106" t="n"/>
      <c r="D683" s="106" t="n"/>
      <c r="E683" s="106" t="n"/>
      <c r="F683" s="107" t="n"/>
      <c r="G683" s="108" t="n"/>
      <c r="H683" s="129" t="n"/>
    </row>
    <row r="684" ht="15" customHeight="1" s="86">
      <c r="B684" s="105" t="n"/>
      <c r="C684" s="106" t="n"/>
      <c r="D684" s="106" t="n"/>
      <c r="E684" s="106" t="n"/>
      <c r="F684" s="107" t="n"/>
      <c r="G684" s="108" t="n"/>
      <c r="H684" s="129" t="n"/>
    </row>
    <row r="685" ht="15" customHeight="1" s="86">
      <c r="B685" s="105" t="n"/>
      <c r="C685" s="106" t="n"/>
      <c r="D685" s="106" t="n"/>
      <c r="E685" s="106" t="n"/>
      <c r="F685" s="107" t="n"/>
      <c r="G685" s="108" t="n"/>
      <c r="H685" s="129" t="n"/>
    </row>
    <row r="686" ht="15" customHeight="1" s="86">
      <c r="B686" s="105" t="n"/>
      <c r="C686" s="106" t="n"/>
      <c r="D686" s="106" t="n"/>
      <c r="E686" s="106" t="n"/>
      <c r="F686" s="107" t="n"/>
      <c r="G686" s="108" t="n"/>
      <c r="H686" s="129" t="n"/>
    </row>
    <row r="687" ht="15" customHeight="1" s="86">
      <c r="B687" s="105" t="n"/>
      <c r="C687" s="106" t="n"/>
      <c r="D687" s="106" t="n"/>
      <c r="E687" s="106" t="n"/>
      <c r="F687" s="107" t="n"/>
      <c r="G687" s="108" t="n"/>
      <c r="H687" s="129" t="n"/>
    </row>
    <row r="688" ht="15" customHeight="1" s="86">
      <c r="B688" s="105" t="n"/>
      <c r="C688" s="106" t="n"/>
      <c r="D688" s="106" t="n"/>
      <c r="E688" s="106" t="n"/>
      <c r="F688" s="107" t="n"/>
      <c r="G688" s="108" t="n"/>
      <c r="H688" s="129" t="n"/>
    </row>
    <row r="689" ht="15" customHeight="1" s="86">
      <c r="B689" s="105" t="n"/>
      <c r="C689" s="106" t="n"/>
      <c r="D689" s="106" t="n"/>
      <c r="E689" s="106" t="n"/>
      <c r="F689" s="107" t="n"/>
      <c r="G689" s="108" t="n"/>
      <c r="H689" s="129" t="n"/>
    </row>
    <row r="690" ht="15" customHeight="1" s="86">
      <c r="B690" s="105" t="n"/>
      <c r="C690" s="106" t="n"/>
      <c r="D690" s="106" t="n"/>
      <c r="E690" s="106" t="n"/>
      <c r="F690" s="107" t="n"/>
      <c r="G690" s="108" t="n"/>
      <c r="H690" s="129" t="n"/>
    </row>
    <row r="691" ht="15" customHeight="1" s="86">
      <c r="B691" s="105" t="n"/>
      <c r="C691" s="106" t="n"/>
      <c r="D691" s="106" t="n"/>
      <c r="E691" s="106" t="n"/>
      <c r="F691" s="107" t="n"/>
      <c r="G691" s="108" t="n"/>
      <c r="H691" s="129" t="n"/>
    </row>
    <row r="692" ht="15" customHeight="1" s="86">
      <c r="B692" s="105" t="n"/>
      <c r="C692" s="106" t="n"/>
      <c r="D692" s="106" t="n"/>
      <c r="E692" s="106" t="n"/>
      <c r="F692" s="107" t="n"/>
      <c r="G692" s="108" t="n"/>
      <c r="H692" s="129" t="n"/>
    </row>
    <row r="693" ht="15" customHeight="1" s="86">
      <c r="B693" s="105" t="n"/>
      <c r="C693" s="106" t="n"/>
      <c r="D693" s="106" t="n"/>
      <c r="E693" s="106" t="n"/>
      <c r="F693" s="107" t="n"/>
      <c r="G693" s="108" t="n"/>
      <c r="H693" s="129" t="n"/>
    </row>
    <row r="694" ht="15" customHeight="1" s="86">
      <c r="B694" s="105" t="n"/>
      <c r="C694" s="106" t="n"/>
      <c r="D694" s="106" t="n"/>
      <c r="E694" s="106" t="n"/>
      <c r="F694" s="107" t="n"/>
      <c r="G694" s="108" t="n"/>
      <c r="H694" s="129" t="n"/>
    </row>
    <row r="695" ht="15" customHeight="1" s="86">
      <c r="B695" s="105" t="n"/>
      <c r="C695" s="106" t="n"/>
      <c r="D695" s="106" t="n"/>
      <c r="E695" s="106" t="n"/>
      <c r="F695" s="107" t="n"/>
      <c r="G695" s="108" t="n"/>
      <c r="H695" s="129" t="n"/>
    </row>
    <row r="696" ht="15" customHeight="1" s="86">
      <c r="B696" s="105" t="n"/>
      <c r="C696" s="106" t="n"/>
      <c r="D696" s="106" t="n"/>
      <c r="E696" s="106" t="n"/>
      <c r="F696" s="107" t="n"/>
      <c r="G696" s="108" t="n"/>
      <c r="H696" s="129" t="n"/>
    </row>
    <row r="697" ht="15" customHeight="1" s="86">
      <c r="B697" s="105" t="n"/>
      <c r="C697" s="106" t="n"/>
      <c r="D697" s="106" t="n"/>
      <c r="E697" s="106" t="n"/>
      <c r="F697" s="107" t="n"/>
      <c r="G697" s="108" t="n"/>
      <c r="H697" s="129" t="n"/>
    </row>
    <row r="698" ht="15" customHeight="1" s="86">
      <c r="B698" s="105" t="n"/>
      <c r="C698" s="106" t="n"/>
      <c r="D698" s="106" t="n"/>
      <c r="E698" s="106" t="n"/>
      <c r="F698" s="107" t="n"/>
      <c r="G698" s="108" t="n"/>
      <c r="H698" s="129" t="n"/>
    </row>
    <row r="699" ht="15" customHeight="1" s="86">
      <c r="B699" s="105" t="n"/>
      <c r="C699" s="106" t="n"/>
      <c r="D699" s="106" t="n"/>
      <c r="E699" s="106" t="n"/>
      <c r="F699" s="107" t="n"/>
      <c r="G699" s="108" t="n"/>
      <c r="H699" s="129" t="n"/>
    </row>
    <row r="700" ht="15" customHeight="1" s="86">
      <c r="B700" s="105" t="n"/>
      <c r="C700" s="106" t="n"/>
      <c r="D700" s="106" t="n"/>
      <c r="E700" s="106" t="n"/>
      <c r="F700" s="107" t="n"/>
      <c r="G700" s="108" t="n"/>
      <c r="H700" s="129" t="n"/>
    </row>
    <row r="701" ht="15" customHeight="1" s="86">
      <c r="B701" s="105" t="n"/>
      <c r="C701" s="106" t="n"/>
      <c r="D701" s="106" t="n"/>
      <c r="E701" s="106" t="n"/>
      <c r="F701" s="107" t="n"/>
      <c r="G701" s="108" t="n"/>
      <c r="H701" s="129" t="n"/>
    </row>
    <row r="702" ht="15" customHeight="1" s="86">
      <c r="B702" s="105" t="n"/>
      <c r="C702" s="106" t="n"/>
      <c r="D702" s="106" t="n"/>
      <c r="E702" s="106" t="n"/>
      <c r="F702" s="107" t="n"/>
      <c r="G702" s="108" t="n"/>
      <c r="H702" s="129" t="n"/>
    </row>
    <row r="703" ht="15" customHeight="1" s="86">
      <c r="B703" s="105" t="n"/>
      <c r="C703" s="106" t="n"/>
      <c r="D703" s="106" t="n"/>
      <c r="E703" s="106" t="n"/>
      <c r="F703" s="107" t="n"/>
      <c r="G703" s="108" t="n"/>
      <c r="H703" s="129" t="n"/>
    </row>
    <row r="704" ht="15" customHeight="1" s="86">
      <c r="B704" s="105" t="n"/>
      <c r="C704" s="106" t="n"/>
      <c r="D704" s="106" t="n"/>
      <c r="E704" s="106" t="n"/>
      <c r="F704" s="107" t="n"/>
      <c r="G704" s="108" t="n"/>
      <c r="H704" s="129" t="n"/>
    </row>
    <row r="705" ht="15" customHeight="1" s="86">
      <c r="B705" s="105" t="n"/>
      <c r="C705" s="106" t="n"/>
      <c r="D705" s="106" t="n"/>
      <c r="E705" s="106" t="n"/>
      <c r="F705" s="107" t="n"/>
      <c r="G705" s="108" t="n"/>
      <c r="H705" s="129" t="n"/>
    </row>
    <row r="706" ht="15" customHeight="1" s="86">
      <c r="B706" s="105" t="n"/>
      <c r="C706" s="106" t="n"/>
      <c r="D706" s="106" t="n"/>
      <c r="E706" s="106" t="n"/>
      <c r="F706" s="107" t="n"/>
      <c r="G706" s="108" t="n"/>
      <c r="H706" s="129" t="n"/>
    </row>
    <row r="707" ht="15" customHeight="1" s="86">
      <c r="B707" s="105" t="n"/>
      <c r="C707" s="106" t="n"/>
      <c r="D707" s="106" t="n"/>
      <c r="E707" s="106" t="n"/>
      <c r="F707" s="107" t="n"/>
      <c r="G707" s="108" t="n"/>
      <c r="H707" s="129" t="n"/>
    </row>
    <row r="708" ht="15" customHeight="1" s="86">
      <c r="B708" s="105" t="n"/>
      <c r="C708" s="106" t="n"/>
      <c r="D708" s="106" t="n"/>
      <c r="E708" s="106" t="n"/>
      <c r="F708" s="107" t="n"/>
      <c r="G708" s="108" t="n"/>
      <c r="H708" s="129" t="n"/>
    </row>
    <row r="709" ht="15" customHeight="1" s="86">
      <c r="B709" s="105" t="n"/>
      <c r="C709" s="106" t="n"/>
      <c r="D709" s="106" t="n"/>
      <c r="E709" s="106" t="n"/>
      <c r="F709" s="107" t="n"/>
      <c r="G709" s="108" t="n"/>
      <c r="H709" s="129" t="n"/>
    </row>
    <row r="710" ht="15" customHeight="1" s="86">
      <c r="B710" s="105" t="n"/>
      <c r="C710" s="106" t="n"/>
      <c r="D710" s="106" t="n"/>
      <c r="E710" s="106" t="n"/>
      <c r="F710" s="107" t="n"/>
      <c r="G710" s="108" t="n"/>
      <c r="H710" s="129" t="n"/>
    </row>
    <row r="711" ht="15" customHeight="1" s="86">
      <c r="B711" s="105" t="n"/>
      <c r="C711" s="106" t="n"/>
      <c r="D711" s="106" t="n"/>
      <c r="E711" s="106" t="n"/>
      <c r="F711" s="107" t="n"/>
      <c r="G711" s="108" t="n"/>
      <c r="H711" s="129" t="n"/>
    </row>
    <row r="712" ht="15" customHeight="1" s="86">
      <c r="B712" s="105" t="n"/>
      <c r="C712" s="106" t="n"/>
      <c r="D712" s="106" t="n"/>
      <c r="E712" s="106" t="n"/>
      <c r="F712" s="107" t="n"/>
      <c r="G712" s="108" t="n"/>
      <c r="H712" s="129" t="n"/>
    </row>
    <row r="713" ht="15" customHeight="1" s="86">
      <c r="B713" s="105" t="n"/>
      <c r="C713" s="106" t="n"/>
      <c r="D713" s="106" t="n"/>
      <c r="E713" s="106" t="n"/>
      <c r="F713" s="107" t="n"/>
      <c r="G713" s="108" t="n"/>
      <c r="H713" s="129" t="n"/>
    </row>
    <row r="714" ht="15" customHeight="1" s="86">
      <c r="B714" s="105" t="n"/>
      <c r="C714" s="106" t="n"/>
      <c r="D714" s="106" t="n"/>
      <c r="E714" s="106" t="n"/>
      <c r="F714" s="107" t="n"/>
      <c r="G714" s="108" t="n"/>
      <c r="H714" s="129" t="n"/>
    </row>
    <row r="715" ht="15" customHeight="1" s="86">
      <c r="B715" s="105" t="n"/>
      <c r="C715" s="106" t="n"/>
      <c r="D715" s="106" t="n"/>
      <c r="E715" s="106" t="n"/>
      <c r="F715" s="107" t="n"/>
      <c r="G715" s="108" t="n"/>
      <c r="H715" s="129" t="n"/>
    </row>
    <row r="716" ht="15" customHeight="1" s="86">
      <c r="B716" s="105" t="n"/>
      <c r="C716" s="106" t="n"/>
      <c r="D716" s="106" t="n"/>
      <c r="E716" s="106" t="n"/>
      <c r="F716" s="107" t="n"/>
      <c r="G716" s="108" t="n"/>
      <c r="H716" s="129" t="n"/>
    </row>
    <row r="717" ht="15" customHeight="1" s="86">
      <c r="B717" s="105" t="n"/>
      <c r="C717" s="106" t="n"/>
      <c r="D717" s="106" t="n"/>
      <c r="E717" s="106" t="n"/>
      <c r="F717" s="107" t="n"/>
      <c r="G717" s="108" t="n"/>
      <c r="H717" s="129" t="n"/>
    </row>
    <row r="718" ht="15" customHeight="1" s="86">
      <c r="B718" s="105" t="n"/>
      <c r="C718" s="106" t="n"/>
      <c r="D718" s="106" t="n"/>
      <c r="E718" s="106" t="n"/>
      <c r="F718" s="107" t="n"/>
      <c r="G718" s="108" t="n"/>
      <c r="H718" s="129" t="n"/>
    </row>
    <row r="719" ht="15" customHeight="1" s="86">
      <c r="B719" s="105" t="n"/>
      <c r="C719" s="106" t="n"/>
      <c r="D719" s="106" t="n"/>
      <c r="E719" s="106" t="n"/>
      <c r="F719" s="107" t="n"/>
      <c r="G719" s="108" t="n"/>
      <c r="H719" s="129" t="n"/>
    </row>
    <row r="720" ht="15" customHeight="1" s="86">
      <c r="B720" s="105" t="n"/>
      <c r="C720" s="106" t="n"/>
      <c r="D720" s="106" t="n"/>
      <c r="E720" s="106" t="n"/>
      <c r="F720" s="107" t="n"/>
      <c r="G720" s="108" t="n"/>
      <c r="H720" s="129" t="n"/>
    </row>
    <row r="721" ht="15" customHeight="1" s="86">
      <c r="B721" s="105" t="n"/>
      <c r="C721" s="106" t="n"/>
      <c r="D721" s="106" t="n"/>
      <c r="E721" s="106" t="n"/>
      <c r="F721" s="107" t="n"/>
      <c r="G721" s="108" t="n"/>
      <c r="H721" s="129" t="n"/>
    </row>
    <row r="722" ht="15" customHeight="1" s="86">
      <c r="B722" s="105" t="n"/>
      <c r="C722" s="106" t="n"/>
      <c r="D722" s="106" t="n"/>
      <c r="E722" s="106" t="n"/>
      <c r="F722" s="107" t="n"/>
      <c r="G722" s="108" t="n"/>
      <c r="H722" s="129" t="n"/>
    </row>
    <row r="723" ht="15" customHeight="1" s="86">
      <c r="B723" s="105" t="n"/>
      <c r="C723" s="106" t="n"/>
      <c r="D723" s="106" t="n"/>
      <c r="E723" s="106" t="n"/>
      <c r="F723" s="107" t="n"/>
      <c r="G723" s="108" t="n"/>
      <c r="H723" s="129" t="n"/>
    </row>
    <row r="724" ht="15" customHeight="1" s="86">
      <c r="B724" s="105" t="n"/>
      <c r="C724" s="106" t="n"/>
      <c r="D724" s="106" t="n"/>
      <c r="E724" s="106" t="n"/>
      <c r="F724" s="107" t="n"/>
      <c r="G724" s="108" t="n"/>
      <c r="H724" s="129" t="n"/>
    </row>
    <row r="725" ht="15" customHeight="1" s="86">
      <c r="B725" s="105" t="n"/>
      <c r="C725" s="106" t="n"/>
      <c r="D725" s="106" t="n"/>
      <c r="E725" s="106" t="n"/>
      <c r="F725" s="107" t="n"/>
      <c r="G725" s="108" t="n"/>
      <c r="H725" s="129" t="n"/>
    </row>
    <row r="726" ht="15" customHeight="1" s="86">
      <c r="B726" s="105" t="n"/>
      <c r="C726" s="106" t="n"/>
      <c r="D726" s="106" t="n"/>
      <c r="E726" s="106" t="n"/>
      <c r="F726" s="107" t="n"/>
      <c r="G726" s="108" t="n"/>
      <c r="H726" s="129" t="n"/>
    </row>
    <row r="727" ht="15" customHeight="1" s="86">
      <c r="B727" s="105" t="n"/>
      <c r="C727" s="106" t="n"/>
      <c r="D727" s="106" t="n"/>
      <c r="E727" s="106" t="n"/>
      <c r="F727" s="107" t="n"/>
      <c r="G727" s="108" t="n"/>
      <c r="H727" s="129" t="n"/>
    </row>
    <row r="728" ht="15" customHeight="1" s="86">
      <c r="B728" s="105" t="n"/>
      <c r="C728" s="106" t="n"/>
      <c r="D728" s="106" t="n"/>
      <c r="E728" s="106" t="n"/>
      <c r="F728" s="107" t="n"/>
      <c r="G728" s="108" t="n"/>
      <c r="H728" s="129" t="n"/>
    </row>
    <row r="729" ht="15" customHeight="1" s="86">
      <c r="B729" s="105" t="n"/>
      <c r="C729" s="106" t="n"/>
      <c r="D729" s="106" t="n"/>
      <c r="E729" s="106" t="n"/>
      <c r="F729" s="107" t="n"/>
      <c r="G729" s="108" t="n"/>
      <c r="H729" s="129" t="n"/>
    </row>
    <row r="730" ht="15" customHeight="1" s="86">
      <c r="B730" s="105" t="n"/>
      <c r="C730" s="106" t="n"/>
      <c r="D730" s="106" t="n"/>
      <c r="E730" s="106" t="n"/>
      <c r="F730" s="107" t="n"/>
      <c r="G730" s="108" t="n"/>
      <c r="H730" s="129" t="n"/>
    </row>
    <row r="731" ht="15" customHeight="1" s="86">
      <c r="B731" s="105" t="n"/>
      <c r="C731" s="106" t="n"/>
      <c r="D731" s="106" t="n"/>
      <c r="E731" s="106" t="n"/>
      <c r="F731" s="107" t="n"/>
      <c r="G731" s="108" t="n"/>
      <c r="H731" s="129" t="n"/>
    </row>
    <row r="732" ht="15" customHeight="1" s="86">
      <c r="B732" s="105" t="n"/>
      <c r="C732" s="106" t="n"/>
      <c r="D732" s="106" t="n"/>
      <c r="E732" s="106" t="n"/>
      <c r="F732" s="107" t="n"/>
      <c r="G732" s="108" t="n"/>
      <c r="H732" s="129" t="n"/>
    </row>
    <row r="733" ht="15" customHeight="1" s="86">
      <c r="B733" s="105" t="n"/>
      <c r="C733" s="106" t="n"/>
      <c r="D733" s="106" t="n"/>
      <c r="E733" s="106" t="n"/>
      <c r="F733" s="107" t="n"/>
      <c r="G733" s="108" t="n"/>
      <c r="H733" s="129" t="n"/>
    </row>
    <row r="734" ht="15" customHeight="1" s="86">
      <c r="B734" s="105" t="n"/>
      <c r="C734" s="106" t="n"/>
      <c r="D734" s="106" t="n"/>
      <c r="E734" s="106" t="n"/>
      <c r="F734" s="107" t="n"/>
      <c r="G734" s="108" t="n"/>
      <c r="H734" s="129" t="n"/>
    </row>
    <row r="735" ht="15" customHeight="1" s="86">
      <c r="B735" s="105" t="n"/>
      <c r="C735" s="106" t="n"/>
      <c r="D735" s="106" t="n"/>
      <c r="E735" s="106" t="n"/>
      <c r="F735" s="107" t="n"/>
      <c r="G735" s="108" t="n"/>
      <c r="H735" s="129" t="n"/>
    </row>
    <row r="736" ht="15" customHeight="1" s="86">
      <c r="B736" s="105" t="n"/>
      <c r="C736" s="106" t="n"/>
      <c r="D736" s="106" t="n"/>
      <c r="E736" s="106" t="n"/>
      <c r="F736" s="107" t="n"/>
      <c r="G736" s="108" t="n"/>
      <c r="H736" s="129" t="n"/>
    </row>
    <row r="737" ht="15" customHeight="1" s="86">
      <c r="B737" s="105" t="n"/>
      <c r="C737" s="106" t="n"/>
      <c r="D737" s="106" t="n"/>
      <c r="E737" s="106" t="n"/>
      <c r="F737" s="107" t="n"/>
      <c r="G737" s="108" t="n"/>
      <c r="H737" s="129" t="n"/>
    </row>
    <row r="738" ht="15" customHeight="1" s="86">
      <c r="B738" s="105" t="n"/>
      <c r="C738" s="106" t="n"/>
      <c r="D738" s="106" t="n"/>
      <c r="E738" s="106" t="n"/>
      <c r="F738" s="107" t="n"/>
      <c r="G738" s="108" t="n"/>
      <c r="H738" s="129" t="n"/>
    </row>
    <row r="739" ht="15" customHeight="1" s="86">
      <c r="B739" s="105" t="n"/>
      <c r="C739" s="106" t="n"/>
      <c r="D739" s="106" t="n"/>
      <c r="E739" s="106" t="n"/>
      <c r="F739" s="107" t="n"/>
      <c r="G739" s="108" t="n"/>
      <c r="H739" s="129" t="n"/>
    </row>
    <row r="740" ht="15" customHeight="1" s="86">
      <c r="B740" s="105" t="n"/>
      <c r="C740" s="106" t="n"/>
      <c r="D740" s="106" t="n"/>
      <c r="E740" s="106" t="n"/>
      <c r="F740" s="107" t="n"/>
      <c r="G740" s="108" t="n"/>
      <c r="H740" s="129" t="n"/>
    </row>
    <row r="741" ht="15" customHeight="1" s="86">
      <c r="B741" s="105" t="n"/>
      <c r="C741" s="106" t="n"/>
      <c r="D741" s="106" t="n"/>
      <c r="E741" s="106" t="n"/>
      <c r="F741" s="107" t="n"/>
      <c r="G741" s="108" t="n"/>
      <c r="H741" s="129" t="n"/>
    </row>
    <row r="742" ht="15" customHeight="1" s="86">
      <c r="B742" s="105" t="n"/>
      <c r="C742" s="106" t="n"/>
      <c r="D742" s="106" t="n"/>
      <c r="E742" s="106" t="n"/>
      <c r="F742" s="107" t="n"/>
      <c r="G742" s="108" t="n"/>
      <c r="H742" s="129" t="n"/>
    </row>
    <row r="743" ht="15" customHeight="1" s="86">
      <c r="B743" s="105" t="n"/>
      <c r="C743" s="106" t="n"/>
      <c r="D743" s="106" t="n"/>
      <c r="E743" s="106" t="n"/>
      <c r="F743" s="107" t="n"/>
      <c r="G743" s="108" t="n"/>
      <c r="H743" s="129" t="n"/>
    </row>
    <row r="744" ht="15" customHeight="1" s="86">
      <c r="B744" s="105" t="n"/>
      <c r="C744" s="106" t="n"/>
      <c r="D744" s="106" t="n"/>
      <c r="E744" s="106" t="n"/>
      <c r="F744" s="107" t="n"/>
      <c r="G744" s="108" t="n"/>
      <c r="H744" s="129" t="n"/>
    </row>
    <row r="745" ht="15" customHeight="1" s="86">
      <c r="B745" s="105" t="n"/>
      <c r="C745" s="106" t="n"/>
      <c r="D745" s="106" t="n"/>
      <c r="E745" s="106" t="n"/>
      <c r="F745" s="107" t="n"/>
      <c r="G745" s="108" t="n"/>
      <c r="H745" s="129" t="n"/>
    </row>
    <row r="746" ht="15" customHeight="1" s="86">
      <c r="B746" s="105" t="n"/>
      <c r="C746" s="106" t="n"/>
      <c r="D746" s="106" t="n"/>
      <c r="E746" s="106" t="n"/>
      <c r="F746" s="107" t="n"/>
      <c r="G746" s="108" t="n"/>
      <c r="H746" s="129" t="n"/>
    </row>
    <row r="747" ht="15" customHeight="1" s="86">
      <c r="B747" s="105" t="n"/>
      <c r="C747" s="106" t="n"/>
      <c r="D747" s="106" t="n"/>
      <c r="E747" s="106" t="n"/>
      <c r="F747" s="107" t="n"/>
      <c r="G747" s="108" t="n"/>
      <c r="H747" s="129" t="n"/>
    </row>
    <row r="748" ht="15" customHeight="1" s="86">
      <c r="B748" s="105" t="n"/>
      <c r="C748" s="106" t="n"/>
      <c r="D748" s="106" t="n"/>
      <c r="E748" s="106" t="n"/>
      <c r="F748" s="107" t="n"/>
      <c r="G748" s="108" t="n"/>
      <c r="H748" s="129" t="n"/>
    </row>
    <row r="749" ht="15" customHeight="1" s="86">
      <c r="B749" s="105" t="n"/>
      <c r="C749" s="106" t="n"/>
      <c r="D749" s="106" t="n"/>
      <c r="E749" s="106" t="n"/>
      <c r="F749" s="107" t="n"/>
      <c r="G749" s="108" t="n"/>
      <c r="H749" s="129" t="n"/>
    </row>
    <row r="750" ht="15" customHeight="1" s="86">
      <c r="B750" s="105" t="n"/>
      <c r="C750" s="106" t="n"/>
      <c r="D750" s="106" t="n"/>
      <c r="E750" s="106" t="n"/>
      <c r="F750" s="107" t="n"/>
      <c r="G750" s="108" t="n"/>
      <c r="H750" s="129" t="n"/>
    </row>
    <row r="751" ht="15" customHeight="1" s="86">
      <c r="B751" s="105" t="n"/>
      <c r="C751" s="106" t="n"/>
      <c r="D751" s="106" t="n"/>
      <c r="E751" s="106" t="n"/>
      <c r="F751" s="107" t="n"/>
      <c r="G751" s="108" t="n"/>
      <c r="H751" s="129" t="n"/>
    </row>
    <row r="752" ht="15" customHeight="1" s="86">
      <c r="B752" s="105" t="n"/>
      <c r="C752" s="106" t="n"/>
      <c r="D752" s="106" t="n"/>
      <c r="E752" s="106" t="n"/>
      <c r="F752" s="107" t="n"/>
      <c r="G752" s="108" t="n"/>
      <c r="H752" s="129" t="n"/>
    </row>
    <row r="753" ht="15" customHeight="1" s="86">
      <c r="B753" s="105" t="n"/>
      <c r="C753" s="106" t="n"/>
      <c r="D753" s="106" t="n"/>
      <c r="E753" s="106" t="n"/>
      <c r="F753" s="107" t="n"/>
      <c r="G753" s="108" t="n"/>
      <c r="H753" s="129" t="n"/>
    </row>
    <row r="754" ht="15" customHeight="1" s="86">
      <c r="B754" s="105" t="n"/>
      <c r="C754" s="106" t="n"/>
      <c r="D754" s="106" t="n"/>
      <c r="E754" s="106" t="n"/>
      <c r="F754" s="107" t="n"/>
      <c r="G754" s="108" t="n"/>
      <c r="H754" s="129" t="n"/>
    </row>
    <row r="755" ht="15" customHeight="1" s="86">
      <c r="B755" s="105" t="n"/>
      <c r="C755" s="106" t="n"/>
      <c r="D755" s="106" t="n"/>
      <c r="E755" s="106" t="n"/>
      <c r="F755" s="107" t="n"/>
      <c r="G755" s="108" t="n"/>
      <c r="H755" s="129" t="n"/>
    </row>
    <row r="756" ht="15" customHeight="1" s="86">
      <c r="B756" s="105" t="n"/>
      <c r="C756" s="106" t="n"/>
      <c r="D756" s="106" t="n"/>
      <c r="E756" s="106" t="n"/>
      <c r="F756" s="107" t="n"/>
      <c r="G756" s="108" t="n"/>
      <c r="H756" s="129" t="n"/>
    </row>
    <row r="757" ht="15" customHeight="1" s="86">
      <c r="B757" s="105" t="n"/>
      <c r="C757" s="106" t="n"/>
      <c r="D757" s="106" t="n"/>
      <c r="E757" s="106" t="n"/>
      <c r="F757" s="107" t="n"/>
      <c r="G757" s="108" t="n"/>
      <c r="H757" s="129" t="n"/>
    </row>
    <row r="758" ht="15" customHeight="1" s="86">
      <c r="B758" s="105" t="n"/>
      <c r="C758" s="106" t="n"/>
      <c r="D758" s="106" t="n"/>
      <c r="E758" s="106" t="n"/>
      <c r="F758" s="107" t="n"/>
      <c r="G758" s="108" t="n"/>
      <c r="H758" s="129" t="n"/>
    </row>
    <row r="759" ht="15" customHeight="1" s="86">
      <c r="B759" s="105" t="n"/>
      <c r="C759" s="106" t="n"/>
      <c r="D759" s="106" t="n"/>
      <c r="E759" s="106" t="n"/>
      <c r="F759" s="107" t="n"/>
      <c r="G759" s="108" t="n"/>
      <c r="H759" s="129" t="n"/>
    </row>
    <row r="760" ht="15" customHeight="1" s="86">
      <c r="B760" s="105" t="n"/>
      <c r="C760" s="106" t="n"/>
      <c r="D760" s="106" t="n"/>
      <c r="E760" s="106" t="n"/>
      <c r="F760" s="107" t="n"/>
      <c r="G760" s="108" t="n"/>
      <c r="H760" s="129" t="n"/>
    </row>
    <row r="761" ht="15" customHeight="1" s="86">
      <c r="B761" s="105" t="n"/>
      <c r="C761" s="106" t="n"/>
      <c r="D761" s="106" t="n"/>
      <c r="E761" s="106" t="n"/>
      <c r="F761" s="107" t="n"/>
      <c r="G761" s="108" t="n"/>
      <c r="H761" s="129" t="n"/>
    </row>
    <row r="762" ht="15" customHeight="1" s="86">
      <c r="B762" s="105" t="n"/>
      <c r="C762" s="106" t="n"/>
      <c r="D762" s="106" t="n"/>
      <c r="E762" s="106" t="n"/>
      <c r="F762" s="107" t="n"/>
      <c r="G762" s="108" t="n"/>
      <c r="H762" s="129" t="n"/>
    </row>
    <row r="763" ht="15" customHeight="1" s="86">
      <c r="B763" s="105" t="n"/>
      <c r="C763" s="106" t="n"/>
      <c r="D763" s="106" t="n"/>
      <c r="E763" s="106" t="n"/>
      <c r="F763" s="107" t="n"/>
      <c r="G763" s="108" t="n"/>
      <c r="H763" s="129" t="n"/>
    </row>
    <row r="764" ht="15" customHeight="1" s="86">
      <c r="B764" s="105" t="n"/>
      <c r="C764" s="106" t="n"/>
      <c r="D764" s="106" t="n"/>
      <c r="E764" s="106" t="n"/>
      <c r="F764" s="107" t="n"/>
      <c r="G764" s="108" t="n"/>
      <c r="H764" s="129" t="n"/>
    </row>
    <row r="765" ht="15" customHeight="1" s="86">
      <c r="B765" s="105" t="n"/>
      <c r="C765" s="106" t="n"/>
      <c r="D765" s="106" t="n"/>
      <c r="E765" s="106" t="n"/>
      <c r="F765" s="107" t="n"/>
      <c r="G765" s="108" t="n"/>
      <c r="H765" s="129" t="n"/>
    </row>
    <row r="766" ht="15" customHeight="1" s="86">
      <c r="B766" s="105" t="n"/>
      <c r="C766" s="106" t="n"/>
      <c r="D766" s="106" t="n"/>
      <c r="E766" s="106" t="n"/>
      <c r="F766" s="107" t="n"/>
      <c r="G766" s="108" t="n"/>
      <c r="H766" s="129" t="n"/>
    </row>
    <row r="767" ht="15" customHeight="1" s="86">
      <c r="B767" s="105" t="n"/>
      <c r="C767" s="106" t="n"/>
      <c r="D767" s="106" t="n"/>
      <c r="E767" s="106" t="n"/>
      <c r="F767" s="107" t="n"/>
      <c r="G767" s="108" t="n"/>
      <c r="H767" s="129" t="n"/>
    </row>
    <row r="768" ht="15" customHeight="1" s="86">
      <c r="B768" s="105" t="n"/>
      <c r="C768" s="106" t="n"/>
      <c r="D768" s="106" t="n"/>
      <c r="E768" s="106" t="n"/>
      <c r="F768" s="107" t="n"/>
      <c r="G768" s="108" t="n"/>
      <c r="H768" s="129" t="n"/>
    </row>
    <row r="769" ht="15" customHeight="1" s="86">
      <c r="B769" s="105" t="n"/>
      <c r="C769" s="106" t="n"/>
      <c r="D769" s="106" t="n"/>
      <c r="E769" s="106" t="n"/>
      <c r="F769" s="107" t="n"/>
      <c r="G769" s="108" t="n"/>
      <c r="H769" s="129" t="n"/>
    </row>
    <row r="770" ht="15" customHeight="1" s="86">
      <c r="B770" s="105" t="n"/>
      <c r="C770" s="106" t="n"/>
      <c r="D770" s="106" t="n"/>
      <c r="E770" s="106" t="n"/>
      <c r="F770" s="107" t="n"/>
      <c r="G770" s="108" t="n"/>
      <c r="H770" s="129" t="n"/>
    </row>
    <row r="771" ht="15" customHeight="1" s="86">
      <c r="B771" s="105" t="n"/>
      <c r="C771" s="106" t="n"/>
      <c r="D771" s="106" t="n"/>
      <c r="E771" s="106" t="n"/>
      <c r="F771" s="107" t="n"/>
      <c r="G771" s="108" t="n"/>
      <c r="H771" s="129" t="n"/>
    </row>
    <row r="772" ht="15" customHeight="1" s="86">
      <c r="B772" s="105" t="n"/>
      <c r="C772" s="106" t="n"/>
      <c r="D772" s="106" t="n"/>
      <c r="E772" s="106" t="n"/>
      <c r="F772" s="107" t="n"/>
      <c r="G772" s="108" t="n"/>
      <c r="H772" s="129" t="n"/>
    </row>
    <row r="773" ht="15" customHeight="1" s="86">
      <c r="B773" s="105" t="n"/>
      <c r="C773" s="106" t="n"/>
      <c r="D773" s="106" t="n"/>
      <c r="E773" s="106" t="n"/>
      <c r="F773" s="107" t="n"/>
      <c r="G773" s="108" t="n"/>
      <c r="H773" s="129" t="n"/>
    </row>
    <row r="774" ht="15" customHeight="1" s="86">
      <c r="B774" s="105" t="n"/>
      <c r="C774" s="106" t="n"/>
      <c r="D774" s="106" t="n"/>
      <c r="E774" s="106" t="n"/>
      <c r="F774" s="107" t="n"/>
      <c r="G774" s="108" t="n"/>
      <c r="H774" s="129" t="n"/>
    </row>
    <row r="775" ht="15" customHeight="1" s="86">
      <c r="B775" s="105" t="n"/>
      <c r="C775" s="106" t="n"/>
      <c r="D775" s="106" t="n"/>
      <c r="E775" s="106" t="n"/>
      <c r="F775" s="107" t="n"/>
      <c r="G775" s="108" t="n"/>
      <c r="H775" s="129" t="n"/>
    </row>
    <row r="776" ht="15" customHeight="1" s="86">
      <c r="B776" s="105" t="n"/>
      <c r="C776" s="106" t="n"/>
      <c r="D776" s="106" t="n"/>
      <c r="E776" s="106" t="n"/>
      <c r="F776" s="107" t="n"/>
      <c r="G776" s="108" t="n"/>
      <c r="H776" s="129" t="n"/>
    </row>
    <row r="777" ht="15" customHeight="1" s="86">
      <c r="B777" s="105" t="n"/>
      <c r="C777" s="106" t="n"/>
      <c r="D777" s="106" t="n"/>
      <c r="E777" s="106" t="n"/>
      <c r="F777" s="107" t="n"/>
      <c r="G777" s="108" t="n"/>
      <c r="H777" s="129" t="n"/>
    </row>
    <row r="778" ht="15" customHeight="1" s="86">
      <c r="B778" s="105" t="n"/>
      <c r="C778" s="106" t="n"/>
      <c r="D778" s="106" t="n"/>
      <c r="E778" s="106" t="n"/>
      <c r="F778" s="107" t="n"/>
      <c r="G778" s="108" t="n"/>
      <c r="H778" s="129" t="n"/>
    </row>
    <row r="779" ht="15" customHeight="1" s="86">
      <c r="B779" s="105" t="n"/>
      <c r="C779" s="106" t="n"/>
      <c r="D779" s="106" t="n"/>
      <c r="E779" s="106" t="n"/>
      <c r="F779" s="107" t="n"/>
      <c r="G779" s="108" t="n"/>
      <c r="H779" s="129" t="n"/>
    </row>
    <row r="780" ht="15" customHeight="1" s="86">
      <c r="B780" s="105" t="n"/>
      <c r="C780" s="106" t="n"/>
      <c r="D780" s="106" t="n"/>
      <c r="E780" s="106" t="n"/>
      <c r="F780" s="107" t="n"/>
      <c r="G780" s="108" t="n"/>
      <c r="H780" s="129" t="n"/>
    </row>
    <row r="781" ht="15" customHeight="1" s="86">
      <c r="B781" s="105" t="n"/>
      <c r="C781" s="106" t="n"/>
      <c r="D781" s="106" t="n"/>
      <c r="E781" s="106" t="n"/>
      <c r="F781" s="107" t="n"/>
      <c r="G781" s="108" t="n"/>
      <c r="H781" s="129" t="n"/>
    </row>
    <row r="782" ht="15" customHeight="1" s="86">
      <c r="B782" s="105" t="n"/>
      <c r="C782" s="106" t="n"/>
      <c r="D782" s="106" t="n"/>
      <c r="E782" s="106" t="n"/>
      <c r="F782" s="107" t="n"/>
      <c r="G782" s="108" t="n"/>
      <c r="H782" s="129" t="n"/>
    </row>
    <row r="783" ht="15" customHeight="1" s="86">
      <c r="B783" s="105" t="n"/>
      <c r="C783" s="106" t="n"/>
      <c r="D783" s="106" t="n"/>
      <c r="E783" s="106" t="n"/>
      <c r="F783" s="107" t="n"/>
      <c r="G783" s="108" t="n"/>
      <c r="H783" s="129" t="n"/>
    </row>
    <row r="784" ht="15" customHeight="1" s="86">
      <c r="B784" s="105" t="n"/>
      <c r="C784" s="106" t="n"/>
      <c r="D784" s="106" t="n"/>
      <c r="E784" s="106" t="n"/>
      <c r="F784" s="107" t="n"/>
      <c r="G784" s="108" t="n"/>
      <c r="H784" s="129" t="n"/>
    </row>
    <row r="785" ht="15" customHeight="1" s="86">
      <c r="B785" s="105" t="n"/>
      <c r="C785" s="106" t="n"/>
      <c r="D785" s="106" t="n"/>
      <c r="E785" s="106" t="n"/>
      <c r="F785" s="107" t="n"/>
      <c r="G785" s="108" t="n"/>
      <c r="H785" s="129" t="n"/>
    </row>
    <row r="786" ht="15" customHeight="1" s="86">
      <c r="B786" s="105" t="n"/>
      <c r="C786" s="106" t="n"/>
      <c r="D786" s="106" t="n"/>
      <c r="E786" s="106" t="n"/>
      <c r="F786" s="107" t="n"/>
      <c r="G786" s="108" t="n"/>
      <c r="H786" s="129" t="n"/>
    </row>
    <row r="787" ht="15" customHeight="1" s="86">
      <c r="B787" s="105" t="n"/>
      <c r="C787" s="106" t="n"/>
      <c r="D787" s="106" t="n"/>
      <c r="E787" s="106" t="n"/>
      <c r="F787" s="107" t="n"/>
      <c r="G787" s="108" t="n"/>
      <c r="H787" s="129" t="n"/>
    </row>
    <row r="788" ht="15" customHeight="1" s="86">
      <c r="B788" s="105" t="n"/>
      <c r="C788" s="106" t="n"/>
      <c r="D788" s="106" t="n"/>
      <c r="E788" s="106" t="n"/>
      <c r="F788" s="107" t="n"/>
      <c r="G788" s="108" t="n"/>
      <c r="H788" s="129" t="n"/>
    </row>
    <row r="789" ht="15" customHeight="1" s="86">
      <c r="B789" s="105" t="n"/>
      <c r="C789" s="106" t="n"/>
      <c r="D789" s="106" t="n"/>
      <c r="E789" s="106" t="n"/>
      <c r="F789" s="107" t="n"/>
      <c r="G789" s="108" t="n"/>
      <c r="H789" s="129" t="n"/>
    </row>
    <row r="790" ht="15" customHeight="1" s="86">
      <c r="B790" s="105" t="n"/>
      <c r="C790" s="106" t="n"/>
      <c r="D790" s="106" t="n"/>
      <c r="E790" s="106" t="n"/>
      <c r="F790" s="107" t="n"/>
      <c r="G790" s="108" t="n"/>
      <c r="H790" s="129" t="n"/>
    </row>
    <row r="791" ht="15" customHeight="1" s="86">
      <c r="B791" s="105" t="n"/>
      <c r="C791" s="106" t="n"/>
      <c r="D791" s="106" t="n"/>
      <c r="E791" s="106" t="n"/>
      <c r="F791" s="107" t="n"/>
      <c r="G791" s="108" t="n"/>
      <c r="H791" s="129" t="n"/>
    </row>
    <row r="792" ht="15" customHeight="1" s="86">
      <c r="B792" s="105" t="n"/>
      <c r="C792" s="106" t="n"/>
      <c r="D792" s="106" t="n"/>
      <c r="E792" s="106" t="n"/>
      <c r="F792" s="107" t="n"/>
      <c r="G792" s="108" t="n"/>
      <c r="H792" s="129" t="n"/>
    </row>
    <row r="793" ht="15" customHeight="1" s="86">
      <c r="B793" s="105" t="n"/>
      <c r="C793" s="106" t="n"/>
      <c r="D793" s="106" t="n"/>
      <c r="E793" s="106" t="n"/>
      <c r="F793" s="107" t="n"/>
      <c r="G793" s="108" t="n"/>
      <c r="H793" s="129" t="n"/>
    </row>
    <row r="794" ht="15" customHeight="1" s="86">
      <c r="B794" s="105" t="n"/>
      <c r="C794" s="106" t="n"/>
      <c r="D794" s="106" t="n"/>
      <c r="E794" s="106" t="n"/>
      <c r="F794" s="107" t="n"/>
      <c r="G794" s="108" t="n"/>
      <c r="H794" s="129" t="n"/>
    </row>
    <row r="795" ht="15" customHeight="1" s="86">
      <c r="B795" s="105" t="n"/>
      <c r="C795" s="106" t="n"/>
      <c r="D795" s="106" t="n"/>
      <c r="E795" s="106" t="n"/>
      <c r="F795" s="107" t="n"/>
      <c r="G795" s="108" t="n"/>
      <c r="H795" s="129" t="n"/>
    </row>
    <row r="796" ht="15" customHeight="1" s="86">
      <c r="B796" s="105" t="n"/>
      <c r="C796" s="106" t="n"/>
      <c r="D796" s="106" t="n"/>
      <c r="E796" s="106" t="n"/>
      <c r="F796" s="107" t="n"/>
      <c r="G796" s="108" t="n"/>
      <c r="H796" s="129" t="n"/>
    </row>
    <row r="797" ht="15" customHeight="1" s="86">
      <c r="B797" s="105" t="n"/>
      <c r="C797" s="106" t="n"/>
      <c r="D797" s="106" t="n"/>
      <c r="E797" s="106" t="n"/>
      <c r="F797" s="107" t="n"/>
      <c r="G797" s="108" t="n"/>
      <c r="H797" s="129" t="n"/>
    </row>
    <row r="798" ht="15" customHeight="1" s="86">
      <c r="B798" s="105" t="n"/>
      <c r="C798" s="106" t="n"/>
      <c r="D798" s="106" t="n"/>
      <c r="E798" s="106" t="n"/>
      <c r="F798" s="107" t="n"/>
      <c r="G798" s="108" t="n"/>
      <c r="H798" s="129" t="n"/>
    </row>
    <row r="799" ht="15" customHeight="1" s="86">
      <c r="B799" s="105" t="n"/>
      <c r="C799" s="106" t="n"/>
      <c r="D799" s="106" t="n"/>
      <c r="E799" s="106" t="n"/>
      <c r="F799" s="107" t="n"/>
      <c r="G799" s="108" t="n"/>
      <c r="H799" s="129" t="n"/>
    </row>
    <row r="800" ht="15" customHeight="1" s="86">
      <c r="B800" s="105" t="n"/>
      <c r="C800" s="106" t="n"/>
      <c r="D800" s="106" t="n"/>
      <c r="E800" s="106" t="n"/>
      <c r="F800" s="107" t="n"/>
      <c r="G800" s="108" t="n"/>
      <c r="H800" s="129" t="n"/>
    </row>
    <row r="801" ht="15" customHeight="1" s="86">
      <c r="B801" s="105" t="n"/>
      <c r="C801" s="106" t="n"/>
      <c r="D801" s="106" t="n"/>
      <c r="E801" s="106" t="n"/>
      <c r="F801" s="107" t="n"/>
      <c r="G801" s="108" t="n"/>
      <c r="H801" s="129" t="n"/>
    </row>
    <row r="802" ht="15" customHeight="1" s="86">
      <c r="B802" s="105" t="n"/>
      <c r="C802" s="106" t="n"/>
      <c r="D802" s="106" t="n"/>
      <c r="E802" s="106" t="n"/>
      <c r="F802" s="107" t="n"/>
      <c r="G802" s="108" t="n"/>
      <c r="H802" s="129" t="n"/>
    </row>
    <row r="803" ht="15" customHeight="1" s="86">
      <c r="B803" s="105" t="n"/>
      <c r="C803" s="106" t="n"/>
      <c r="D803" s="106" t="n"/>
      <c r="E803" s="106" t="n"/>
      <c r="F803" s="107" t="n"/>
      <c r="G803" s="108" t="n"/>
      <c r="H803" s="129" t="n"/>
    </row>
    <row r="804" ht="15" customHeight="1" s="86">
      <c r="B804" s="105" t="n"/>
      <c r="C804" s="106" t="n"/>
      <c r="D804" s="106" t="n"/>
      <c r="E804" s="106" t="n"/>
      <c r="F804" s="107" t="n"/>
      <c r="G804" s="108" t="n"/>
      <c r="H804" s="129" t="n"/>
    </row>
    <row r="805" ht="15" customHeight="1" s="86">
      <c r="B805" s="105" t="n"/>
      <c r="C805" s="106" t="n"/>
      <c r="D805" s="106" t="n"/>
      <c r="E805" s="106" t="n"/>
      <c r="F805" s="107" t="n"/>
      <c r="G805" s="108" t="n"/>
      <c r="H805" s="129" t="n"/>
    </row>
    <row r="806" ht="15" customHeight="1" s="86">
      <c r="B806" s="105" t="n"/>
      <c r="C806" s="106" t="n"/>
      <c r="D806" s="106" t="n"/>
      <c r="E806" s="106" t="n"/>
      <c r="F806" s="107" t="n"/>
      <c r="G806" s="108" t="n"/>
      <c r="H806" s="129" t="n"/>
    </row>
    <row r="807" ht="15" customHeight="1" s="86">
      <c r="B807" s="105" t="n"/>
      <c r="C807" s="106" t="n"/>
      <c r="D807" s="106" t="n"/>
      <c r="E807" s="106" t="n"/>
      <c r="F807" s="107" t="n"/>
      <c r="G807" s="108" t="n"/>
      <c r="H807" s="129" t="n"/>
    </row>
    <row r="808" ht="15" customHeight="1" s="86">
      <c r="B808" s="105" t="n"/>
      <c r="C808" s="106" t="n"/>
      <c r="D808" s="106" t="n"/>
      <c r="E808" s="106" t="n"/>
      <c r="F808" s="107" t="n"/>
      <c r="G808" s="108" t="n"/>
      <c r="H808" s="129" t="n"/>
    </row>
    <row r="809" ht="15" customHeight="1" s="86">
      <c r="B809" s="105" t="n"/>
      <c r="C809" s="106" t="n"/>
      <c r="D809" s="106" t="n"/>
      <c r="E809" s="106" t="n"/>
      <c r="F809" s="107" t="n"/>
      <c r="G809" s="108" t="n"/>
      <c r="H809" s="129" t="n"/>
    </row>
    <row r="810" ht="15" customHeight="1" s="86">
      <c r="B810" s="105" t="n"/>
      <c r="C810" s="106" t="n"/>
      <c r="D810" s="106" t="n"/>
      <c r="E810" s="106" t="n"/>
      <c r="F810" s="107" t="n"/>
      <c r="G810" s="108" t="n"/>
      <c r="H810" s="129" t="n"/>
    </row>
    <row r="811" ht="15" customHeight="1" s="86">
      <c r="B811" s="105" t="n"/>
      <c r="C811" s="106" t="n"/>
      <c r="D811" s="106" t="n"/>
      <c r="E811" s="106" t="n"/>
      <c r="F811" s="107" t="n"/>
      <c r="G811" s="108" t="n"/>
      <c r="H811" s="129" t="n"/>
    </row>
    <row r="812" ht="15" customHeight="1" s="86">
      <c r="B812" s="105" t="n"/>
      <c r="C812" s="106" t="n"/>
      <c r="D812" s="106" t="n"/>
      <c r="E812" s="106" t="n"/>
      <c r="F812" s="107" t="n"/>
      <c r="G812" s="108" t="n"/>
      <c r="H812" s="129" t="n"/>
    </row>
    <row r="813" ht="15" customHeight="1" s="86">
      <c r="B813" s="105" t="n"/>
      <c r="C813" s="106" t="n"/>
      <c r="D813" s="106" t="n"/>
      <c r="E813" s="106" t="n"/>
      <c r="F813" s="107" t="n"/>
      <c r="G813" s="108" t="n"/>
      <c r="H813" s="129" t="n"/>
    </row>
    <row r="814" ht="15" customHeight="1" s="86">
      <c r="B814" s="105" t="n"/>
      <c r="C814" s="106" t="n"/>
      <c r="D814" s="106" t="n"/>
      <c r="E814" s="106" t="n"/>
      <c r="F814" s="107" t="n"/>
      <c r="G814" s="108" t="n"/>
      <c r="H814" s="129" t="n"/>
    </row>
    <row r="815" ht="15" customHeight="1" s="86">
      <c r="B815" s="105" t="n"/>
      <c r="C815" s="106" t="n"/>
      <c r="D815" s="106" t="n"/>
      <c r="E815" s="106" t="n"/>
      <c r="F815" s="107" t="n"/>
      <c r="G815" s="108" t="n"/>
      <c r="H815" s="129" t="n"/>
    </row>
    <row r="816" ht="15" customHeight="1" s="86">
      <c r="B816" s="105" t="n"/>
      <c r="C816" s="106" t="n"/>
      <c r="D816" s="106" t="n"/>
      <c r="E816" s="106" t="n"/>
      <c r="F816" s="107" t="n"/>
      <c r="G816" s="108" t="n"/>
      <c r="H816" s="129" t="n"/>
    </row>
    <row r="817" ht="15" customHeight="1" s="86">
      <c r="B817" s="105" t="n"/>
      <c r="C817" s="106" t="n"/>
      <c r="D817" s="106" t="n"/>
      <c r="E817" s="106" t="n"/>
      <c r="F817" s="107" t="n"/>
      <c r="G817" s="108" t="n"/>
      <c r="H817" s="129" t="n"/>
    </row>
    <row r="818" ht="15" customHeight="1" s="86">
      <c r="B818" s="105" t="n"/>
      <c r="C818" s="106" t="n"/>
      <c r="D818" s="106" t="n"/>
      <c r="E818" s="106" t="n"/>
      <c r="F818" s="107" t="n"/>
      <c r="G818" s="108" t="n"/>
      <c r="H818" s="129" t="n"/>
    </row>
    <row r="819" ht="15" customHeight="1" s="86">
      <c r="B819" s="105" t="n"/>
      <c r="C819" s="106" t="n"/>
      <c r="D819" s="106" t="n"/>
      <c r="E819" s="106" t="n"/>
      <c r="F819" s="107" t="n"/>
      <c r="G819" s="108" t="n"/>
      <c r="H819" s="129" t="n"/>
    </row>
    <row r="820" ht="15" customHeight="1" s="86">
      <c r="B820" s="105" t="n"/>
      <c r="C820" s="106" t="n"/>
      <c r="D820" s="106" t="n"/>
      <c r="E820" s="106" t="n"/>
      <c r="F820" s="107" t="n"/>
      <c r="G820" s="108" t="n"/>
      <c r="H820" s="129" t="n"/>
    </row>
    <row r="821" ht="15" customHeight="1" s="86">
      <c r="B821" s="105" t="n"/>
      <c r="C821" s="106" t="n"/>
      <c r="D821" s="106" t="n"/>
      <c r="E821" s="106" t="n"/>
      <c r="F821" s="107" t="n"/>
      <c r="G821" s="108" t="n"/>
      <c r="H821" s="129" t="n"/>
    </row>
    <row r="822" ht="15" customHeight="1" s="86">
      <c r="B822" s="105" t="n"/>
      <c r="C822" s="106" t="n"/>
      <c r="D822" s="106" t="n"/>
      <c r="E822" s="106" t="n"/>
      <c r="F822" s="107" t="n"/>
      <c r="G822" s="108" t="n"/>
      <c r="H822" s="129" t="n"/>
    </row>
    <row r="823" ht="15" customHeight="1" s="86">
      <c r="B823" s="105" t="n"/>
      <c r="C823" s="106" t="n"/>
      <c r="D823" s="106" t="n"/>
      <c r="E823" s="106" t="n"/>
      <c r="F823" s="107" t="n"/>
      <c r="G823" s="108" t="n"/>
      <c r="H823" s="129" t="n"/>
    </row>
    <row r="824" ht="15" customHeight="1" s="86">
      <c r="B824" s="105" t="n"/>
      <c r="C824" s="106" t="n"/>
      <c r="D824" s="106" t="n"/>
      <c r="E824" s="106" t="n"/>
      <c r="F824" s="107" t="n"/>
      <c r="G824" s="108" t="n"/>
      <c r="H824" s="129" t="n"/>
    </row>
    <row r="825" ht="15" customHeight="1" s="86">
      <c r="B825" s="105" t="n"/>
      <c r="C825" s="106" t="n"/>
      <c r="D825" s="106" t="n"/>
      <c r="E825" s="106" t="n"/>
      <c r="F825" s="107" t="n"/>
      <c r="G825" s="108" t="n"/>
      <c r="H825" s="129" t="n"/>
    </row>
    <row r="826" ht="15" customHeight="1" s="86">
      <c r="B826" s="105" t="n"/>
      <c r="C826" s="106" t="n"/>
      <c r="D826" s="106" t="n"/>
      <c r="E826" s="106" t="n"/>
      <c r="F826" s="107" t="n"/>
      <c r="G826" s="108" t="n"/>
      <c r="H826" s="129" t="n"/>
    </row>
    <row r="827" ht="15" customHeight="1" s="86">
      <c r="B827" s="105" t="n"/>
      <c r="C827" s="106" t="n"/>
      <c r="D827" s="106" t="n"/>
      <c r="E827" s="106" t="n"/>
      <c r="F827" s="107" t="n"/>
      <c r="G827" s="108" t="n"/>
      <c r="H827" s="129" t="n"/>
    </row>
    <row r="828" ht="15" customHeight="1" s="86">
      <c r="B828" s="105" t="n"/>
      <c r="C828" s="106" t="n"/>
      <c r="D828" s="106" t="n"/>
      <c r="E828" s="106" t="n"/>
      <c r="F828" s="107" t="n"/>
      <c r="G828" s="108" t="n"/>
      <c r="H828" s="129" t="n"/>
    </row>
    <row r="829" ht="15" customHeight="1" s="86">
      <c r="B829" s="105" t="n"/>
      <c r="C829" s="106" t="n"/>
      <c r="D829" s="106" t="n"/>
      <c r="E829" s="106" t="n"/>
      <c r="F829" s="107" t="n"/>
      <c r="G829" s="108" t="n"/>
      <c r="H829" s="129" t="n"/>
    </row>
    <row r="830" ht="15" customHeight="1" s="86">
      <c r="B830" s="105" t="n"/>
      <c r="C830" s="106" t="n"/>
      <c r="D830" s="106" t="n"/>
      <c r="E830" s="106" t="n"/>
      <c r="F830" s="107" t="n"/>
      <c r="G830" s="108" t="n"/>
      <c r="H830" s="129" t="n"/>
    </row>
    <row r="831" ht="15" customHeight="1" s="86">
      <c r="B831" s="105" t="n"/>
      <c r="C831" s="106" t="n"/>
      <c r="D831" s="106" t="n"/>
      <c r="E831" s="106" t="n"/>
      <c r="F831" s="107" t="n"/>
      <c r="G831" s="108" t="n"/>
      <c r="H831" s="129" t="n"/>
    </row>
    <row r="832" ht="15" customHeight="1" s="86">
      <c r="B832" s="105" t="n"/>
      <c r="C832" s="106" t="n"/>
      <c r="D832" s="106" t="n"/>
      <c r="E832" s="106" t="n"/>
      <c r="F832" s="107" t="n"/>
      <c r="G832" s="108" t="n"/>
      <c r="H832" s="129" t="n"/>
    </row>
    <row r="833" ht="15" customHeight="1" s="86">
      <c r="B833" s="105" t="n"/>
      <c r="C833" s="106" t="n"/>
      <c r="D833" s="106" t="n"/>
      <c r="E833" s="106" t="n"/>
      <c r="F833" s="107" t="n"/>
      <c r="G833" s="108" t="n"/>
      <c r="H833" s="129" t="n"/>
    </row>
    <row r="834" ht="15" customHeight="1" s="86">
      <c r="B834" s="105" t="n"/>
      <c r="C834" s="106" t="n"/>
      <c r="D834" s="106" t="n"/>
      <c r="E834" s="106" t="n"/>
      <c r="F834" s="107" t="n"/>
      <c r="G834" s="108" t="n"/>
      <c r="H834" s="129" t="n"/>
    </row>
    <row r="835" ht="15" customHeight="1" s="86">
      <c r="B835" s="105" t="n"/>
      <c r="C835" s="106" t="n"/>
      <c r="D835" s="106" t="n"/>
      <c r="E835" s="106" t="n"/>
      <c r="F835" s="107" t="n"/>
      <c r="G835" s="108" t="n"/>
      <c r="H835" s="129" t="n"/>
    </row>
    <row r="836" ht="15" customHeight="1" s="86">
      <c r="B836" s="105" t="n"/>
      <c r="C836" s="106" t="n"/>
      <c r="D836" s="106" t="n"/>
      <c r="E836" s="106" t="n"/>
      <c r="F836" s="107" t="n"/>
      <c r="G836" s="108" t="n"/>
      <c r="H836" s="129" t="n"/>
    </row>
    <row r="837" ht="15" customHeight="1" s="86">
      <c r="B837" s="105" t="n"/>
      <c r="C837" s="106" t="n"/>
      <c r="D837" s="106" t="n"/>
      <c r="E837" s="106" t="n"/>
      <c r="F837" s="107" t="n"/>
      <c r="G837" s="108" t="n"/>
      <c r="H837" s="129" t="n"/>
    </row>
    <row r="838" ht="15" customHeight="1" s="86">
      <c r="B838" s="105" t="n"/>
      <c r="C838" s="106" t="n"/>
      <c r="D838" s="106" t="n"/>
      <c r="E838" s="106" t="n"/>
      <c r="F838" s="107" t="n"/>
      <c r="G838" s="108" t="n"/>
      <c r="H838" s="129" t="n"/>
    </row>
    <row r="839" ht="15" customHeight="1" s="86">
      <c r="B839" s="105" t="n"/>
      <c r="C839" s="106" t="n"/>
      <c r="D839" s="106" t="n"/>
      <c r="E839" s="106" t="n"/>
      <c r="F839" s="107" t="n"/>
      <c r="G839" s="108" t="n"/>
      <c r="H839" s="129" t="n"/>
    </row>
    <row r="840" ht="15" customHeight="1" s="86">
      <c r="B840" s="105" t="n"/>
      <c r="C840" s="106" t="n"/>
      <c r="D840" s="106" t="n"/>
      <c r="E840" s="106" t="n"/>
      <c r="F840" s="107" t="n"/>
      <c r="G840" s="108" t="n"/>
      <c r="H840" s="129" t="n"/>
    </row>
    <row r="841" ht="15" customHeight="1" s="86">
      <c r="B841" s="105" t="n"/>
      <c r="C841" s="106" t="n"/>
      <c r="D841" s="106" t="n"/>
      <c r="E841" s="106" t="n"/>
      <c r="F841" s="107" t="n"/>
      <c r="G841" s="108" t="n"/>
      <c r="H841" s="129" t="n"/>
    </row>
    <row r="842" ht="15" customHeight="1" s="86">
      <c r="B842" s="105" t="n"/>
      <c r="C842" s="106" t="n"/>
      <c r="D842" s="106" t="n"/>
      <c r="E842" s="106" t="n"/>
      <c r="F842" s="107" t="n"/>
      <c r="G842" s="108" t="n"/>
      <c r="H842" s="129" t="n"/>
    </row>
    <row r="843" ht="15" customHeight="1" s="86">
      <c r="B843" s="105" t="n"/>
      <c r="C843" s="106" t="n"/>
      <c r="D843" s="106" t="n"/>
      <c r="E843" s="106" t="n"/>
      <c r="F843" s="107" t="n"/>
      <c r="G843" s="108" t="n"/>
      <c r="H843" s="129" t="n"/>
    </row>
    <row r="844" ht="15" customHeight="1" s="86">
      <c r="B844" s="105" t="n"/>
      <c r="C844" s="106" t="n"/>
      <c r="D844" s="106" t="n"/>
      <c r="E844" s="106" t="n"/>
      <c r="F844" s="107" t="n"/>
      <c r="G844" s="108" t="n"/>
      <c r="H844" s="129" t="n"/>
    </row>
    <row r="845" ht="15" customHeight="1" s="86">
      <c r="B845" s="105" t="n"/>
      <c r="C845" s="106" t="n"/>
      <c r="D845" s="106" t="n"/>
      <c r="E845" s="106" t="n"/>
      <c r="F845" s="107" t="n"/>
      <c r="G845" s="108" t="n"/>
      <c r="H845" s="129" t="n"/>
    </row>
    <row r="846" ht="15" customHeight="1" s="86">
      <c r="B846" s="105" t="n"/>
      <c r="C846" s="106" t="n"/>
      <c r="D846" s="106" t="n"/>
      <c r="E846" s="106" t="n"/>
      <c r="F846" s="107" t="n"/>
      <c r="G846" s="108" t="n"/>
      <c r="H846" s="129" t="n"/>
    </row>
    <row r="847" ht="15" customHeight="1" s="86">
      <c r="B847" s="105" t="n"/>
      <c r="C847" s="106" t="n"/>
      <c r="D847" s="106" t="n"/>
      <c r="E847" s="106" t="n"/>
      <c r="F847" s="107" t="n"/>
      <c r="G847" s="108" t="n"/>
      <c r="H847" s="129" t="n"/>
    </row>
    <row r="848" ht="15" customHeight="1" s="86">
      <c r="B848" s="105" t="n"/>
      <c r="C848" s="106" t="n"/>
      <c r="D848" s="106" t="n"/>
      <c r="E848" s="106" t="n"/>
      <c r="F848" s="107" t="n"/>
      <c r="G848" s="108" t="n"/>
      <c r="H848" s="129" t="n"/>
    </row>
    <row r="849" ht="15" customHeight="1" s="86">
      <c r="B849" s="105" t="n"/>
      <c r="C849" s="106" t="n"/>
      <c r="D849" s="106" t="n"/>
      <c r="E849" s="106" t="n"/>
      <c r="F849" s="107" t="n"/>
      <c r="G849" s="108" t="n"/>
      <c r="H849" s="129" t="n"/>
    </row>
    <row r="850" ht="15" customHeight="1" s="86">
      <c r="B850" s="105" t="n"/>
      <c r="C850" s="106" t="n"/>
      <c r="D850" s="106" t="n"/>
      <c r="E850" s="106" t="n"/>
      <c r="F850" s="107" t="n"/>
      <c r="G850" s="108" t="n"/>
      <c r="H850" s="129" t="n"/>
    </row>
    <row r="851" ht="15" customHeight="1" s="86">
      <c r="B851" s="105" t="n"/>
      <c r="C851" s="106" t="n"/>
      <c r="D851" s="106" t="n"/>
      <c r="E851" s="106" t="n"/>
      <c r="F851" s="107" t="n"/>
      <c r="G851" s="108" t="n"/>
      <c r="H851" s="129" t="n"/>
    </row>
    <row r="852" ht="15" customHeight="1" s="86">
      <c r="B852" s="105" t="n"/>
      <c r="C852" s="106" t="n"/>
      <c r="D852" s="106" t="n"/>
      <c r="E852" s="106" t="n"/>
      <c r="F852" s="107" t="n"/>
      <c r="G852" s="108" t="n"/>
      <c r="H852" s="129" t="n"/>
    </row>
    <row r="853" ht="15" customHeight="1" s="86">
      <c r="B853" s="105" t="n"/>
      <c r="C853" s="106" t="n"/>
      <c r="D853" s="106" t="n"/>
      <c r="E853" s="106" t="n"/>
      <c r="F853" s="107" t="n"/>
      <c r="G853" s="108" t="n"/>
      <c r="H853" s="129" t="n"/>
    </row>
    <row r="854" ht="15" customHeight="1" s="86">
      <c r="B854" s="105" t="n"/>
      <c r="C854" s="106" t="n"/>
      <c r="D854" s="106" t="n"/>
      <c r="E854" s="106" t="n"/>
      <c r="F854" s="107" t="n"/>
      <c r="G854" s="108" t="n"/>
      <c r="H854" s="129" t="n"/>
    </row>
    <row r="855" ht="15" customHeight="1" s="86">
      <c r="B855" s="105" t="n"/>
      <c r="C855" s="106" t="n"/>
      <c r="D855" s="106" t="n"/>
      <c r="E855" s="106" t="n"/>
      <c r="F855" s="107" t="n"/>
      <c r="G855" s="108" t="n"/>
      <c r="H855" s="129" t="n"/>
    </row>
    <row r="856" ht="15" customHeight="1" s="86">
      <c r="B856" s="105" t="n"/>
      <c r="C856" s="106" t="n"/>
      <c r="D856" s="106" t="n"/>
      <c r="E856" s="106" t="n"/>
      <c r="F856" s="107" t="n"/>
      <c r="G856" s="108" t="n"/>
      <c r="H856" s="129" t="n"/>
    </row>
    <row r="857" ht="15" customHeight="1" s="86">
      <c r="B857" s="105" t="n"/>
      <c r="C857" s="106" t="n"/>
      <c r="D857" s="106" t="n"/>
      <c r="E857" s="106" t="n"/>
      <c r="F857" s="107" t="n"/>
      <c r="G857" s="108" t="n"/>
      <c r="H857" s="129" t="n"/>
    </row>
    <row r="858" ht="15" customHeight="1" s="86">
      <c r="B858" s="105" t="n"/>
      <c r="C858" s="106" t="n"/>
      <c r="D858" s="106" t="n"/>
      <c r="E858" s="106" t="n"/>
      <c r="F858" s="107" t="n"/>
      <c r="G858" s="108" t="n"/>
      <c r="H858" s="129" t="n"/>
    </row>
    <row r="859" ht="15" customHeight="1" s="86">
      <c r="B859" s="105" t="n"/>
      <c r="C859" s="106" t="n"/>
      <c r="D859" s="106" t="n"/>
      <c r="E859" s="106" t="n"/>
      <c r="F859" s="107" t="n"/>
      <c r="G859" s="108" t="n"/>
      <c r="H859" s="129" t="n"/>
    </row>
    <row r="860" ht="15" customHeight="1" s="86">
      <c r="B860" s="105" t="n"/>
      <c r="C860" s="106" t="n"/>
      <c r="D860" s="106" t="n"/>
      <c r="E860" s="106" t="n"/>
      <c r="F860" s="107" t="n"/>
      <c r="G860" s="108" t="n"/>
      <c r="H860" s="129" t="n"/>
    </row>
    <row r="861" ht="15" customHeight="1" s="86">
      <c r="B861" s="105" t="n"/>
      <c r="C861" s="106" t="n"/>
      <c r="D861" s="106" t="n"/>
      <c r="E861" s="106" t="n"/>
      <c r="F861" s="107" t="n"/>
      <c r="G861" s="108" t="n"/>
      <c r="H861" s="129" t="n"/>
    </row>
    <row r="862" ht="15" customHeight="1" s="86">
      <c r="B862" s="105" t="n"/>
      <c r="C862" s="106" t="n"/>
      <c r="D862" s="106" t="n"/>
      <c r="E862" s="106" t="n"/>
      <c r="F862" s="107" t="n"/>
      <c r="G862" s="108" t="n"/>
      <c r="H862" s="129" t="n"/>
    </row>
    <row r="863" ht="15" customHeight="1" s="86">
      <c r="B863" s="105" t="n"/>
      <c r="C863" s="106" t="n"/>
      <c r="D863" s="106" t="n"/>
      <c r="E863" s="106" t="n"/>
      <c r="F863" s="107" t="n"/>
      <c r="G863" s="108" t="n"/>
      <c r="H863" s="129" t="n"/>
    </row>
    <row r="864" ht="15" customHeight="1" s="86">
      <c r="B864" s="105" t="n"/>
      <c r="C864" s="106" t="n"/>
      <c r="D864" s="106" t="n"/>
      <c r="E864" s="106" t="n"/>
      <c r="F864" s="107" t="n"/>
      <c r="G864" s="108" t="n"/>
      <c r="H864" s="129" t="n"/>
    </row>
    <row r="865" ht="15" customHeight="1" s="86">
      <c r="B865" s="105" t="n"/>
      <c r="C865" s="106" t="n"/>
      <c r="D865" s="106" t="n"/>
      <c r="E865" s="106" t="n"/>
      <c r="F865" s="107" t="n"/>
      <c r="G865" s="108" t="n"/>
      <c r="H865" s="129" t="n"/>
    </row>
    <row r="866" ht="15" customHeight="1" s="86">
      <c r="B866" s="105" t="n"/>
      <c r="C866" s="106" t="n"/>
      <c r="D866" s="106" t="n"/>
      <c r="E866" s="106" t="n"/>
      <c r="F866" s="107" t="n"/>
      <c r="G866" s="108" t="n"/>
      <c r="H866" s="129" t="n"/>
    </row>
    <row r="867" ht="15" customHeight="1" s="86">
      <c r="B867" s="105" t="n"/>
      <c r="C867" s="106" t="n"/>
      <c r="D867" s="106" t="n"/>
      <c r="E867" s="106" t="n"/>
      <c r="F867" s="107" t="n"/>
      <c r="G867" s="108" t="n"/>
      <c r="H867" s="129" t="n"/>
    </row>
    <row r="868" ht="15" customHeight="1" s="86">
      <c r="B868" s="105" t="n"/>
      <c r="C868" s="106" t="n"/>
      <c r="D868" s="106" t="n"/>
      <c r="E868" s="106" t="n"/>
      <c r="F868" s="107" t="n"/>
      <c r="G868" s="108" t="n"/>
      <c r="H868" s="129" t="n"/>
    </row>
    <row r="869" ht="15" customHeight="1" s="86">
      <c r="B869" s="105" t="n"/>
      <c r="C869" s="106" t="n"/>
      <c r="D869" s="106" t="n"/>
      <c r="E869" s="106" t="n"/>
      <c r="F869" s="107" t="n"/>
      <c r="G869" s="108" t="n"/>
      <c r="H869" s="129" t="n"/>
    </row>
    <row r="870" ht="15" customHeight="1" s="86">
      <c r="B870" s="105" t="n"/>
      <c r="C870" s="106" t="n"/>
      <c r="D870" s="106" t="n"/>
      <c r="E870" s="106" t="n"/>
      <c r="F870" s="107" t="n"/>
      <c r="G870" s="108" t="n"/>
      <c r="H870" s="129" t="n"/>
    </row>
    <row r="871" ht="15" customHeight="1" s="86">
      <c r="B871" s="105" t="n"/>
      <c r="C871" s="106" t="n"/>
      <c r="D871" s="106" t="n"/>
      <c r="E871" s="106" t="n"/>
      <c r="F871" s="107" t="n"/>
      <c r="G871" s="108" t="n"/>
      <c r="H871" s="129" t="n"/>
    </row>
    <row r="872" ht="15" customHeight="1" s="86">
      <c r="B872" s="105" t="n"/>
      <c r="C872" s="106" t="n"/>
      <c r="D872" s="106" t="n"/>
      <c r="E872" s="106" t="n"/>
      <c r="F872" s="107" t="n"/>
      <c r="G872" s="108" t="n"/>
      <c r="H872" s="129" t="n"/>
    </row>
    <row r="873" ht="15" customHeight="1" s="86">
      <c r="B873" s="105" t="n"/>
      <c r="C873" s="106" t="n"/>
      <c r="D873" s="106" t="n"/>
      <c r="E873" s="106" t="n"/>
      <c r="F873" s="107" t="n"/>
      <c r="G873" s="108" t="n"/>
      <c r="H873" s="129" t="n"/>
    </row>
    <row r="874" ht="15" customHeight="1" s="86">
      <c r="B874" s="105" t="n"/>
      <c r="C874" s="106" t="n"/>
      <c r="D874" s="106" t="n"/>
      <c r="E874" s="106" t="n"/>
      <c r="F874" s="107" t="n"/>
      <c r="G874" s="108" t="n"/>
      <c r="H874" s="129" t="n"/>
    </row>
    <row r="875" ht="15" customHeight="1" s="86">
      <c r="B875" s="105" t="n"/>
      <c r="C875" s="106" t="n"/>
      <c r="D875" s="106" t="n"/>
      <c r="E875" s="106" t="n"/>
      <c r="F875" s="107" t="n"/>
      <c r="G875" s="108" t="n"/>
      <c r="H875" s="129" t="n"/>
    </row>
    <row r="876" ht="15" customHeight="1" s="86">
      <c r="B876" s="105" t="n"/>
      <c r="C876" s="106" t="n"/>
      <c r="D876" s="106" t="n"/>
      <c r="E876" s="106" t="n"/>
      <c r="F876" s="107" t="n"/>
      <c r="G876" s="108" t="n"/>
      <c r="H876" s="129" t="n"/>
    </row>
    <row r="877" ht="15" customHeight="1" s="86">
      <c r="B877" s="105" t="n"/>
      <c r="C877" s="106" t="n"/>
      <c r="D877" s="106" t="n"/>
      <c r="E877" s="106" t="n"/>
      <c r="F877" s="107" t="n"/>
      <c r="G877" s="108" t="n"/>
      <c r="H877" s="129" t="n"/>
    </row>
    <row r="878" ht="15" customHeight="1" s="86">
      <c r="B878" s="105" t="n"/>
      <c r="C878" s="106" t="n"/>
      <c r="D878" s="106" t="n"/>
      <c r="E878" s="106" t="n"/>
      <c r="F878" s="107" t="n"/>
      <c r="G878" s="108" t="n"/>
      <c r="H878" s="129" t="n"/>
    </row>
    <row r="879" ht="15" customHeight="1" s="86">
      <c r="B879" s="105" t="n"/>
      <c r="C879" s="106" t="n"/>
      <c r="D879" s="106" t="n"/>
      <c r="E879" s="106" t="n"/>
      <c r="F879" s="107" t="n"/>
      <c r="G879" s="108" t="n"/>
      <c r="H879" s="129" t="n"/>
    </row>
    <row r="880" ht="15" customHeight="1" s="86">
      <c r="B880" s="105" t="n"/>
      <c r="C880" s="106" t="n"/>
      <c r="D880" s="106" t="n"/>
      <c r="E880" s="106" t="n"/>
      <c r="F880" s="107" t="n"/>
      <c r="G880" s="108" t="n"/>
      <c r="H880" s="129" t="n"/>
    </row>
    <row r="881" ht="15" customHeight="1" s="86">
      <c r="B881" s="105" t="n"/>
      <c r="C881" s="106" t="n"/>
      <c r="D881" s="106" t="n"/>
      <c r="E881" s="106" t="n"/>
      <c r="F881" s="107" t="n"/>
      <c r="G881" s="108" t="n"/>
      <c r="H881" s="129" t="n"/>
    </row>
    <row r="882" ht="15" customHeight="1" s="86">
      <c r="B882" s="105" t="n"/>
      <c r="C882" s="106" t="n"/>
      <c r="D882" s="106" t="n"/>
      <c r="E882" s="106" t="n"/>
      <c r="F882" s="107" t="n"/>
      <c r="G882" s="108" t="n"/>
      <c r="H882" s="129" t="n"/>
    </row>
    <row r="883" ht="15" customHeight="1" s="86">
      <c r="B883" s="105" t="n"/>
      <c r="C883" s="106" t="n"/>
      <c r="D883" s="106" t="n"/>
      <c r="E883" s="106" t="n"/>
      <c r="F883" s="107" t="n"/>
      <c r="G883" s="108" t="n"/>
      <c r="H883" s="129" t="n"/>
    </row>
    <row r="884" ht="15" customHeight="1" s="86">
      <c r="B884" s="105" t="n"/>
      <c r="C884" s="106" t="n"/>
      <c r="D884" s="106" t="n"/>
      <c r="E884" s="106" t="n"/>
      <c r="F884" s="107" t="n"/>
      <c r="G884" s="108" t="n"/>
      <c r="H884" s="129" t="n"/>
    </row>
    <row r="885" ht="15" customHeight="1" s="86">
      <c r="B885" s="105" t="n"/>
      <c r="C885" s="106" t="n"/>
      <c r="D885" s="106" t="n"/>
      <c r="E885" s="106" t="n"/>
      <c r="F885" s="107" t="n"/>
      <c r="G885" s="108" t="n"/>
      <c r="H885" s="129" t="n"/>
    </row>
    <row r="886" ht="15" customHeight="1" s="86">
      <c r="B886" s="105" t="n"/>
      <c r="C886" s="106" t="n"/>
      <c r="D886" s="106" t="n"/>
      <c r="E886" s="106" t="n"/>
      <c r="F886" s="107" t="n"/>
      <c r="G886" s="108" t="n"/>
      <c r="H886" s="129" t="n"/>
    </row>
    <row r="887" ht="15" customHeight="1" s="86">
      <c r="B887" s="105" t="n"/>
      <c r="C887" s="106" t="n"/>
      <c r="D887" s="106" t="n"/>
      <c r="E887" s="106" t="n"/>
      <c r="F887" s="107" t="n"/>
      <c r="G887" s="108" t="n"/>
      <c r="H887" s="129" t="n"/>
    </row>
    <row r="888" ht="15" customHeight="1" s="86">
      <c r="B888" s="105" t="n"/>
      <c r="C888" s="106" t="n"/>
      <c r="D888" s="106" t="n"/>
      <c r="E888" s="106" t="n"/>
      <c r="F888" s="107" t="n"/>
      <c r="G888" s="108" t="n"/>
      <c r="H888" s="129" t="n"/>
    </row>
    <row r="889" ht="15" customHeight="1" s="86">
      <c r="B889" s="105" t="n"/>
      <c r="C889" s="106" t="n"/>
      <c r="D889" s="106" t="n"/>
      <c r="E889" s="106" t="n"/>
      <c r="F889" s="107" t="n"/>
      <c r="G889" s="108" t="n"/>
      <c r="H889" s="129" t="n"/>
    </row>
    <row r="890" ht="15" customHeight="1" s="86">
      <c r="B890" s="105" t="n"/>
      <c r="C890" s="106" t="n"/>
      <c r="D890" s="106" t="n"/>
      <c r="E890" s="106" t="n"/>
      <c r="F890" s="107" t="n"/>
      <c r="G890" s="108" t="n"/>
      <c r="H890" s="129" t="n"/>
    </row>
    <row r="891" ht="15" customHeight="1" s="86">
      <c r="B891" s="105" t="n"/>
      <c r="C891" s="106" t="n"/>
      <c r="D891" s="106" t="n"/>
      <c r="E891" s="106" t="n"/>
      <c r="F891" s="107" t="n"/>
      <c r="G891" s="108" t="n"/>
      <c r="H891" s="129" t="n"/>
    </row>
    <row r="892" ht="15" customHeight="1" s="86">
      <c r="B892" s="105" t="n"/>
      <c r="C892" s="106" t="n"/>
      <c r="D892" s="106" t="n"/>
      <c r="E892" s="106" t="n"/>
      <c r="F892" s="107" t="n"/>
      <c r="G892" s="108" t="n"/>
      <c r="H892" s="129" t="n"/>
    </row>
    <row r="893" ht="15" customHeight="1" s="86">
      <c r="B893" s="105" t="n"/>
      <c r="C893" s="106" t="n"/>
      <c r="D893" s="106" t="n"/>
      <c r="E893" s="106" t="n"/>
      <c r="F893" s="107" t="n"/>
      <c r="G893" s="108" t="n"/>
      <c r="H893" s="129" t="n"/>
    </row>
    <row r="894" ht="15" customHeight="1" s="86">
      <c r="B894" s="105" t="n"/>
      <c r="C894" s="106" t="n"/>
      <c r="D894" s="106" t="n"/>
      <c r="E894" s="106" t="n"/>
      <c r="F894" s="107" t="n"/>
      <c r="G894" s="108" t="n"/>
      <c r="H894" s="129" t="n"/>
    </row>
    <row r="895" ht="15" customHeight="1" s="86">
      <c r="B895" s="105" t="n"/>
      <c r="C895" s="106" t="n"/>
      <c r="D895" s="106" t="n"/>
      <c r="E895" s="106" t="n"/>
      <c r="F895" s="107" t="n"/>
      <c r="G895" s="108" t="n"/>
      <c r="H895" s="129" t="n"/>
    </row>
    <row r="896" ht="15" customHeight="1" s="86">
      <c r="B896" s="105" t="n"/>
      <c r="C896" s="106" t="n"/>
      <c r="D896" s="106" t="n"/>
      <c r="E896" s="106" t="n"/>
      <c r="F896" s="107" t="n"/>
      <c r="G896" s="108" t="n"/>
      <c r="H896" s="129" t="n"/>
    </row>
    <row r="897" ht="15" customHeight="1" s="86">
      <c r="B897" s="105" t="n"/>
      <c r="C897" s="106" t="n"/>
      <c r="D897" s="106" t="n"/>
      <c r="E897" s="106" t="n"/>
      <c r="F897" s="107" t="n"/>
      <c r="G897" s="108" t="n"/>
      <c r="H897" s="129" t="n"/>
    </row>
    <row r="898" ht="15" customHeight="1" s="86">
      <c r="B898" s="105" t="n"/>
      <c r="C898" s="106" t="n"/>
      <c r="D898" s="106" t="n"/>
      <c r="E898" s="106" t="n"/>
      <c r="F898" s="107" t="n"/>
      <c r="G898" s="108" t="n"/>
      <c r="H898" s="129" t="n"/>
    </row>
    <row r="899" ht="15" customHeight="1" s="86">
      <c r="B899" s="105" t="n"/>
      <c r="C899" s="106" t="n"/>
      <c r="D899" s="106" t="n"/>
      <c r="E899" s="106" t="n"/>
      <c r="F899" s="107" t="n"/>
      <c r="G899" s="108" t="n"/>
      <c r="H899" s="129" t="n"/>
    </row>
    <row r="900" ht="15" customHeight="1" s="86">
      <c r="B900" s="105" t="n"/>
      <c r="C900" s="106" t="n"/>
      <c r="D900" s="106" t="n"/>
      <c r="E900" s="106" t="n"/>
      <c r="F900" s="107" t="n"/>
      <c r="G900" s="108" t="n"/>
      <c r="H900" s="129" t="n"/>
    </row>
    <row r="901" ht="15" customHeight="1" s="86">
      <c r="B901" s="105" t="n"/>
      <c r="C901" s="106" t="n"/>
      <c r="D901" s="106" t="n"/>
      <c r="E901" s="106" t="n"/>
      <c r="F901" s="107" t="n"/>
      <c r="G901" s="108" t="n"/>
      <c r="H901" s="129" t="n"/>
    </row>
    <row r="902" ht="15" customHeight="1" s="86">
      <c r="B902" s="105" t="n"/>
      <c r="C902" s="106" t="n"/>
      <c r="D902" s="106" t="n"/>
      <c r="E902" s="106" t="n"/>
      <c r="F902" s="107" t="n"/>
      <c r="G902" s="108" t="n"/>
      <c r="H902" s="129" t="n"/>
    </row>
    <row r="903" ht="15" customHeight="1" s="86">
      <c r="B903" s="105" t="n"/>
      <c r="C903" s="106" t="n"/>
      <c r="D903" s="106" t="n"/>
      <c r="E903" s="106" t="n"/>
      <c r="F903" s="107" t="n"/>
      <c r="G903" s="108" t="n"/>
      <c r="H903" s="129" t="n"/>
    </row>
    <row r="904" ht="15" customHeight="1" s="86">
      <c r="B904" s="105" t="n"/>
      <c r="C904" s="106" t="n"/>
      <c r="D904" s="106" t="n"/>
      <c r="E904" s="106" t="n"/>
      <c r="F904" s="107" t="n"/>
      <c r="G904" s="108" t="n"/>
      <c r="H904" s="129" t="n"/>
    </row>
    <row r="905" ht="15" customHeight="1" s="86">
      <c r="B905" s="105" t="n"/>
      <c r="C905" s="106" t="n"/>
      <c r="D905" s="106" t="n"/>
      <c r="E905" s="106" t="n"/>
      <c r="F905" s="107" t="n"/>
      <c r="G905" s="108" t="n"/>
      <c r="H905" s="129" t="n"/>
    </row>
    <row r="906" ht="15" customHeight="1" s="86">
      <c r="B906" s="105" t="n"/>
      <c r="C906" s="106" t="n"/>
      <c r="D906" s="106" t="n"/>
      <c r="E906" s="106" t="n"/>
      <c r="F906" s="107" t="n"/>
      <c r="G906" s="108" t="n"/>
      <c r="H906" s="129" t="n"/>
    </row>
    <row r="907" ht="15" customHeight="1" s="86">
      <c r="B907" s="105" t="n"/>
      <c r="C907" s="106" t="n"/>
      <c r="D907" s="106" t="n"/>
      <c r="E907" s="106" t="n"/>
      <c r="F907" s="107" t="n"/>
      <c r="G907" s="108" t="n"/>
      <c r="H907" s="129" t="n"/>
    </row>
    <row r="908" ht="15" customHeight="1" s="86">
      <c r="B908" s="105" t="n"/>
      <c r="C908" s="106" t="n"/>
      <c r="D908" s="106" t="n"/>
      <c r="E908" s="106" t="n"/>
      <c r="F908" s="107" t="n"/>
      <c r="G908" s="108" t="n"/>
      <c r="H908" s="129" t="n"/>
    </row>
    <row r="909" ht="15" customHeight="1" s="86">
      <c r="B909" s="105" t="n"/>
      <c r="C909" s="106" t="n"/>
      <c r="D909" s="106" t="n"/>
      <c r="E909" s="106" t="n"/>
      <c r="F909" s="107" t="n"/>
      <c r="G909" s="108" t="n"/>
      <c r="H909" s="129" t="n"/>
    </row>
    <row r="910" ht="15" customHeight="1" s="86">
      <c r="B910" s="105" t="n"/>
      <c r="C910" s="106" t="n"/>
      <c r="D910" s="106" t="n"/>
      <c r="E910" s="106" t="n"/>
      <c r="F910" s="107" t="n"/>
      <c r="G910" s="108" t="n"/>
      <c r="H910" s="129" t="n"/>
    </row>
    <row r="911" ht="15" customHeight="1" s="86">
      <c r="B911" s="105" t="n"/>
      <c r="C911" s="106" t="n"/>
      <c r="D911" s="106" t="n"/>
      <c r="E911" s="106" t="n"/>
      <c r="F911" s="107" t="n"/>
      <c r="G911" s="108" t="n"/>
      <c r="H911" s="129" t="n"/>
    </row>
    <row r="912" ht="15" customHeight="1" s="86">
      <c r="B912" s="105" t="n"/>
      <c r="C912" s="106" t="n"/>
      <c r="D912" s="106" t="n"/>
      <c r="E912" s="106" t="n"/>
      <c r="F912" s="107" t="n"/>
      <c r="G912" s="108" t="n"/>
      <c r="H912" s="129" t="n"/>
    </row>
    <row r="913" ht="15" customHeight="1" s="86">
      <c r="B913" s="105" t="n"/>
      <c r="C913" s="106" t="n"/>
      <c r="D913" s="106" t="n"/>
      <c r="E913" s="106" t="n"/>
      <c r="F913" s="107" t="n"/>
      <c r="G913" s="108" t="n"/>
      <c r="H913" s="129" t="n"/>
    </row>
    <row r="914" ht="15" customHeight="1" s="86">
      <c r="B914" s="105" t="n"/>
      <c r="C914" s="106" t="n"/>
      <c r="D914" s="106" t="n"/>
      <c r="E914" s="106" t="n"/>
      <c r="F914" s="107" t="n"/>
      <c r="G914" s="108" t="n"/>
      <c r="H914" s="129" t="n"/>
    </row>
    <row r="915" ht="15" customHeight="1" s="86">
      <c r="B915" s="105" t="n"/>
      <c r="C915" s="106" t="n"/>
      <c r="D915" s="106" t="n"/>
      <c r="E915" s="106" t="n"/>
      <c r="F915" s="107" t="n"/>
      <c r="G915" s="108" t="n"/>
      <c r="H915" s="129" t="n"/>
    </row>
    <row r="916" ht="15" customHeight="1" s="86">
      <c r="B916" s="105" t="n"/>
      <c r="C916" s="106" t="n"/>
      <c r="D916" s="106" t="n"/>
      <c r="E916" s="106" t="n"/>
      <c r="F916" s="107" t="n"/>
      <c r="G916" s="108" t="n"/>
      <c r="H916" s="129" t="n"/>
    </row>
    <row r="917" ht="15" customHeight="1" s="86">
      <c r="B917" s="105" t="n"/>
      <c r="C917" s="106" t="n"/>
      <c r="D917" s="106" t="n"/>
      <c r="E917" s="106" t="n"/>
      <c r="F917" s="107" t="n"/>
      <c r="G917" s="108" t="n"/>
      <c r="H917" s="129" t="n"/>
    </row>
    <row r="918" ht="15" customHeight="1" s="86">
      <c r="B918" s="105" t="n"/>
      <c r="C918" s="106" t="n"/>
      <c r="D918" s="106" t="n"/>
      <c r="E918" s="106" t="n"/>
      <c r="F918" s="107" t="n"/>
      <c r="G918" s="108" t="n"/>
      <c r="H918" s="129" t="n"/>
    </row>
    <row r="919" ht="15" customHeight="1" s="86">
      <c r="B919" s="105" t="n"/>
      <c r="C919" s="106" t="n"/>
      <c r="D919" s="106" t="n"/>
      <c r="E919" s="106" t="n"/>
      <c r="F919" s="107" t="n"/>
      <c r="G919" s="108" t="n"/>
      <c r="H919" s="129" t="n"/>
    </row>
    <row r="920" ht="15" customHeight="1" s="86">
      <c r="B920" s="105" t="n"/>
      <c r="C920" s="106" t="n"/>
      <c r="D920" s="106" t="n"/>
      <c r="E920" s="106" t="n"/>
      <c r="F920" s="107" t="n"/>
      <c r="G920" s="108" t="n"/>
      <c r="H920" s="129" t="n"/>
    </row>
    <row r="921" ht="15" customHeight="1" s="86">
      <c r="B921" s="105" t="n"/>
      <c r="C921" s="106" t="n"/>
      <c r="D921" s="106" t="n"/>
      <c r="E921" s="106" t="n"/>
      <c r="F921" s="107" t="n"/>
      <c r="G921" s="108" t="n"/>
      <c r="H921" s="129" t="n"/>
    </row>
    <row r="922" ht="15" customHeight="1" s="86">
      <c r="B922" s="105" t="n"/>
      <c r="C922" s="106" t="n"/>
      <c r="D922" s="106" t="n"/>
      <c r="E922" s="106" t="n"/>
      <c r="F922" s="107" t="n"/>
      <c r="G922" s="108" t="n"/>
      <c r="H922" s="129" t="n"/>
    </row>
    <row r="923" ht="15" customHeight="1" s="86">
      <c r="B923" s="105" t="n"/>
      <c r="C923" s="106" t="n"/>
      <c r="D923" s="106" t="n"/>
      <c r="E923" s="106" t="n"/>
      <c r="F923" s="107" t="n"/>
      <c r="G923" s="108" t="n"/>
      <c r="H923" s="129" t="n"/>
    </row>
    <row r="924" ht="15" customHeight="1" s="86">
      <c r="B924" s="105" t="n"/>
      <c r="C924" s="106" t="n"/>
      <c r="D924" s="106" t="n"/>
      <c r="E924" s="106" t="n"/>
      <c r="F924" s="107" t="n"/>
      <c r="G924" s="108" t="n"/>
      <c r="H924" s="129" t="n"/>
    </row>
    <row r="925" ht="15" customHeight="1" s="86">
      <c r="B925" s="105" t="n"/>
      <c r="C925" s="106" t="n"/>
      <c r="D925" s="106" t="n"/>
      <c r="E925" s="106" t="n"/>
      <c r="F925" s="107" t="n"/>
      <c r="G925" s="108" t="n"/>
      <c r="H925" s="129" t="n"/>
    </row>
    <row r="926" ht="15" customHeight="1" s="86">
      <c r="B926" s="105" t="n"/>
      <c r="C926" s="106" t="n"/>
      <c r="D926" s="106" t="n"/>
      <c r="E926" s="106" t="n"/>
      <c r="F926" s="107" t="n"/>
      <c r="G926" s="108" t="n"/>
      <c r="H926" s="129" t="n"/>
    </row>
    <row r="927" ht="15" customHeight="1" s="86">
      <c r="B927" s="105" t="n"/>
      <c r="C927" s="106" t="n"/>
      <c r="D927" s="106" t="n"/>
      <c r="E927" s="106" t="n"/>
      <c r="F927" s="107" t="n"/>
      <c r="G927" s="108" t="n"/>
      <c r="H927" s="129" t="n"/>
    </row>
    <row r="928" ht="15" customHeight="1" s="86">
      <c r="B928" s="105" t="n"/>
      <c r="C928" s="106" t="n"/>
      <c r="D928" s="106" t="n"/>
      <c r="E928" s="106" t="n"/>
      <c r="F928" s="107" t="n"/>
      <c r="G928" s="108" t="n"/>
      <c r="H928" s="129" t="n"/>
    </row>
    <row r="929" ht="15" customHeight="1" s="86">
      <c r="B929" s="105" t="n"/>
      <c r="C929" s="106" t="n"/>
      <c r="D929" s="106" t="n"/>
      <c r="E929" s="106" t="n"/>
      <c r="F929" s="107" t="n"/>
      <c r="G929" s="108" t="n"/>
      <c r="H929" s="129" t="n"/>
    </row>
    <row r="930" ht="15" customHeight="1" s="86">
      <c r="B930" s="105" t="n"/>
      <c r="C930" s="106" t="n"/>
      <c r="D930" s="106" t="n"/>
      <c r="E930" s="106" t="n"/>
      <c r="F930" s="107" t="n"/>
      <c r="G930" s="108" t="n"/>
      <c r="H930" s="129" t="n"/>
    </row>
    <row r="931" ht="15" customHeight="1" s="86">
      <c r="B931" s="105" t="n"/>
      <c r="C931" s="106" t="n"/>
      <c r="D931" s="106" t="n"/>
      <c r="E931" s="106" t="n"/>
      <c r="F931" s="107" t="n"/>
      <c r="G931" s="108" t="n"/>
      <c r="H931" s="129" t="n"/>
    </row>
    <row r="932" ht="15" customHeight="1" s="86">
      <c r="B932" s="105" t="n"/>
      <c r="C932" s="106" t="n"/>
      <c r="D932" s="106" t="n"/>
      <c r="E932" s="106" t="n"/>
      <c r="F932" s="107" t="n"/>
      <c r="G932" s="108" t="n"/>
      <c r="H932" s="129" t="n"/>
    </row>
    <row r="933" ht="15" customHeight="1" s="86">
      <c r="B933" s="105" t="n"/>
      <c r="C933" s="106" t="n"/>
      <c r="D933" s="106" t="n"/>
      <c r="E933" s="106" t="n"/>
      <c r="F933" s="107" t="n"/>
      <c r="G933" s="108" t="n"/>
      <c r="H933" s="129" t="n"/>
    </row>
    <row r="934" ht="15" customHeight="1" s="86">
      <c r="B934" s="105" t="n"/>
      <c r="C934" s="106" t="n"/>
      <c r="D934" s="106" t="n"/>
      <c r="E934" s="106" t="n"/>
      <c r="F934" s="107" t="n"/>
      <c r="G934" s="108" t="n"/>
      <c r="H934" s="129" t="n"/>
    </row>
    <row r="935" ht="15" customHeight="1" s="86">
      <c r="B935" s="105" t="n"/>
      <c r="C935" s="106" t="n"/>
      <c r="D935" s="106" t="n"/>
      <c r="E935" s="106" t="n"/>
      <c r="F935" s="107" t="n"/>
      <c r="G935" s="108" t="n"/>
      <c r="H935" s="129" t="n"/>
    </row>
    <row r="936" ht="15" customHeight="1" s="86">
      <c r="B936" s="105" t="n"/>
      <c r="C936" s="106" t="n"/>
      <c r="D936" s="106" t="n"/>
      <c r="E936" s="106" t="n"/>
      <c r="F936" s="107" t="n"/>
      <c r="G936" s="108" t="n"/>
      <c r="H936" s="129" t="n"/>
    </row>
    <row r="937" ht="15" customHeight="1" s="86">
      <c r="B937" s="105" t="n"/>
      <c r="C937" s="106" t="n"/>
      <c r="D937" s="106" t="n"/>
      <c r="E937" s="106" t="n"/>
      <c r="F937" s="107" t="n"/>
      <c r="G937" s="108" t="n"/>
      <c r="H937" s="129" t="n"/>
    </row>
    <row r="938" ht="15" customHeight="1" s="86">
      <c r="B938" s="105" t="n"/>
      <c r="C938" s="106" t="n"/>
      <c r="D938" s="106" t="n"/>
      <c r="E938" s="106" t="n"/>
      <c r="F938" s="107" t="n"/>
      <c r="G938" s="108" t="n"/>
      <c r="H938" s="129" t="n"/>
    </row>
    <row r="939" ht="15" customHeight="1" s="86">
      <c r="B939" s="105" t="n"/>
      <c r="C939" s="106" t="n"/>
      <c r="D939" s="106" t="n"/>
      <c r="E939" s="106" t="n"/>
      <c r="F939" s="107" t="n"/>
      <c r="G939" s="108" t="n"/>
      <c r="H939" s="129" t="n"/>
    </row>
    <row r="940" ht="15" customHeight="1" s="86">
      <c r="B940" s="105" t="n"/>
      <c r="C940" s="106" t="n"/>
      <c r="D940" s="106" t="n"/>
      <c r="E940" s="106" t="n"/>
      <c r="F940" s="107" t="n"/>
      <c r="G940" s="108" t="n"/>
      <c r="H940" s="129" t="n"/>
    </row>
    <row r="941" ht="15" customHeight="1" s="86">
      <c r="B941" s="105" t="n"/>
      <c r="C941" s="106" t="n"/>
      <c r="D941" s="106" t="n"/>
      <c r="E941" s="106" t="n"/>
      <c r="F941" s="107" t="n"/>
      <c r="G941" s="108" t="n"/>
      <c r="H941" s="129" t="n"/>
    </row>
    <row r="942" ht="15" customHeight="1" s="86">
      <c r="B942" s="105" t="n"/>
      <c r="C942" s="106" t="n"/>
      <c r="D942" s="106" t="n"/>
      <c r="E942" s="106" t="n"/>
      <c r="F942" s="107" t="n"/>
      <c r="G942" s="108" t="n"/>
      <c r="H942" s="129" t="n"/>
    </row>
    <row r="943" ht="15" customHeight="1" s="86">
      <c r="B943" s="105" t="n"/>
      <c r="C943" s="106" t="n"/>
      <c r="D943" s="106" t="n"/>
      <c r="E943" s="106" t="n"/>
      <c r="F943" s="107" t="n"/>
      <c r="G943" s="108" t="n"/>
      <c r="H943" s="129" t="n"/>
    </row>
    <row r="944" ht="15" customHeight="1" s="86">
      <c r="B944" s="105" t="n"/>
      <c r="C944" s="106" t="n"/>
      <c r="D944" s="106" t="n"/>
      <c r="E944" s="106" t="n"/>
      <c r="F944" s="107" t="n"/>
      <c r="G944" s="108" t="n"/>
      <c r="H944" s="129" t="n"/>
    </row>
    <row r="945" ht="15" customHeight="1" s="86">
      <c r="B945" s="105" t="n"/>
      <c r="C945" s="106" t="n"/>
      <c r="D945" s="106" t="n"/>
      <c r="E945" s="106" t="n"/>
      <c r="F945" s="107" t="n"/>
      <c r="G945" s="108" t="n"/>
      <c r="H945" s="129" t="n"/>
    </row>
    <row r="946" ht="15" customHeight="1" s="86">
      <c r="B946" s="105" t="n"/>
      <c r="C946" s="106" t="n"/>
      <c r="D946" s="106" t="n"/>
      <c r="E946" s="106" t="n"/>
      <c r="F946" s="107" t="n"/>
      <c r="G946" s="108" t="n"/>
      <c r="H946" s="129" t="n"/>
    </row>
    <row r="947" ht="15" customHeight="1" s="86">
      <c r="B947" s="105" t="n"/>
      <c r="C947" s="106" t="n"/>
      <c r="D947" s="106" t="n"/>
      <c r="E947" s="106" t="n"/>
      <c r="F947" s="107" t="n"/>
      <c r="G947" s="108" t="n"/>
      <c r="H947" s="129" t="n"/>
    </row>
    <row r="948" ht="15" customHeight="1" s="86">
      <c r="B948" s="105" t="n"/>
      <c r="C948" s="106" t="n"/>
      <c r="D948" s="106" t="n"/>
      <c r="E948" s="106" t="n"/>
      <c r="F948" s="107" t="n"/>
      <c r="G948" s="108" t="n"/>
      <c r="H948" s="129" t="n"/>
    </row>
    <row r="949" ht="15" customHeight="1" s="86">
      <c r="B949" s="105" t="n"/>
      <c r="C949" s="106" t="n"/>
      <c r="D949" s="106" t="n"/>
      <c r="E949" s="106" t="n"/>
      <c r="F949" s="107" t="n"/>
      <c r="G949" s="108" t="n"/>
      <c r="H949" s="129" t="n"/>
    </row>
    <row r="950" ht="15" customHeight="1" s="86">
      <c r="B950" s="105" t="n"/>
      <c r="C950" s="106" t="n"/>
      <c r="D950" s="106" t="n"/>
      <c r="E950" s="106" t="n"/>
      <c r="F950" s="107" t="n"/>
      <c r="G950" s="108" t="n"/>
      <c r="H950" s="129" t="n"/>
    </row>
    <row r="951" ht="15" customHeight="1" s="86">
      <c r="B951" s="105" t="n"/>
      <c r="C951" s="106" t="n"/>
      <c r="D951" s="106" t="n"/>
      <c r="E951" s="106" t="n"/>
      <c r="F951" s="107" t="n"/>
      <c r="G951" s="108" t="n"/>
      <c r="H951" s="129" t="n"/>
    </row>
    <row r="952" ht="15" customHeight="1" s="86">
      <c r="B952" s="105" t="n"/>
      <c r="C952" s="106" t="n"/>
      <c r="D952" s="106" t="n"/>
      <c r="E952" s="106" t="n"/>
      <c r="F952" s="107" t="n"/>
      <c r="G952" s="108" t="n"/>
      <c r="H952" s="129" t="n"/>
    </row>
    <row r="953" ht="15" customHeight="1" s="86">
      <c r="B953" s="105" t="n"/>
      <c r="C953" s="106" t="n"/>
      <c r="D953" s="106" t="n"/>
      <c r="E953" s="106" t="n"/>
      <c r="F953" s="107" t="n"/>
      <c r="G953" s="108" t="n"/>
      <c r="H953" s="129" t="n"/>
    </row>
    <row r="954" ht="15" customHeight="1" s="86">
      <c r="B954" s="105" t="n"/>
      <c r="C954" s="106" t="n"/>
      <c r="D954" s="106" t="n"/>
      <c r="E954" s="106" t="n"/>
      <c r="F954" s="107" t="n"/>
      <c r="G954" s="108" t="n"/>
      <c r="H954" s="129" t="n"/>
    </row>
    <row r="955" ht="15" customHeight="1" s="86">
      <c r="B955" s="105" t="n"/>
      <c r="C955" s="106" t="n"/>
      <c r="D955" s="106" t="n"/>
      <c r="E955" s="106" t="n"/>
      <c r="F955" s="107" t="n"/>
      <c r="G955" s="108" t="n"/>
      <c r="H955" s="129" t="n"/>
    </row>
    <row r="956" ht="15" customHeight="1" s="86">
      <c r="B956" s="105" t="n"/>
      <c r="C956" s="106" t="n"/>
      <c r="D956" s="106" t="n"/>
      <c r="E956" s="106" t="n"/>
      <c r="F956" s="107" t="n"/>
      <c r="G956" s="108" t="n"/>
      <c r="H956" s="129" t="n"/>
    </row>
    <row r="957" ht="15" customHeight="1" s="86">
      <c r="B957" s="105" t="n"/>
      <c r="C957" s="106" t="n"/>
      <c r="D957" s="106" t="n"/>
      <c r="E957" s="106" t="n"/>
      <c r="F957" s="107" t="n"/>
      <c r="G957" s="108" t="n"/>
      <c r="H957" s="129" t="n"/>
    </row>
    <row r="958" ht="15" customHeight="1" s="86">
      <c r="B958" s="105" t="n"/>
      <c r="C958" s="106" t="n"/>
      <c r="D958" s="106" t="n"/>
      <c r="E958" s="106" t="n"/>
      <c r="F958" s="107" t="n"/>
      <c r="G958" s="108" t="n"/>
      <c r="H958" s="129" t="n"/>
    </row>
    <row r="959" ht="15" customHeight="1" s="86">
      <c r="B959" s="105" t="n"/>
      <c r="C959" s="106" t="n"/>
      <c r="D959" s="106" t="n"/>
      <c r="E959" s="106" t="n"/>
      <c r="F959" s="107" t="n"/>
      <c r="G959" s="108" t="n"/>
      <c r="H959" s="129" t="n"/>
    </row>
    <row r="960" ht="15" customHeight="1" s="86">
      <c r="B960" s="105" t="n"/>
      <c r="C960" s="106" t="n"/>
      <c r="D960" s="106" t="n"/>
      <c r="E960" s="106" t="n"/>
      <c r="F960" s="107" t="n"/>
      <c r="G960" s="108" t="n"/>
      <c r="H960" s="129" t="n"/>
    </row>
    <row r="961" ht="15" customHeight="1" s="86">
      <c r="B961" s="105" t="n"/>
      <c r="C961" s="106" t="n"/>
      <c r="D961" s="106" t="n"/>
      <c r="E961" s="106" t="n"/>
      <c r="F961" s="107" t="n"/>
      <c r="G961" s="108" t="n"/>
      <c r="H961" s="129" t="n"/>
    </row>
    <row r="962" ht="15" customHeight="1" s="86">
      <c r="B962" s="105" t="n"/>
      <c r="C962" s="106" t="n"/>
      <c r="D962" s="106" t="n"/>
      <c r="E962" s="106" t="n"/>
      <c r="F962" s="107" t="n"/>
      <c r="G962" s="108" t="n"/>
      <c r="H962" s="129" t="n"/>
    </row>
    <row r="963" ht="15" customHeight="1" s="86">
      <c r="B963" s="105" t="n"/>
      <c r="C963" s="106" t="n"/>
      <c r="D963" s="106" t="n"/>
      <c r="E963" s="106" t="n"/>
      <c r="F963" s="107" t="n"/>
      <c r="G963" s="108" t="n"/>
      <c r="H963" s="129" t="n"/>
    </row>
    <row r="964" ht="15" customHeight="1" s="86">
      <c r="B964" s="105" t="n"/>
      <c r="C964" s="106" t="n"/>
      <c r="D964" s="106" t="n"/>
      <c r="E964" s="106" t="n"/>
      <c r="F964" s="107" t="n"/>
      <c r="G964" s="108" t="n"/>
      <c r="H964" s="129" t="n"/>
    </row>
    <row r="965" ht="15" customHeight="1" s="86">
      <c r="B965" s="105" t="n"/>
      <c r="C965" s="106" t="n"/>
      <c r="D965" s="106" t="n"/>
      <c r="E965" s="106" t="n"/>
      <c r="F965" s="107" t="n"/>
      <c r="G965" s="108" t="n"/>
      <c r="H965" s="129" t="n"/>
    </row>
    <row r="966" ht="15" customHeight="1" s="86">
      <c r="B966" s="105" t="n"/>
      <c r="C966" s="106" t="n"/>
      <c r="D966" s="106" t="n"/>
      <c r="E966" s="106" t="n"/>
      <c r="F966" s="107" t="n"/>
      <c r="G966" s="108" t="n"/>
      <c r="H966" s="129" t="n"/>
    </row>
    <row r="967" ht="15" customHeight="1" s="86">
      <c r="B967" s="105" t="n"/>
      <c r="C967" s="106" t="n"/>
      <c r="D967" s="106" t="n"/>
      <c r="E967" s="106" t="n"/>
      <c r="F967" s="107" t="n"/>
      <c r="G967" s="108" t="n"/>
      <c r="H967" s="129" t="n"/>
    </row>
    <row r="968" ht="15" customHeight="1" s="86">
      <c r="B968" s="105" t="n"/>
      <c r="C968" s="106" t="n"/>
      <c r="D968" s="106" t="n"/>
      <c r="E968" s="106" t="n"/>
      <c r="F968" s="107" t="n"/>
      <c r="G968" s="108" t="n"/>
      <c r="H968" s="129" t="n"/>
    </row>
    <row r="969" ht="15" customHeight="1" s="86">
      <c r="B969" s="105" t="n"/>
      <c r="C969" s="106" t="n"/>
      <c r="D969" s="106" t="n"/>
      <c r="E969" s="106" t="n"/>
      <c r="F969" s="107" t="n"/>
      <c r="G969" s="108" t="n"/>
      <c r="H969" s="129" t="n"/>
    </row>
    <row r="970" ht="15" customHeight="1" s="86">
      <c r="B970" s="105" t="n"/>
      <c r="C970" s="106" t="n"/>
      <c r="D970" s="106" t="n"/>
      <c r="E970" s="106" t="n"/>
      <c r="F970" s="107" t="n"/>
      <c r="G970" s="108" t="n"/>
      <c r="H970" s="129" t="n"/>
    </row>
    <row r="971" ht="15" customHeight="1" s="86">
      <c r="B971" s="105" t="n"/>
      <c r="C971" s="106" t="n"/>
      <c r="D971" s="106" t="n"/>
      <c r="E971" s="106" t="n"/>
      <c r="F971" s="107" t="n"/>
      <c r="G971" s="108" t="n"/>
      <c r="H971" s="129" t="n"/>
    </row>
    <row r="972" ht="15" customHeight="1" s="86">
      <c r="B972" s="105" t="n"/>
      <c r="C972" s="106" t="n"/>
      <c r="D972" s="106" t="n"/>
      <c r="E972" s="106" t="n"/>
      <c r="F972" s="107" t="n"/>
      <c r="G972" s="108" t="n"/>
      <c r="H972" s="129" t="n"/>
    </row>
    <row r="973" ht="15" customHeight="1" s="86">
      <c r="B973" s="105" t="n"/>
      <c r="C973" s="106" t="n"/>
      <c r="D973" s="106" t="n"/>
      <c r="E973" s="106" t="n"/>
      <c r="F973" s="107" t="n"/>
      <c r="G973" s="108" t="n"/>
      <c r="H973" s="129" t="n"/>
    </row>
    <row r="974" ht="15" customHeight="1" s="86">
      <c r="B974" s="105" t="n"/>
      <c r="C974" s="106" t="n"/>
      <c r="D974" s="106" t="n"/>
      <c r="E974" s="106" t="n"/>
      <c r="F974" s="107" t="n"/>
      <c r="G974" s="108" t="n"/>
      <c r="H974" s="129" t="n"/>
    </row>
    <row r="975" ht="15" customHeight="1" s="86">
      <c r="B975" s="105" t="n"/>
      <c r="C975" s="106" t="n"/>
      <c r="D975" s="106" t="n"/>
      <c r="E975" s="106" t="n"/>
      <c r="F975" s="107" t="n"/>
      <c r="G975" s="108" t="n"/>
      <c r="H975" s="129" t="n"/>
    </row>
    <row r="976" ht="15" customHeight="1" s="86">
      <c r="B976" s="105" t="n"/>
      <c r="C976" s="106" t="n"/>
      <c r="D976" s="106" t="n"/>
      <c r="E976" s="106" t="n"/>
      <c r="F976" s="107" t="n"/>
      <c r="G976" s="108" t="n"/>
      <c r="H976" s="129" t="n"/>
    </row>
    <row r="977" ht="15" customHeight="1" s="86">
      <c r="B977" s="105" t="n"/>
      <c r="C977" s="106" t="n"/>
      <c r="D977" s="106" t="n"/>
      <c r="E977" s="106" t="n"/>
      <c r="F977" s="107" t="n"/>
      <c r="G977" s="108" t="n"/>
      <c r="H977" s="129" t="n"/>
    </row>
    <row r="978" ht="15" customHeight="1" s="86">
      <c r="B978" s="105" t="n"/>
      <c r="C978" s="106" t="n"/>
      <c r="D978" s="106" t="n"/>
      <c r="E978" s="106" t="n"/>
      <c r="F978" s="107" t="n"/>
      <c r="G978" s="108" t="n"/>
      <c r="H978" s="129" t="n"/>
    </row>
    <row r="979" ht="15" customHeight="1" s="86">
      <c r="B979" s="105" t="n"/>
      <c r="C979" s="106" t="n"/>
      <c r="D979" s="106" t="n"/>
      <c r="E979" s="106" t="n"/>
      <c r="F979" s="107" t="n"/>
      <c r="G979" s="108" t="n"/>
      <c r="H979" s="129" t="n"/>
    </row>
    <row r="980" ht="15" customHeight="1" s="86">
      <c r="B980" s="105" t="n"/>
      <c r="C980" s="106" t="n"/>
      <c r="D980" s="106" t="n"/>
      <c r="E980" s="106" t="n"/>
      <c r="F980" s="107" t="n"/>
      <c r="G980" s="108" t="n"/>
      <c r="H980" s="129" t="n"/>
    </row>
    <row r="981" ht="15" customHeight="1" s="86">
      <c r="B981" s="105" t="n"/>
      <c r="C981" s="106" t="n"/>
      <c r="D981" s="106" t="n"/>
      <c r="E981" s="106" t="n"/>
      <c r="F981" s="107" t="n"/>
      <c r="G981" s="108" t="n"/>
      <c r="H981" s="129" t="n"/>
    </row>
    <row r="982" ht="15" customHeight="1" s="86">
      <c r="B982" s="105" t="n"/>
      <c r="C982" s="106" t="n"/>
      <c r="D982" s="106" t="n"/>
      <c r="E982" s="106" t="n"/>
      <c r="F982" s="107" t="n"/>
      <c r="G982" s="108" t="n"/>
      <c r="H982" s="129" t="n"/>
    </row>
    <row r="983" ht="15" customHeight="1" s="86">
      <c r="B983" s="105" t="n"/>
      <c r="C983" s="106" t="n"/>
      <c r="D983" s="106" t="n"/>
      <c r="E983" s="106" t="n"/>
      <c r="F983" s="107" t="n"/>
      <c r="G983" s="108" t="n"/>
      <c r="H983" s="129" t="n"/>
    </row>
    <row r="984" ht="15" customHeight="1" s="86">
      <c r="B984" s="105" t="n"/>
      <c r="C984" s="106" t="n"/>
      <c r="D984" s="106" t="n"/>
      <c r="E984" s="106" t="n"/>
      <c r="F984" s="107" t="n"/>
      <c r="G984" s="108" t="n"/>
      <c r="H984" s="129" t="n"/>
    </row>
    <row r="985" ht="15" customHeight="1" s="86">
      <c r="B985" s="105" t="n"/>
      <c r="C985" s="106" t="n"/>
      <c r="D985" s="106" t="n"/>
      <c r="E985" s="106" t="n"/>
      <c r="F985" s="107" t="n"/>
      <c r="G985" s="108" t="n"/>
      <c r="H985" s="129" t="n"/>
    </row>
    <row r="986" ht="15" customHeight="1" s="86">
      <c r="B986" s="105" t="n"/>
      <c r="C986" s="106" t="n"/>
      <c r="D986" s="106" t="n"/>
      <c r="E986" s="106" t="n"/>
      <c r="F986" s="107" t="n"/>
      <c r="G986" s="108" t="n"/>
      <c r="H986" s="129" t="n"/>
    </row>
    <row r="987" ht="15" customHeight="1" s="86">
      <c r="B987" s="105" t="n"/>
      <c r="C987" s="106" t="n"/>
      <c r="D987" s="106" t="n"/>
      <c r="E987" s="106" t="n"/>
      <c r="F987" s="107" t="n"/>
      <c r="G987" s="108" t="n"/>
      <c r="H987" s="129" t="n"/>
    </row>
    <row r="988" ht="15" customHeight="1" s="86">
      <c r="B988" s="105" t="n"/>
      <c r="C988" s="106" t="n"/>
      <c r="D988" s="106" t="n"/>
      <c r="E988" s="106" t="n"/>
      <c r="F988" s="107" t="n"/>
      <c r="G988" s="108" t="n"/>
      <c r="H988" s="129" t="n"/>
    </row>
    <row r="989" ht="15" customHeight="1" s="86">
      <c r="B989" s="105" t="n"/>
      <c r="C989" s="106" t="n"/>
      <c r="D989" s="106" t="n"/>
      <c r="E989" s="106" t="n"/>
      <c r="F989" s="107" t="n"/>
      <c r="G989" s="108" t="n"/>
      <c r="H989" s="129" t="n"/>
    </row>
    <row r="990" ht="15" customHeight="1" s="86">
      <c r="B990" s="105" t="n"/>
      <c r="C990" s="106" t="n"/>
      <c r="D990" s="106" t="n"/>
      <c r="E990" s="106" t="n"/>
      <c r="F990" s="107" t="n"/>
      <c r="G990" s="108" t="n"/>
      <c r="H990" s="129" t="n"/>
    </row>
    <row r="991" ht="15" customHeight="1" s="86">
      <c r="B991" s="105" t="n"/>
      <c r="C991" s="106" t="n"/>
      <c r="D991" s="106" t="n"/>
      <c r="E991" s="106" t="n"/>
      <c r="F991" s="107" t="n"/>
      <c r="G991" s="108" t="n"/>
      <c r="H991" s="129" t="n"/>
    </row>
    <row r="992" ht="15" customHeight="1" s="86">
      <c r="B992" s="105" t="n"/>
      <c r="C992" s="106" t="n"/>
      <c r="D992" s="106" t="n"/>
      <c r="E992" s="106" t="n"/>
      <c r="F992" s="107" t="n"/>
      <c r="G992" s="108" t="n"/>
      <c r="H992" s="129" t="n"/>
    </row>
    <row r="993" ht="15" customHeight="1" s="86">
      <c r="B993" s="105" t="n"/>
      <c r="C993" s="106" t="n"/>
      <c r="D993" s="106" t="n"/>
      <c r="E993" s="106" t="n"/>
      <c r="F993" s="107" t="n"/>
      <c r="G993" s="108" t="n"/>
      <c r="H993" s="129" t="n"/>
    </row>
    <row r="994" ht="15" customHeight="1" s="86">
      <c r="B994" s="105" t="n"/>
      <c r="C994" s="106" t="n"/>
      <c r="D994" s="106" t="n"/>
      <c r="E994" s="106" t="n"/>
      <c r="F994" s="107" t="n"/>
      <c r="G994" s="108" t="n"/>
      <c r="H994" s="129" t="n"/>
    </row>
    <row r="995" ht="15" customHeight="1" s="86">
      <c r="B995" s="105" t="n"/>
      <c r="C995" s="106" t="n"/>
      <c r="D995" s="106" t="n"/>
      <c r="E995" s="106" t="n"/>
      <c r="F995" s="107" t="n"/>
      <c r="G995" s="108" t="n"/>
      <c r="H995" s="129" t="n"/>
    </row>
    <row r="996" ht="15" customHeight="1" s="86">
      <c r="B996" s="105" t="n"/>
      <c r="C996" s="106" t="n"/>
      <c r="D996" s="106" t="n"/>
      <c r="E996" s="106" t="n"/>
      <c r="F996" s="107" t="n"/>
      <c r="G996" s="108" t="n"/>
      <c r="H996" s="129" t="n"/>
    </row>
    <row r="997" ht="15" customHeight="1" s="86">
      <c r="B997" s="105" t="n"/>
      <c r="C997" s="106" t="n"/>
      <c r="D997" s="106" t="n"/>
      <c r="E997" s="106" t="n"/>
      <c r="F997" s="107" t="n"/>
      <c r="G997" s="108" t="n"/>
      <c r="H997" s="129" t="n"/>
    </row>
    <row r="998" ht="15" customHeight="1" s="86">
      <c r="B998" s="105" t="n"/>
      <c r="C998" s="106" t="n"/>
      <c r="D998" s="106" t="n"/>
      <c r="E998" s="106" t="n"/>
      <c r="F998" s="107" t="n"/>
      <c r="G998" s="108" t="n"/>
      <c r="H998" s="129" t="n"/>
    </row>
    <row r="999" ht="15" customHeight="1" s="86">
      <c r="B999" s="105" t="n"/>
      <c r="C999" s="106" t="n"/>
      <c r="D999" s="106" t="n"/>
      <c r="E999" s="106" t="n"/>
      <c r="F999" s="107" t="n"/>
      <c r="G999" s="108" t="n"/>
      <c r="H999" s="129" t="n"/>
    </row>
    <row r="1000" ht="15" customHeight="1" s="86">
      <c r="B1000" s="105" t="n"/>
      <c r="C1000" s="106" t="n"/>
      <c r="D1000" s="106" t="n"/>
      <c r="E1000" s="106" t="n"/>
      <c r="F1000" s="107" t="n"/>
      <c r="G1000" s="108" t="n"/>
      <c r="H1000" s="129" t="n"/>
    </row>
    <row r="1001" ht="15" customHeight="1" s="86">
      <c r="B1001" s="105" t="n"/>
      <c r="C1001" s="106" t="n"/>
      <c r="D1001" s="106" t="n"/>
      <c r="E1001" s="106" t="n"/>
      <c r="F1001" s="107" t="n"/>
      <c r="G1001" s="108" t="n"/>
      <c r="H1001" s="129" t="n"/>
    </row>
    <row r="1002" ht="15" customHeight="1" s="86">
      <c r="B1002" s="105" t="n"/>
      <c r="C1002" s="106" t="n"/>
      <c r="D1002" s="106" t="n"/>
      <c r="E1002" s="106" t="n"/>
      <c r="F1002" s="107" t="n"/>
      <c r="G1002" s="108" t="n"/>
      <c r="H1002" s="129" t="n"/>
    </row>
  </sheetData>
  <mergeCells count="2">
    <mergeCell ref="B3:G3"/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168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85" min="1" max="1"/>
    <col width="12" customWidth="1" style="85" min="2" max="2"/>
    <col width="34" customWidth="1" style="85" min="3" max="3"/>
    <col width="14" customWidth="1" style="85" min="4" max="4"/>
    <col width="26" customWidth="1" style="85" min="5" max="5"/>
    <col width="16" customWidth="1" style="85" min="6" max="6"/>
    <col width="12" customWidth="1" style="85" min="7" max="7"/>
    <col width="16" customWidth="1" style="86" min="8" max="8"/>
  </cols>
  <sheetData>
    <row r="2" ht="19.5" customHeight="1" s="86">
      <c r="B2" s="99" t="inlineStr">
        <is>
          <t>Lançamentos Fluxo</t>
        </is>
      </c>
    </row>
    <row r="3" ht="15" customHeight="1" s="86">
      <c r="B3" s="100" t="inlineStr">
        <is>
          <t>Regime de CAIXA (data de baixa)</t>
        </is>
      </c>
    </row>
    <row r="5" ht="15" customHeight="1" s="86">
      <c r="B5" s="94" t="inlineStr">
        <is>
          <t>Data</t>
        </is>
      </c>
      <c r="C5" s="94" t="inlineStr">
        <is>
          <t>Descrição</t>
        </is>
      </c>
      <c r="D5" s="94" t="inlineStr">
        <is>
          <t>Tipo</t>
        </is>
      </c>
      <c r="E5" s="94" t="inlineStr">
        <is>
          <t>Categoria</t>
        </is>
      </c>
      <c r="F5" s="94" t="inlineStr">
        <is>
          <t>Valor (R$)</t>
        </is>
      </c>
      <c r="G5" s="94" t="inlineStr">
        <is>
          <t>Mês</t>
        </is>
      </c>
      <c r="H5" s="178" t="inlineStr">
        <is>
          <t>Centro de Custo</t>
        </is>
      </c>
    </row>
    <row r="6" ht="15" customHeight="1" s="86">
      <c r="B6" s="101" t="n">
        <v>45658</v>
      </c>
      <c r="C6" s="102" t="inlineStr">
        <is>
          <t>Vendas - 01/2025</t>
        </is>
      </c>
      <c r="D6" s="102" t="inlineStr">
        <is>
          <t>Entrada</t>
        </is>
      </c>
      <c r="E6" s="102" t="inlineStr">
        <is>
          <t>Vendas</t>
        </is>
      </c>
      <c r="F6" s="103" t="n">
        <v>216780.26</v>
      </c>
      <c r="G6" s="104" t="inlineStr">
        <is>
          <t>01/2025</t>
        </is>
      </c>
      <c r="H6" s="104" t="inlineStr">
        <is>
          <t>CODI</t>
        </is>
      </c>
    </row>
    <row r="7" ht="15" customHeight="1" s="86">
      <c r="B7" s="101" t="n">
        <v>45658</v>
      </c>
      <c r="C7" s="102" t="inlineStr">
        <is>
          <t>Acertos e Recisões - 01/2025</t>
        </is>
      </c>
      <c r="D7" s="102" t="inlineStr">
        <is>
          <t>Saída</t>
        </is>
      </c>
      <c r="E7" s="102" t="inlineStr">
        <is>
          <t>Acertos e Recisões</t>
        </is>
      </c>
      <c r="F7" s="103" t="n">
        <v>760.38</v>
      </c>
      <c r="G7" s="104" t="inlineStr">
        <is>
          <t>01/2025</t>
        </is>
      </c>
      <c r="H7" s="104" t="inlineStr">
        <is>
          <t>CODI</t>
        </is>
      </c>
    </row>
    <row r="8" ht="15" customHeight="1" s="86">
      <c r="B8" s="101" t="n">
        <v>45658</v>
      </c>
      <c r="C8" s="102" t="inlineStr">
        <is>
          <t>Aluguéis e Condomínios - 01/2025</t>
        </is>
      </c>
      <c r="D8" s="102" t="inlineStr">
        <is>
          <t>Saída</t>
        </is>
      </c>
      <c r="E8" s="102" t="inlineStr">
        <is>
          <t>Aluguéis e Condomínios</t>
        </is>
      </c>
      <c r="F8" s="103" t="n">
        <v>5263</v>
      </c>
      <c r="G8" s="104" t="inlineStr">
        <is>
          <t>01/2025</t>
        </is>
      </c>
      <c r="H8" s="104" t="inlineStr">
        <is>
          <t>CODI</t>
        </is>
      </c>
    </row>
    <row r="9" ht="15" customHeight="1" s="86">
      <c r="B9" s="101" t="n">
        <v>45658</v>
      </c>
      <c r="C9" s="102" t="inlineStr">
        <is>
          <t>Aviamento - 01/2025</t>
        </is>
      </c>
      <c r="D9" s="102" t="inlineStr">
        <is>
          <t>Saída</t>
        </is>
      </c>
      <c r="E9" s="102" t="inlineStr">
        <is>
          <t>Aviamento</t>
        </is>
      </c>
      <c r="F9" s="103" t="n">
        <v>624.55</v>
      </c>
      <c r="G9" s="104" t="inlineStr">
        <is>
          <t>01/2025</t>
        </is>
      </c>
      <c r="H9" s="104" t="inlineStr">
        <is>
          <t>CODI</t>
        </is>
      </c>
    </row>
    <row r="10" ht="15" customHeight="1" s="86">
      <c r="B10" s="101" t="n">
        <v>45658</v>
      </c>
      <c r="C10" s="102" t="inlineStr">
        <is>
          <t>Compra de Veículos - 01/2025</t>
        </is>
      </c>
      <c r="D10" s="102" t="inlineStr">
        <is>
          <t>Saída</t>
        </is>
      </c>
      <c r="E10" s="102" t="inlineStr">
        <is>
          <t>Compra de Veículos</t>
        </is>
      </c>
      <c r="F10" s="103" t="n">
        <v>1742</v>
      </c>
      <c r="G10" s="104" t="inlineStr">
        <is>
          <t>01/2025</t>
        </is>
      </c>
      <c r="H10" s="104" t="inlineStr">
        <is>
          <t>CODI</t>
        </is>
      </c>
    </row>
    <row r="11" ht="15" customHeight="1" s="86">
      <c r="B11" s="101" t="n">
        <v>45658</v>
      </c>
      <c r="C11" s="102" t="inlineStr">
        <is>
          <t>Despesa não Identificada - 01/2025</t>
        </is>
      </c>
      <c r="D11" s="102" t="inlineStr">
        <is>
          <t>Saída</t>
        </is>
      </c>
      <c r="E11" s="102" t="inlineStr">
        <is>
          <t>Despesa não Identificada</t>
        </is>
      </c>
      <c r="F11" s="103" t="n">
        <v>132723.57</v>
      </c>
      <c r="G11" s="104" t="inlineStr">
        <is>
          <t>01/2025</t>
        </is>
      </c>
      <c r="H11" s="104" t="inlineStr">
        <is>
          <t>CODI</t>
        </is>
      </c>
    </row>
    <row r="12" ht="15" customHeight="1" s="86">
      <c r="B12" s="101" t="n">
        <v>45658</v>
      </c>
      <c r="C12" s="102" t="inlineStr">
        <is>
          <t>Energia Elétrica - 01/2025</t>
        </is>
      </c>
      <c r="D12" s="102" t="inlineStr">
        <is>
          <t>Saída</t>
        </is>
      </c>
      <c r="E12" s="102" t="inlineStr">
        <is>
          <t>Energia Elétrica</t>
        </is>
      </c>
      <c r="F12" s="103" t="n">
        <v>124.84</v>
      </c>
      <c r="G12" s="104" t="inlineStr">
        <is>
          <t>01/2025</t>
        </is>
      </c>
      <c r="H12" s="104" t="inlineStr">
        <is>
          <t>CODI</t>
        </is>
      </c>
    </row>
    <row r="13" ht="15" customHeight="1" s="86">
      <c r="B13" s="101" t="n">
        <v>45658</v>
      </c>
      <c r="C13" s="102" t="inlineStr">
        <is>
          <t>Etiquetas - 01/2025</t>
        </is>
      </c>
      <c r="D13" s="102" t="inlineStr">
        <is>
          <t>Saída</t>
        </is>
      </c>
      <c r="E13" s="102" t="inlineStr">
        <is>
          <t>Etiquetas</t>
        </is>
      </c>
      <c r="F13" s="103" t="n">
        <v>14970</v>
      </c>
      <c r="G13" s="104" t="inlineStr">
        <is>
          <t>01/2025</t>
        </is>
      </c>
      <c r="H13" s="104" t="inlineStr">
        <is>
          <t>CODI</t>
        </is>
      </c>
    </row>
    <row r="14" ht="15" customHeight="1" s="86">
      <c r="B14" s="101" t="n">
        <v>45658</v>
      </c>
      <c r="C14" s="102" t="inlineStr">
        <is>
          <t>Facção - 01/2025</t>
        </is>
      </c>
      <c r="D14" s="102" t="inlineStr">
        <is>
          <t>Saída</t>
        </is>
      </c>
      <c r="E14" s="102" t="inlineStr">
        <is>
          <t>Facção</t>
        </is>
      </c>
      <c r="F14" s="103" t="n">
        <v>53181</v>
      </c>
      <c r="G14" s="104" t="inlineStr">
        <is>
          <t>01/2025</t>
        </is>
      </c>
      <c r="H14" s="104" t="inlineStr">
        <is>
          <t>CODI</t>
        </is>
      </c>
    </row>
    <row r="15" ht="15" customHeight="1" s="86">
      <c r="B15" s="101" t="n">
        <v>45658</v>
      </c>
      <c r="C15" s="102" t="inlineStr">
        <is>
          <t>Frete e Transporte de Mercadorias - 01/2025</t>
        </is>
      </c>
      <c r="D15" s="102" t="inlineStr">
        <is>
          <t>Saída</t>
        </is>
      </c>
      <c r="E15" s="102" t="inlineStr">
        <is>
          <t>Frete e Transporte de Mercadorias</t>
        </is>
      </c>
      <c r="F15" s="103" t="n">
        <v>3266.32</v>
      </c>
      <c r="G15" s="104" t="inlineStr">
        <is>
          <t>01/2025</t>
        </is>
      </c>
      <c r="H15" s="104" t="inlineStr">
        <is>
          <t>CODI</t>
        </is>
      </c>
    </row>
    <row r="16" ht="15" customHeight="1" s="86">
      <c r="B16" s="101" t="n">
        <v>45658</v>
      </c>
      <c r="C16" s="102" t="inlineStr">
        <is>
          <t>Férias - 01/2025</t>
        </is>
      </c>
      <c r="D16" s="102" t="inlineStr">
        <is>
          <t>Saída</t>
        </is>
      </c>
      <c r="E16" s="102" t="inlineStr">
        <is>
          <t>Férias</t>
        </is>
      </c>
      <c r="F16" s="103" t="n">
        <v>7473.57</v>
      </c>
      <c r="G16" s="104" t="inlineStr">
        <is>
          <t>01/2025</t>
        </is>
      </c>
      <c r="H16" s="104" t="inlineStr">
        <is>
          <t>CODI</t>
        </is>
      </c>
    </row>
    <row r="17" ht="15" customHeight="1" s="86">
      <c r="B17" s="101" t="n">
        <v>45658</v>
      </c>
      <c r="C17" s="102" t="inlineStr">
        <is>
          <t>Honorários Contábeis (Contabilidade) - 01/2025</t>
        </is>
      </c>
      <c r="D17" s="102" t="inlineStr">
        <is>
          <t>Saída</t>
        </is>
      </c>
      <c r="E17" s="102" t="inlineStr">
        <is>
          <t>Honorários Contábeis (Contabilidade)</t>
        </is>
      </c>
      <c r="F17" s="103" t="n">
        <v>920</v>
      </c>
      <c r="G17" s="104" t="inlineStr">
        <is>
          <t>01/2025</t>
        </is>
      </c>
      <c r="H17" s="104" t="inlineStr">
        <is>
          <t>CODI</t>
        </is>
      </c>
    </row>
    <row r="18" ht="15" customHeight="1" s="86">
      <c r="B18" s="101" t="n">
        <v>45658</v>
      </c>
      <c r="C18" s="102" t="inlineStr">
        <is>
          <t>Lavanderia - 01/2025</t>
        </is>
      </c>
      <c r="D18" s="102" t="inlineStr">
        <is>
          <t>Saída</t>
        </is>
      </c>
      <c r="E18" s="102" t="inlineStr">
        <is>
          <t>Lavanderia</t>
        </is>
      </c>
      <c r="F18" s="103" t="n">
        <v>27150</v>
      </c>
      <c r="G18" s="104" t="inlineStr">
        <is>
          <t>01/2025</t>
        </is>
      </c>
      <c r="H18" s="104" t="inlineStr">
        <is>
          <t>CODI</t>
        </is>
      </c>
    </row>
    <row r="19" ht="15" customHeight="1" s="86">
      <c r="B19" s="101" t="n">
        <v>45658</v>
      </c>
      <c r="C19" s="102" t="inlineStr">
        <is>
          <t>Material de Limpeza e Higiene - 01/2025</t>
        </is>
      </c>
      <c r="D19" s="102" t="inlineStr">
        <is>
          <t>Saída</t>
        </is>
      </c>
      <c r="E19" s="102" t="inlineStr">
        <is>
          <t>Material de Limpeza e Higiene</t>
        </is>
      </c>
      <c r="F19" s="103" t="n">
        <v>383</v>
      </c>
      <c r="G19" s="104" t="inlineStr">
        <is>
          <t>01/2025</t>
        </is>
      </c>
      <c r="H19" s="104" t="inlineStr">
        <is>
          <t>CODI</t>
        </is>
      </c>
    </row>
    <row r="20" ht="15" customHeight="1" s="86">
      <c r="B20" s="101" t="n">
        <v>45658</v>
      </c>
      <c r="C20" s="102" t="inlineStr">
        <is>
          <t>Outros Insumos - 01/2025</t>
        </is>
      </c>
      <c r="D20" s="102" t="inlineStr">
        <is>
          <t>Saída</t>
        </is>
      </c>
      <c r="E20" s="102" t="inlineStr">
        <is>
          <t>Outros Insumos</t>
        </is>
      </c>
      <c r="F20" s="103" t="n">
        <v>55023.76</v>
      </c>
      <c r="G20" s="104" t="inlineStr">
        <is>
          <t>01/2025</t>
        </is>
      </c>
      <c r="H20" s="104" t="inlineStr">
        <is>
          <t>CODI</t>
        </is>
      </c>
    </row>
    <row r="21" ht="15" customHeight="1" s="86">
      <c r="B21" s="101" t="n">
        <v>45658</v>
      </c>
      <c r="C21" s="102" t="inlineStr">
        <is>
          <t>Publicidade - 01/2025</t>
        </is>
      </c>
      <c r="D21" s="102" t="inlineStr">
        <is>
          <t>Saída</t>
        </is>
      </c>
      <c r="E21" s="102" t="inlineStr">
        <is>
          <t>Publicidade</t>
        </is>
      </c>
      <c r="F21" s="103" t="n">
        <v>3930</v>
      </c>
      <c r="G21" s="104" t="inlineStr">
        <is>
          <t>01/2025</t>
        </is>
      </c>
      <c r="H21" s="104" t="inlineStr">
        <is>
          <t>CODI</t>
        </is>
      </c>
    </row>
    <row r="22" ht="15" customHeight="1" s="86">
      <c r="B22" s="101" t="n">
        <v>45658</v>
      </c>
      <c r="C22" s="102" t="inlineStr">
        <is>
          <t>Salário e Ordenados - 01/2025</t>
        </is>
      </c>
      <c r="D22" s="102" t="inlineStr">
        <is>
          <t>Saída</t>
        </is>
      </c>
      <c r="E22" s="102" t="inlineStr">
        <is>
          <t>Salário e Ordenados</t>
        </is>
      </c>
      <c r="F22" s="103" t="n">
        <v>36142.1</v>
      </c>
      <c r="G22" s="104" t="inlineStr">
        <is>
          <t>01/2025</t>
        </is>
      </c>
      <c r="H22" s="104" t="inlineStr">
        <is>
          <t>CODI</t>
        </is>
      </c>
    </row>
    <row r="23" ht="15" customHeight="1" s="86">
      <c r="B23" s="101" t="n">
        <v>45658</v>
      </c>
      <c r="C23" s="102" t="inlineStr">
        <is>
          <t>Segurança e Monitoramento - 01/2025</t>
        </is>
      </c>
      <c r="D23" s="102" t="inlineStr">
        <is>
          <t>Saída</t>
        </is>
      </c>
      <c r="E23" s="102" t="inlineStr">
        <is>
          <t>Segurança e Monitoramento</t>
        </is>
      </c>
      <c r="F23" s="103" t="n">
        <v>140</v>
      </c>
      <c r="G23" s="104" t="inlineStr">
        <is>
          <t>01/2025</t>
        </is>
      </c>
      <c r="H23" s="104" t="inlineStr">
        <is>
          <t>CODI</t>
        </is>
      </c>
    </row>
    <row r="24" ht="15" customHeight="1" s="86">
      <c r="B24" s="101" t="n">
        <v>45658</v>
      </c>
      <c r="C24" s="102" t="inlineStr">
        <is>
          <t>Seguros - 01/2025</t>
        </is>
      </c>
      <c r="D24" s="102" t="inlineStr">
        <is>
          <t>Saída</t>
        </is>
      </c>
      <c r="E24" s="102" t="inlineStr">
        <is>
          <t>Seguros</t>
        </is>
      </c>
      <c r="F24" s="103" t="n">
        <v>428.66</v>
      </c>
      <c r="G24" s="104" t="inlineStr">
        <is>
          <t>01/2025</t>
        </is>
      </c>
      <c r="H24" s="104" t="inlineStr">
        <is>
          <t>CODI</t>
        </is>
      </c>
    </row>
    <row r="25" ht="15" customHeight="1" s="86">
      <c r="B25" s="101" t="n">
        <v>45658</v>
      </c>
      <c r="C25" s="102" t="inlineStr">
        <is>
          <t>Simples Nacional - 01/2025</t>
        </is>
      </c>
      <c r="D25" s="102" t="inlineStr">
        <is>
          <t>Saída</t>
        </is>
      </c>
      <c r="E25" s="102" t="inlineStr">
        <is>
          <t>Simples Nacional</t>
        </is>
      </c>
      <c r="F25" s="103" t="n">
        <v>30379</v>
      </c>
      <c r="G25" s="104" t="inlineStr">
        <is>
          <t>01/2025</t>
        </is>
      </c>
      <c r="H25" s="104" t="inlineStr">
        <is>
          <t>CODI</t>
        </is>
      </c>
    </row>
    <row r="26" ht="15" customHeight="1" s="86">
      <c r="B26" s="101" t="n">
        <v>45658</v>
      </c>
      <c r="C26" s="102" t="inlineStr">
        <is>
          <t>Tecidos - 01/2025</t>
        </is>
      </c>
      <c r="D26" s="102" t="inlineStr">
        <is>
          <t>Saída</t>
        </is>
      </c>
      <c r="E26" s="102" t="inlineStr">
        <is>
          <t>Tecidos</t>
        </is>
      </c>
      <c r="F26" s="103" t="n">
        <v>106957.61</v>
      </c>
      <c r="G26" s="104" t="inlineStr">
        <is>
          <t>01/2025</t>
        </is>
      </c>
      <c r="H26" s="104" t="inlineStr">
        <is>
          <t>CODI</t>
        </is>
      </c>
    </row>
    <row r="27" ht="15" customHeight="1" s="86">
      <c r="B27" s="101" t="n">
        <v>45658</v>
      </c>
      <c r="C27" s="102" t="inlineStr">
        <is>
          <t>Telefonia Fixa e Internet - 01/2025</t>
        </is>
      </c>
      <c r="D27" s="102" t="inlineStr">
        <is>
          <t>Saída</t>
        </is>
      </c>
      <c r="E27" s="102" t="inlineStr">
        <is>
          <t>Telefonia Fixa e Internet</t>
        </is>
      </c>
      <c r="F27" s="103" t="n">
        <v>240</v>
      </c>
      <c r="G27" s="104" t="inlineStr">
        <is>
          <t>01/2025</t>
        </is>
      </c>
      <c r="H27" s="104" t="inlineStr">
        <is>
          <t>CODI</t>
        </is>
      </c>
    </row>
    <row r="28" ht="15" customHeight="1" s="86">
      <c r="B28" s="101" t="n">
        <v>45658</v>
      </c>
      <c r="C28" s="102" t="inlineStr">
        <is>
          <t>Travete - 01/2025</t>
        </is>
      </c>
      <c r="D28" s="102" t="inlineStr">
        <is>
          <t>Saída</t>
        </is>
      </c>
      <c r="E28" s="102" t="inlineStr">
        <is>
          <t>Travete</t>
        </is>
      </c>
      <c r="F28" s="103" t="n">
        <v>4349</v>
      </c>
      <c r="G28" s="104" t="inlineStr">
        <is>
          <t>01/2025</t>
        </is>
      </c>
      <c r="H28" s="104" t="inlineStr">
        <is>
          <t>CODI</t>
        </is>
      </c>
    </row>
    <row r="29" ht="15" customHeight="1" s="86">
      <c r="B29" s="101" t="n">
        <v>45658</v>
      </c>
      <c r="C29" s="102" t="inlineStr">
        <is>
          <t>Títulos de Capitalização - 01/2025</t>
        </is>
      </c>
      <c r="D29" s="102" t="inlineStr">
        <is>
          <t>Saída</t>
        </is>
      </c>
      <c r="E29" s="102" t="inlineStr">
        <is>
          <t>Títulos de Capitalização</t>
        </is>
      </c>
      <c r="F29" s="103" t="n">
        <v>12013.66</v>
      </c>
      <c r="G29" s="104" t="inlineStr">
        <is>
          <t>01/2025</t>
        </is>
      </c>
      <c r="H29" s="104" t="inlineStr">
        <is>
          <t>CODI</t>
        </is>
      </c>
    </row>
    <row r="30" ht="15" customHeight="1" s="86">
      <c r="B30" s="101" t="n">
        <v>45658</v>
      </c>
      <c r="C30" s="102" t="inlineStr">
        <is>
          <t>Vale Transporte - 01/2025</t>
        </is>
      </c>
      <c r="D30" s="102" t="inlineStr">
        <is>
          <t>Saída</t>
        </is>
      </c>
      <c r="E30" s="102" t="inlineStr">
        <is>
          <t>Vale Transporte</t>
        </is>
      </c>
      <c r="F30" s="103" t="n">
        <v>2380</v>
      </c>
      <c r="G30" s="104" t="inlineStr">
        <is>
          <t>01/2025</t>
        </is>
      </c>
      <c r="H30" s="104" t="inlineStr">
        <is>
          <t>CODI</t>
        </is>
      </c>
    </row>
    <row r="31" ht="15" customHeight="1" s="86">
      <c r="B31" s="101" t="n">
        <v>45658</v>
      </c>
      <c r="C31" s="102" t="inlineStr">
        <is>
          <t>Vales e Adiantamentos - 01/2025</t>
        </is>
      </c>
      <c r="D31" s="102" t="inlineStr">
        <is>
          <t>Saída</t>
        </is>
      </c>
      <c r="E31" s="102" t="inlineStr">
        <is>
          <t>Vales e Adiantamentos</t>
        </is>
      </c>
      <c r="F31" s="103" t="n">
        <v>2750</v>
      </c>
      <c r="G31" s="104" t="inlineStr">
        <is>
          <t>01/2025</t>
        </is>
      </c>
      <c r="H31" s="104" t="inlineStr">
        <is>
          <t>CODI</t>
        </is>
      </c>
    </row>
    <row r="32" ht="15" customHeight="1" s="86">
      <c r="B32" s="101" t="n">
        <v>45658</v>
      </c>
      <c r="C32" s="102" t="inlineStr">
        <is>
          <t>Web Site e Sistema ERP - 01/2025</t>
        </is>
      </c>
      <c r="D32" s="102" t="inlineStr">
        <is>
          <t>Saída</t>
        </is>
      </c>
      <c r="E32" s="102" t="inlineStr">
        <is>
          <t>Web Site e Sistema ERP</t>
        </is>
      </c>
      <c r="F32" s="103" t="n">
        <v>890</v>
      </c>
      <c r="G32" s="104" t="inlineStr">
        <is>
          <t>01/2025</t>
        </is>
      </c>
      <c r="H32" s="104" t="inlineStr">
        <is>
          <t>CODI</t>
        </is>
      </c>
    </row>
    <row r="33" ht="15" customHeight="1" s="86">
      <c r="B33" s="101" t="n">
        <v>45658</v>
      </c>
      <c r="C33" s="102" t="inlineStr">
        <is>
          <t>Água - 01/2025</t>
        </is>
      </c>
      <c r="D33" s="102" t="inlineStr">
        <is>
          <t>Saída</t>
        </is>
      </c>
      <c r="E33" s="102" t="inlineStr">
        <is>
          <t>Água</t>
        </is>
      </c>
      <c r="F33" s="103" t="n">
        <v>224.36</v>
      </c>
      <c r="G33" s="104" t="inlineStr">
        <is>
          <t>01/2025</t>
        </is>
      </c>
      <c r="H33" s="104" t="inlineStr">
        <is>
          <t>CODI</t>
        </is>
      </c>
    </row>
    <row r="34" ht="15" customHeight="1" s="86">
      <c r="B34" s="101" t="n">
        <v>45689</v>
      </c>
      <c r="C34" s="102" t="inlineStr">
        <is>
          <t>Vendas - 02/2025</t>
        </is>
      </c>
      <c r="D34" s="102" t="inlineStr">
        <is>
          <t>Entrada</t>
        </is>
      </c>
      <c r="E34" s="102" t="inlineStr">
        <is>
          <t>Vendas</t>
        </is>
      </c>
      <c r="F34" s="103" t="n">
        <v>326133.08</v>
      </c>
      <c r="G34" s="104" t="inlineStr">
        <is>
          <t>02/2025</t>
        </is>
      </c>
      <c r="H34" s="104" t="inlineStr">
        <is>
          <t>CODI</t>
        </is>
      </c>
    </row>
    <row r="35" ht="15" customHeight="1" s="86">
      <c r="B35" s="101" t="n">
        <v>45689</v>
      </c>
      <c r="C35" s="102" t="inlineStr">
        <is>
          <t>Aluguéis e Condomínios - 02/2025</t>
        </is>
      </c>
      <c r="D35" s="102" t="inlineStr">
        <is>
          <t>Saída</t>
        </is>
      </c>
      <c r="E35" s="102" t="inlineStr">
        <is>
          <t>Aluguéis e Condomínios</t>
        </is>
      </c>
      <c r="F35" s="103" t="n">
        <v>5275.93</v>
      </c>
      <c r="G35" s="104" t="inlineStr">
        <is>
          <t>02/2025</t>
        </is>
      </c>
      <c r="H35" s="104" t="inlineStr">
        <is>
          <t>CODI</t>
        </is>
      </c>
    </row>
    <row r="36" ht="15" customHeight="1" s="86">
      <c r="B36" s="101" t="n">
        <v>45689</v>
      </c>
      <c r="C36" s="102" t="inlineStr">
        <is>
          <t>Aviamento - 02/2025</t>
        </is>
      </c>
      <c r="D36" s="102" t="inlineStr">
        <is>
          <t>Saída</t>
        </is>
      </c>
      <c r="E36" s="102" t="inlineStr">
        <is>
          <t>Aviamento</t>
        </is>
      </c>
      <c r="F36" s="103" t="n">
        <v>928</v>
      </c>
      <c r="G36" s="104" t="inlineStr">
        <is>
          <t>02/2025</t>
        </is>
      </c>
      <c r="H36" s="104" t="inlineStr">
        <is>
          <t>CODI</t>
        </is>
      </c>
    </row>
    <row r="37" ht="15" customHeight="1" s="86">
      <c r="B37" s="101" t="n">
        <v>45689</v>
      </c>
      <c r="C37" s="102" t="inlineStr">
        <is>
          <t>Compra de Veículos - 02/2025</t>
        </is>
      </c>
      <c r="D37" s="102" t="inlineStr">
        <is>
          <t>Saída</t>
        </is>
      </c>
      <c r="E37" s="102" t="inlineStr">
        <is>
          <t>Compra de Veículos</t>
        </is>
      </c>
      <c r="F37" s="103" t="n">
        <v>1742</v>
      </c>
      <c r="G37" s="104" t="inlineStr">
        <is>
          <t>02/2025</t>
        </is>
      </c>
      <c r="H37" s="104" t="inlineStr">
        <is>
          <t>CODI</t>
        </is>
      </c>
    </row>
    <row r="38" ht="15" customHeight="1" s="86">
      <c r="B38" s="101" t="n">
        <v>45689</v>
      </c>
      <c r="C38" s="102" t="inlineStr">
        <is>
          <t>Despesa não Identificada - 02/2025</t>
        </is>
      </c>
      <c r="D38" s="102" t="inlineStr">
        <is>
          <t>Saída</t>
        </is>
      </c>
      <c r="E38" s="102" t="inlineStr">
        <is>
          <t>Despesa não Identificada</t>
        </is>
      </c>
      <c r="F38" s="103" t="n">
        <v>172869.57</v>
      </c>
      <c r="G38" s="104" t="inlineStr">
        <is>
          <t>02/2025</t>
        </is>
      </c>
      <c r="H38" s="104" t="inlineStr">
        <is>
          <t>CODI</t>
        </is>
      </c>
    </row>
    <row r="39" ht="15" customHeight="1" s="86">
      <c r="B39" s="101" t="n">
        <v>45689</v>
      </c>
      <c r="C39" s="102" t="inlineStr">
        <is>
          <t>Etiquetas - 02/2025</t>
        </is>
      </c>
      <c r="D39" s="102" t="inlineStr">
        <is>
          <t>Saída</t>
        </is>
      </c>
      <c r="E39" s="102" t="inlineStr">
        <is>
          <t>Etiquetas</t>
        </is>
      </c>
      <c r="F39" s="103" t="n">
        <v>6620</v>
      </c>
      <c r="G39" s="104" t="inlineStr">
        <is>
          <t>02/2025</t>
        </is>
      </c>
      <c r="H39" s="104" t="inlineStr">
        <is>
          <t>CODI</t>
        </is>
      </c>
    </row>
    <row r="40" ht="15" customHeight="1" s="86">
      <c r="B40" s="101" t="n">
        <v>45689</v>
      </c>
      <c r="C40" s="102" t="inlineStr">
        <is>
          <t>Facção - 02/2025</t>
        </is>
      </c>
      <c r="D40" s="102" t="inlineStr">
        <is>
          <t>Saída</t>
        </is>
      </c>
      <c r="E40" s="102" t="inlineStr">
        <is>
          <t>Facção</t>
        </is>
      </c>
      <c r="F40" s="103" t="n">
        <v>43502</v>
      </c>
      <c r="G40" s="104" t="inlineStr">
        <is>
          <t>02/2025</t>
        </is>
      </c>
      <c r="H40" s="104" t="inlineStr">
        <is>
          <t>CODI</t>
        </is>
      </c>
    </row>
    <row r="41" ht="15" customHeight="1" s="86">
      <c r="B41" s="101" t="n">
        <v>45689</v>
      </c>
      <c r="C41" s="102" t="inlineStr">
        <is>
          <t>Frete e Transporte de Mercadorias - 02/2025</t>
        </is>
      </c>
      <c r="D41" s="102" t="inlineStr">
        <is>
          <t>Saída</t>
        </is>
      </c>
      <c r="E41" s="102" t="inlineStr">
        <is>
          <t>Frete e Transporte de Mercadorias</t>
        </is>
      </c>
      <c r="F41" s="103" t="n">
        <v>4119.21</v>
      </c>
      <c r="G41" s="104" t="inlineStr">
        <is>
          <t>02/2025</t>
        </is>
      </c>
      <c r="H41" s="104" t="inlineStr">
        <is>
          <t>CODI</t>
        </is>
      </c>
    </row>
    <row r="42" ht="15" customHeight="1" s="86">
      <c r="B42" s="101" t="n">
        <v>45689</v>
      </c>
      <c r="C42" s="102" t="inlineStr">
        <is>
          <t>Férias - 02/2025</t>
        </is>
      </c>
      <c r="D42" s="102" t="inlineStr">
        <is>
          <t>Saída</t>
        </is>
      </c>
      <c r="E42" s="102" t="inlineStr">
        <is>
          <t>Férias</t>
        </is>
      </c>
      <c r="F42" s="103" t="n">
        <v>4205.34</v>
      </c>
      <c r="G42" s="104" t="inlineStr">
        <is>
          <t>02/2025</t>
        </is>
      </c>
      <c r="H42" s="104" t="inlineStr">
        <is>
          <t>CODI</t>
        </is>
      </c>
    </row>
    <row r="43" ht="15" customHeight="1" s="86">
      <c r="B43" s="101" t="n">
        <v>45689</v>
      </c>
      <c r="C43" s="102" t="inlineStr">
        <is>
          <t>Honorários Contábeis (Contabilidade) - 02/2025</t>
        </is>
      </c>
      <c r="D43" s="102" t="inlineStr">
        <is>
          <t>Saída</t>
        </is>
      </c>
      <c r="E43" s="102" t="inlineStr">
        <is>
          <t>Honorários Contábeis (Contabilidade)</t>
        </is>
      </c>
      <c r="F43" s="103" t="n">
        <v>1100</v>
      </c>
      <c r="G43" s="104" t="inlineStr">
        <is>
          <t>02/2025</t>
        </is>
      </c>
      <c r="H43" s="104" t="inlineStr">
        <is>
          <t>CODI</t>
        </is>
      </c>
    </row>
    <row r="44" ht="15" customHeight="1" s="86">
      <c r="B44" s="101" t="n">
        <v>45689</v>
      </c>
      <c r="C44" s="102" t="inlineStr">
        <is>
          <t>Lavanderia - 02/2025</t>
        </is>
      </c>
      <c r="D44" s="102" t="inlineStr">
        <is>
          <t>Saída</t>
        </is>
      </c>
      <c r="E44" s="102" t="inlineStr">
        <is>
          <t>Lavanderia</t>
        </is>
      </c>
      <c r="F44" s="103" t="n">
        <v>16668</v>
      </c>
      <c r="G44" s="104" t="inlineStr">
        <is>
          <t>02/2025</t>
        </is>
      </c>
      <c r="H44" s="104" t="inlineStr">
        <is>
          <t>CODI</t>
        </is>
      </c>
    </row>
    <row r="45" ht="15" customHeight="1" s="86">
      <c r="B45" s="101" t="n">
        <v>45689</v>
      </c>
      <c r="C45" s="102" t="inlineStr">
        <is>
          <t>Material de Limpeza e Higiene - 02/2025</t>
        </is>
      </c>
      <c r="D45" s="102" t="inlineStr">
        <is>
          <t>Saída</t>
        </is>
      </c>
      <c r="E45" s="102" t="inlineStr">
        <is>
          <t>Material de Limpeza e Higiene</t>
        </is>
      </c>
      <c r="F45" s="103" t="n">
        <v>316.58</v>
      </c>
      <c r="G45" s="104" t="inlineStr">
        <is>
          <t>02/2025</t>
        </is>
      </c>
      <c r="H45" s="104" t="inlineStr">
        <is>
          <t>CODI</t>
        </is>
      </c>
    </row>
    <row r="46" ht="15" customHeight="1" s="86">
      <c r="B46" s="101" t="n">
        <v>45689</v>
      </c>
      <c r="C46" s="102" t="inlineStr">
        <is>
          <t>Outros Insumos - 02/2025</t>
        </is>
      </c>
      <c r="D46" s="102" t="inlineStr">
        <is>
          <t>Saída</t>
        </is>
      </c>
      <c r="E46" s="102" t="inlineStr">
        <is>
          <t>Outros Insumos</t>
        </is>
      </c>
      <c r="F46" s="103" t="n">
        <v>3409.56</v>
      </c>
      <c r="G46" s="104" t="inlineStr">
        <is>
          <t>02/2025</t>
        </is>
      </c>
      <c r="H46" s="104" t="inlineStr">
        <is>
          <t>CODI</t>
        </is>
      </c>
    </row>
    <row r="47" ht="15" customHeight="1" s="86">
      <c r="B47" s="101" t="n">
        <v>45689</v>
      </c>
      <c r="C47" s="102" t="inlineStr">
        <is>
          <t>Publicidade - 02/2025</t>
        </is>
      </c>
      <c r="D47" s="102" t="inlineStr">
        <is>
          <t>Saída</t>
        </is>
      </c>
      <c r="E47" s="102" t="inlineStr">
        <is>
          <t>Publicidade</t>
        </is>
      </c>
      <c r="F47" s="103" t="n">
        <v>2195.42</v>
      </c>
      <c r="G47" s="104" t="inlineStr">
        <is>
          <t>02/2025</t>
        </is>
      </c>
      <c r="H47" s="104" t="inlineStr">
        <is>
          <t>CODI</t>
        </is>
      </c>
    </row>
    <row r="48" ht="15" customHeight="1" s="86">
      <c r="B48" s="101" t="n">
        <v>45689</v>
      </c>
      <c r="C48" s="102" t="inlineStr">
        <is>
          <t>Salário e Ordenados - 02/2025</t>
        </is>
      </c>
      <c r="D48" s="102" t="inlineStr">
        <is>
          <t>Saída</t>
        </is>
      </c>
      <c r="E48" s="102" t="inlineStr">
        <is>
          <t>Salário e Ordenados</t>
        </is>
      </c>
      <c r="F48" s="103" t="n">
        <v>27162.64</v>
      </c>
      <c r="G48" s="104" t="inlineStr">
        <is>
          <t>02/2025</t>
        </is>
      </c>
      <c r="H48" s="104" t="inlineStr">
        <is>
          <t>CODI</t>
        </is>
      </c>
    </row>
    <row r="49" ht="15" customHeight="1" s="86">
      <c r="B49" s="101" t="n">
        <v>45689</v>
      </c>
      <c r="C49" s="102" t="inlineStr">
        <is>
          <t>Segurança e Monitoramento - 02/2025</t>
        </is>
      </c>
      <c r="D49" s="102" t="inlineStr">
        <is>
          <t>Saída</t>
        </is>
      </c>
      <c r="E49" s="102" t="inlineStr">
        <is>
          <t>Segurança e Monitoramento</t>
        </is>
      </c>
      <c r="F49" s="103" t="n">
        <v>1240</v>
      </c>
      <c r="G49" s="104" t="inlineStr">
        <is>
          <t>02/2025</t>
        </is>
      </c>
      <c r="H49" s="104" t="inlineStr">
        <is>
          <t>CODI</t>
        </is>
      </c>
    </row>
    <row r="50" ht="15" customHeight="1" s="86">
      <c r="B50" s="101" t="n">
        <v>45689</v>
      </c>
      <c r="C50" s="102" t="inlineStr">
        <is>
          <t>Seguros - 02/2025</t>
        </is>
      </c>
      <c r="D50" s="102" t="inlineStr">
        <is>
          <t>Saída</t>
        </is>
      </c>
      <c r="E50" s="102" t="inlineStr">
        <is>
          <t>Seguros</t>
        </is>
      </c>
      <c r="F50" s="103" t="n">
        <v>463</v>
      </c>
      <c r="G50" s="104" t="inlineStr">
        <is>
          <t>02/2025</t>
        </is>
      </c>
      <c r="H50" s="104" t="inlineStr">
        <is>
          <t>CODI</t>
        </is>
      </c>
    </row>
    <row r="51" ht="15" customHeight="1" s="86">
      <c r="B51" s="101" t="n">
        <v>45689</v>
      </c>
      <c r="C51" s="102" t="inlineStr">
        <is>
          <t>Tecidos - 02/2025</t>
        </is>
      </c>
      <c r="D51" s="102" t="inlineStr">
        <is>
          <t>Saída</t>
        </is>
      </c>
      <c r="E51" s="102" t="inlineStr">
        <is>
          <t>Tecidos</t>
        </is>
      </c>
      <c r="F51" s="103" t="n">
        <v>77095.09</v>
      </c>
      <c r="G51" s="104" t="inlineStr">
        <is>
          <t>02/2025</t>
        </is>
      </c>
      <c r="H51" s="104" t="inlineStr">
        <is>
          <t>CODI</t>
        </is>
      </c>
    </row>
    <row r="52" ht="15" customHeight="1" s="86">
      <c r="B52" s="101" t="n">
        <v>45689</v>
      </c>
      <c r="C52" s="102" t="inlineStr">
        <is>
          <t>Telefonia Fixa e Internet - 02/2025</t>
        </is>
      </c>
      <c r="D52" s="102" t="inlineStr">
        <is>
          <t>Saída</t>
        </is>
      </c>
      <c r="E52" s="102" t="inlineStr">
        <is>
          <t>Telefonia Fixa e Internet</t>
        </is>
      </c>
      <c r="F52" s="103" t="n">
        <v>240</v>
      </c>
      <c r="G52" s="104" t="inlineStr">
        <is>
          <t>02/2025</t>
        </is>
      </c>
      <c r="H52" s="104" t="inlineStr">
        <is>
          <t>CODI</t>
        </is>
      </c>
    </row>
    <row r="53" ht="15" customHeight="1" s="86">
      <c r="B53" s="101" t="n">
        <v>45689</v>
      </c>
      <c r="C53" s="102" t="inlineStr">
        <is>
          <t>Travete - 02/2025</t>
        </is>
      </c>
      <c r="D53" s="102" t="inlineStr">
        <is>
          <t>Saída</t>
        </is>
      </c>
      <c r="E53" s="102" t="inlineStr">
        <is>
          <t>Travete</t>
        </is>
      </c>
      <c r="F53" s="103" t="n">
        <v>6648</v>
      </c>
      <c r="G53" s="104" t="inlineStr">
        <is>
          <t>02/2025</t>
        </is>
      </c>
      <c r="H53" s="104" t="inlineStr">
        <is>
          <t>CODI</t>
        </is>
      </c>
    </row>
    <row r="54" ht="15" customHeight="1" s="86">
      <c r="B54" s="101" t="n">
        <v>45689</v>
      </c>
      <c r="C54" s="102" t="inlineStr">
        <is>
          <t>Títulos de Capitalização - 02/2025</t>
        </is>
      </c>
      <c r="D54" s="102" t="inlineStr">
        <is>
          <t>Saída</t>
        </is>
      </c>
      <c r="E54" s="102" t="inlineStr">
        <is>
          <t>Títulos de Capitalização</t>
        </is>
      </c>
      <c r="F54" s="103" t="n">
        <v>12013.66</v>
      </c>
      <c r="G54" s="104" t="inlineStr">
        <is>
          <t>02/2025</t>
        </is>
      </c>
      <c r="H54" s="104" t="inlineStr">
        <is>
          <t>CODI</t>
        </is>
      </c>
    </row>
    <row r="55" ht="15" customHeight="1" s="86">
      <c r="B55" s="101" t="n">
        <v>45689</v>
      </c>
      <c r="C55" s="102" t="inlineStr">
        <is>
          <t>Vales e Adiantamentos - 02/2025</t>
        </is>
      </c>
      <c r="D55" s="102" t="inlineStr">
        <is>
          <t>Saída</t>
        </is>
      </c>
      <c r="E55" s="102" t="inlineStr">
        <is>
          <t>Vales e Adiantamentos</t>
        </is>
      </c>
      <c r="F55" s="103" t="n">
        <v>3650</v>
      </c>
      <c r="G55" s="104" t="inlineStr">
        <is>
          <t>02/2025</t>
        </is>
      </c>
      <c r="H55" s="104" t="inlineStr">
        <is>
          <t>CODI</t>
        </is>
      </c>
    </row>
    <row r="56" ht="15" customHeight="1" s="86">
      <c r="B56" s="101" t="n">
        <v>45689</v>
      </c>
      <c r="C56" s="102" t="inlineStr">
        <is>
          <t>Web Site e Sistema ERP - 02/2025</t>
        </is>
      </c>
      <c r="D56" s="102" t="inlineStr">
        <is>
          <t>Saída</t>
        </is>
      </c>
      <c r="E56" s="102" t="inlineStr">
        <is>
          <t>Web Site e Sistema ERP</t>
        </is>
      </c>
      <c r="F56" s="103" t="n">
        <v>890</v>
      </c>
      <c r="G56" s="104" t="inlineStr">
        <is>
          <t>02/2025</t>
        </is>
      </c>
      <c r="H56" s="104" t="inlineStr">
        <is>
          <t>CODI</t>
        </is>
      </c>
    </row>
    <row r="57" ht="15" customHeight="1" s="86">
      <c r="B57" s="101" t="n">
        <v>45689</v>
      </c>
      <c r="C57" s="102" t="inlineStr">
        <is>
          <t>Água - 02/2025</t>
        </is>
      </c>
      <c r="D57" s="102" t="inlineStr">
        <is>
          <t>Saída</t>
        </is>
      </c>
      <c r="E57" s="102" t="inlineStr">
        <is>
          <t>Água</t>
        </is>
      </c>
      <c r="F57" s="103" t="n">
        <v>293.24</v>
      </c>
      <c r="G57" s="104" t="inlineStr">
        <is>
          <t>02/2025</t>
        </is>
      </c>
      <c r="H57" s="104" t="inlineStr">
        <is>
          <t>CODI</t>
        </is>
      </c>
    </row>
    <row r="58" ht="15" customHeight="1" s="86">
      <c r="B58" s="101" t="n">
        <v>45689</v>
      </c>
      <c r="C58" s="102" t="inlineStr">
        <is>
          <t>Acabamento Externo - 02/2025</t>
        </is>
      </c>
      <c r="D58" s="102" t="inlineStr">
        <is>
          <t>Saída</t>
        </is>
      </c>
      <c r="E58" s="102" t="inlineStr">
        <is>
          <t>Acabamento Externo</t>
        </is>
      </c>
      <c r="F58" s="103" t="n">
        <v>14169.2</v>
      </c>
      <c r="G58" s="104" t="inlineStr">
        <is>
          <t>02/2025</t>
        </is>
      </c>
      <c r="H58" s="104" t="inlineStr">
        <is>
          <t>CODI</t>
        </is>
      </c>
    </row>
    <row r="59" ht="15" customHeight="1" s="86">
      <c r="B59" s="101" t="n">
        <v>45689</v>
      </c>
      <c r="C59" s="102" t="inlineStr">
        <is>
          <t>Alimentação - 02/2025</t>
        </is>
      </c>
      <c r="D59" s="102" t="inlineStr">
        <is>
          <t>Saída</t>
        </is>
      </c>
      <c r="E59" s="102" t="inlineStr">
        <is>
          <t>Alimentação</t>
        </is>
      </c>
      <c r="F59" s="103" t="n">
        <v>70.61</v>
      </c>
      <c r="G59" s="104" t="inlineStr">
        <is>
          <t>02/2025</t>
        </is>
      </c>
      <c r="H59" s="104" t="inlineStr">
        <is>
          <t>CODI</t>
        </is>
      </c>
    </row>
    <row r="60" ht="15" customHeight="1" s="86">
      <c r="B60" s="101" t="n">
        <v>45689</v>
      </c>
      <c r="C60" s="102" t="inlineStr">
        <is>
          <t>Combustíveis - 02/2025</t>
        </is>
      </c>
      <c r="D60" s="102" t="inlineStr">
        <is>
          <t>Saída</t>
        </is>
      </c>
      <c r="E60" s="102" t="inlineStr">
        <is>
          <t>Combustíveis</t>
        </is>
      </c>
      <c r="F60" s="103" t="n">
        <v>670.3</v>
      </c>
      <c r="G60" s="104" t="inlineStr">
        <is>
          <t>02/2025</t>
        </is>
      </c>
      <c r="H60" s="104" t="inlineStr">
        <is>
          <t>CODI</t>
        </is>
      </c>
    </row>
    <row r="61" ht="15" customHeight="1" s="86">
      <c r="B61" s="101" t="n">
        <v>45689</v>
      </c>
      <c r="C61" s="102" t="inlineStr">
        <is>
          <t>Coquetéis, festas e outros eventos - 02/2025</t>
        </is>
      </c>
      <c r="D61" s="102" t="inlineStr">
        <is>
          <t>Saída</t>
        </is>
      </c>
      <c r="E61" s="102" t="inlineStr">
        <is>
          <t>Coquetéis, festas e outros eventos</t>
        </is>
      </c>
      <c r="F61" s="103" t="n">
        <v>1131.91</v>
      </c>
      <c r="G61" s="104" t="inlineStr">
        <is>
          <t>02/2025</t>
        </is>
      </c>
      <c r="H61" s="104" t="inlineStr">
        <is>
          <t>CODI</t>
        </is>
      </c>
    </row>
    <row r="62" ht="15" customHeight="1" s="86">
      <c r="B62" s="101" t="n">
        <v>45689</v>
      </c>
      <c r="C62" s="102" t="inlineStr">
        <is>
          <t>Criação de Modelos - 02/2025</t>
        </is>
      </c>
      <c r="D62" s="102" t="inlineStr">
        <is>
          <t>Saída</t>
        </is>
      </c>
      <c r="E62" s="102" t="inlineStr">
        <is>
          <t>Criação de Modelos</t>
        </is>
      </c>
      <c r="F62" s="103" t="n">
        <v>6094.68</v>
      </c>
      <c r="G62" s="104" t="inlineStr">
        <is>
          <t>02/2025</t>
        </is>
      </c>
      <c r="H62" s="104" t="inlineStr">
        <is>
          <t>CODI</t>
        </is>
      </c>
    </row>
    <row r="63" ht="15" customHeight="1" s="86">
      <c r="B63" s="101" t="n">
        <v>45689</v>
      </c>
      <c r="C63" s="102" t="inlineStr">
        <is>
          <t>Darf - 02/2025</t>
        </is>
      </c>
      <c r="D63" s="102" t="inlineStr">
        <is>
          <t>Saída</t>
        </is>
      </c>
      <c r="E63" s="102" t="inlineStr">
        <is>
          <t>Darf</t>
        </is>
      </c>
      <c r="F63" s="103" t="n">
        <v>10917.99</v>
      </c>
      <c r="G63" s="104" t="inlineStr">
        <is>
          <t>02/2025</t>
        </is>
      </c>
      <c r="H63" s="104" t="inlineStr">
        <is>
          <t>CODI</t>
        </is>
      </c>
    </row>
    <row r="64" ht="15" customHeight="1" s="86">
      <c r="B64" s="101" t="n">
        <v>45689</v>
      </c>
      <c r="C64" s="102" t="inlineStr">
        <is>
          <t>Embalagens - 02/2025</t>
        </is>
      </c>
      <c r="D64" s="102" t="inlineStr">
        <is>
          <t>Saída</t>
        </is>
      </c>
      <c r="E64" s="102" t="inlineStr">
        <is>
          <t>Embalagens</t>
        </is>
      </c>
      <c r="F64" s="103" t="n">
        <v>818</v>
      </c>
      <c r="G64" s="104" t="inlineStr">
        <is>
          <t>02/2025</t>
        </is>
      </c>
      <c r="H64" s="104" t="inlineStr">
        <is>
          <t>CODI</t>
        </is>
      </c>
    </row>
    <row r="65" ht="15" customHeight="1" s="86">
      <c r="B65" s="101" t="n">
        <v>45689</v>
      </c>
      <c r="C65" s="102" t="inlineStr">
        <is>
          <t>Exame Adminissional/Demissional - 02/2025</t>
        </is>
      </c>
      <c r="D65" s="102" t="inlineStr">
        <is>
          <t>Saída</t>
        </is>
      </c>
      <c r="E65" s="102" t="inlineStr">
        <is>
          <t>Exame Adminissional/Demissional</t>
        </is>
      </c>
      <c r="F65" s="103" t="n">
        <v>50</v>
      </c>
      <c r="G65" s="104" t="inlineStr">
        <is>
          <t>02/2025</t>
        </is>
      </c>
      <c r="H65" s="104" t="inlineStr">
        <is>
          <t>CODI</t>
        </is>
      </c>
    </row>
    <row r="66" ht="15" customHeight="1" s="86">
      <c r="B66" s="101" t="n">
        <v>45689</v>
      </c>
      <c r="C66" s="102" t="inlineStr">
        <is>
          <t>Manutenção de Máquinas e Peças - 02/2025</t>
        </is>
      </c>
      <c r="D66" s="102" t="inlineStr">
        <is>
          <t>Saída</t>
        </is>
      </c>
      <c r="E66" s="102" t="inlineStr">
        <is>
          <t>Manutenção de Máquinas e Peças</t>
        </is>
      </c>
      <c r="F66" s="103" t="n">
        <v>39</v>
      </c>
      <c r="G66" s="104" t="inlineStr">
        <is>
          <t>02/2025</t>
        </is>
      </c>
      <c r="H66" s="104" t="inlineStr">
        <is>
          <t>CODI</t>
        </is>
      </c>
    </row>
    <row r="67" ht="15" customHeight="1" s="86">
      <c r="B67" s="101" t="n">
        <v>45689</v>
      </c>
      <c r="C67" s="102" t="inlineStr">
        <is>
          <t>Multas - 02/2025</t>
        </is>
      </c>
      <c r="D67" s="102" t="inlineStr">
        <is>
          <t>Saída</t>
        </is>
      </c>
      <c r="E67" s="102" t="inlineStr">
        <is>
          <t>Multas</t>
        </is>
      </c>
      <c r="F67" s="103" t="n">
        <v>156.18</v>
      </c>
      <c r="G67" s="104" t="inlineStr">
        <is>
          <t>02/2025</t>
        </is>
      </c>
      <c r="H67" s="104" t="inlineStr">
        <is>
          <t>CODI</t>
        </is>
      </c>
    </row>
    <row r="68" ht="15" customHeight="1" s="86">
      <c r="B68" s="101" t="n">
        <v>45717</v>
      </c>
      <c r="C68" s="102" t="inlineStr">
        <is>
          <t>Vendas - 03/2025</t>
        </is>
      </c>
      <c r="D68" s="102" t="inlineStr">
        <is>
          <t>Entrada</t>
        </is>
      </c>
      <c r="E68" s="102" t="inlineStr">
        <is>
          <t>Vendas</t>
        </is>
      </c>
      <c r="F68" s="103" t="n">
        <v>357019.64</v>
      </c>
      <c r="G68" s="104" t="inlineStr">
        <is>
          <t>03/2025</t>
        </is>
      </c>
      <c r="H68" s="104" t="inlineStr">
        <is>
          <t>CODI</t>
        </is>
      </c>
    </row>
    <row r="69" ht="15" customHeight="1" s="86">
      <c r="B69" s="101" t="n">
        <v>45717</v>
      </c>
      <c r="C69" s="102" t="inlineStr">
        <is>
          <t>Acertos e Recisões - 03/2025</t>
        </is>
      </c>
      <c r="D69" s="102" t="inlineStr">
        <is>
          <t>Saída</t>
        </is>
      </c>
      <c r="E69" s="102" t="inlineStr">
        <is>
          <t>Acertos e Recisões</t>
        </is>
      </c>
      <c r="F69" s="103" t="n">
        <v>2849.74</v>
      </c>
      <c r="G69" s="104" t="inlineStr">
        <is>
          <t>03/2025</t>
        </is>
      </c>
      <c r="H69" s="104" t="inlineStr">
        <is>
          <t>CODI</t>
        </is>
      </c>
    </row>
    <row r="70" ht="15" customHeight="1" s="86">
      <c r="B70" s="101" t="n">
        <v>45717</v>
      </c>
      <c r="C70" s="102" t="inlineStr">
        <is>
          <t>Aluguéis e Condomínios - 03/2025</t>
        </is>
      </c>
      <c r="D70" s="102" t="inlineStr">
        <is>
          <t>Saída</t>
        </is>
      </c>
      <c r="E70" s="102" t="inlineStr">
        <is>
          <t>Aluguéis e Condomínios</t>
        </is>
      </c>
      <c r="F70" s="103" t="n">
        <v>5501.74</v>
      </c>
      <c r="G70" s="104" t="inlineStr">
        <is>
          <t>03/2025</t>
        </is>
      </c>
      <c r="H70" s="104" t="inlineStr">
        <is>
          <t>CODI</t>
        </is>
      </c>
    </row>
    <row r="71" ht="15" customHeight="1" s="86">
      <c r="B71" s="101" t="n">
        <v>45717</v>
      </c>
      <c r="C71" s="102" t="inlineStr">
        <is>
          <t>Aviamento - 03/2025</t>
        </is>
      </c>
      <c r="D71" s="102" t="inlineStr">
        <is>
          <t>Saída</t>
        </is>
      </c>
      <c r="E71" s="102" t="inlineStr">
        <is>
          <t>Aviamento</t>
        </is>
      </c>
      <c r="F71" s="103" t="n">
        <v>3100.25</v>
      </c>
      <c r="G71" s="104" t="inlineStr">
        <is>
          <t>03/2025</t>
        </is>
      </c>
      <c r="H71" s="104" t="inlineStr">
        <is>
          <t>CODI</t>
        </is>
      </c>
    </row>
    <row r="72" ht="15" customHeight="1" s="86">
      <c r="B72" s="101" t="n">
        <v>45717</v>
      </c>
      <c r="C72" s="102" t="inlineStr">
        <is>
          <t>Compra de Veículos - 03/2025</t>
        </is>
      </c>
      <c r="D72" s="102" t="inlineStr">
        <is>
          <t>Saída</t>
        </is>
      </c>
      <c r="E72" s="102" t="inlineStr">
        <is>
          <t>Compra de Veículos</t>
        </is>
      </c>
      <c r="F72" s="103" t="n">
        <v>1742</v>
      </c>
      <c r="G72" s="104" t="inlineStr">
        <is>
          <t>03/2025</t>
        </is>
      </c>
      <c r="H72" s="104" t="inlineStr">
        <is>
          <t>CODI</t>
        </is>
      </c>
    </row>
    <row r="73" ht="15" customHeight="1" s="86">
      <c r="B73" s="101" t="n">
        <v>45717</v>
      </c>
      <c r="C73" s="102" t="inlineStr">
        <is>
          <t>Despesa não Identificada - 03/2025</t>
        </is>
      </c>
      <c r="D73" s="102" t="inlineStr">
        <is>
          <t>Saída</t>
        </is>
      </c>
      <c r="E73" s="102" t="inlineStr">
        <is>
          <t>Despesa não Identificada</t>
        </is>
      </c>
      <c r="F73" s="103" t="n">
        <v>172869.57</v>
      </c>
      <c r="G73" s="104" t="inlineStr">
        <is>
          <t>03/2025</t>
        </is>
      </c>
      <c r="H73" s="104" t="inlineStr">
        <is>
          <t>CODI</t>
        </is>
      </c>
    </row>
    <row r="74" ht="15" customHeight="1" s="86">
      <c r="B74" s="101" t="n">
        <v>45717</v>
      </c>
      <c r="C74" s="102" t="inlineStr">
        <is>
          <t>Energia Elétrica - 03/2025</t>
        </is>
      </c>
      <c r="D74" s="102" t="inlineStr">
        <is>
          <t>Saída</t>
        </is>
      </c>
      <c r="E74" s="102" t="inlineStr">
        <is>
          <t>Energia Elétrica</t>
        </is>
      </c>
      <c r="F74" s="103" t="n">
        <v>109.53</v>
      </c>
      <c r="G74" s="104" t="inlineStr">
        <is>
          <t>03/2025</t>
        </is>
      </c>
      <c r="H74" s="104" t="inlineStr">
        <is>
          <t>CODI</t>
        </is>
      </c>
    </row>
    <row r="75" ht="15" customHeight="1" s="86">
      <c r="B75" s="101" t="n">
        <v>45717</v>
      </c>
      <c r="C75" s="102" t="inlineStr">
        <is>
          <t>Etiquetas - 03/2025</t>
        </is>
      </c>
      <c r="D75" s="102" t="inlineStr">
        <is>
          <t>Saída</t>
        </is>
      </c>
      <c r="E75" s="102" t="inlineStr">
        <is>
          <t>Etiquetas</t>
        </is>
      </c>
      <c r="F75" s="103" t="n">
        <v>3423.75</v>
      </c>
      <c r="G75" s="104" t="inlineStr">
        <is>
          <t>03/2025</t>
        </is>
      </c>
      <c r="H75" s="104" t="inlineStr">
        <is>
          <t>CODI</t>
        </is>
      </c>
    </row>
    <row r="76" ht="15" customHeight="1" s="86">
      <c r="B76" s="101" t="n">
        <v>45717</v>
      </c>
      <c r="C76" s="102" t="inlineStr">
        <is>
          <t>Facção - 03/2025</t>
        </is>
      </c>
      <c r="D76" s="102" t="inlineStr">
        <is>
          <t>Saída</t>
        </is>
      </c>
      <c r="E76" s="102" t="inlineStr">
        <is>
          <t>Facção</t>
        </is>
      </c>
      <c r="F76" s="103" t="n">
        <v>39024.5</v>
      </c>
      <c r="G76" s="104" t="inlineStr">
        <is>
          <t>03/2025</t>
        </is>
      </c>
      <c r="H76" s="104" t="inlineStr">
        <is>
          <t>CODI</t>
        </is>
      </c>
    </row>
    <row r="77" ht="15" customHeight="1" s="86">
      <c r="B77" s="101" t="n">
        <v>45717</v>
      </c>
      <c r="C77" s="102" t="inlineStr">
        <is>
          <t>Frete e Transporte de Mercadorias - 03/2025</t>
        </is>
      </c>
      <c r="D77" s="102" t="inlineStr">
        <is>
          <t>Saída</t>
        </is>
      </c>
      <c r="E77" s="102" t="inlineStr">
        <is>
          <t>Frete e Transporte de Mercadorias</t>
        </is>
      </c>
      <c r="F77" s="103" t="n">
        <v>3285.31</v>
      </c>
      <c r="G77" s="104" t="inlineStr">
        <is>
          <t>03/2025</t>
        </is>
      </c>
      <c r="H77" s="104" t="inlineStr">
        <is>
          <t>CODI</t>
        </is>
      </c>
    </row>
    <row r="78" ht="15" customHeight="1" s="86">
      <c r="B78" s="101" t="n">
        <v>45717</v>
      </c>
      <c r="C78" s="102" t="inlineStr">
        <is>
          <t>Férias - 03/2025</t>
        </is>
      </c>
      <c r="D78" s="102" t="inlineStr">
        <is>
          <t>Saída</t>
        </is>
      </c>
      <c r="E78" s="102" t="inlineStr">
        <is>
          <t>Férias</t>
        </is>
      </c>
      <c r="F78" s="103" t="n">
        <v>6201.8</v>
      </c>
      <c r="G78" s="104" t="inlineStr">
        <is>
          <t>03/2025</t>
        </is>
      </c>
      <c r="H78" s="104" t="inlineStr">
        <is>
          <t>CODI</t>
        </is>
      </c>
    </row>
    <row r="79" ht="15" customHeight="1" s="86">
      <c r="B79" s="101" t="n">
        <v>45717</v>
      </c>
      <c r="C79" s="102" t="inlineStr">
        <is>
          <t>Honorários Contábeis (Contabilidade) - 03/2025</t>
        </is>
      </c>
      <c r="D79" s="102" t="inlineStr">
        <is>
          <t>Saída</t>
        </is>
      </c>
      <c r="E79" s="102" t="inlineStr">
        <is>
          <t>Honorários Contábeis (Contabilidade)</t>
        </is>
      </c>
      <c r="F79" s="103" t="n">
        <v>1100</v>
      </c>
      <c r="G79" s="104" t="inlineStr">
        <is>
          <t>03/2025</t>
        </is>
      </c>
      <c r="H79" s="104" t="inlineStr">
        <is>
          <t>CODI</t>
        </is>
      </c>
    </row>
    <row r="80" ht="15" customHeight="1" s="86">
      <c r="B80" s="101" t="n">
        <v>45717</v>
      </c>
      <c r="C80" s="102" t="inlineStr">
        <is>
          <t>Lavanderia - 03/2025</t>
        </is>
      </c>
      <c r="D80" s="102" t="inlineStr">
        <is>
          <t>Saída</t>
        </is>
      </c>
      <c r="E80" s="102" t="inlineStr">
        <is>
          <t>Lavanderia</t>
        </is>
      </c>
      <c r="F80" s="103" t="n">
        <v>21112.92</v>
      </c>
      <c r="G80" s="104" t="inlineStr">
        <is>
          <t>03/2025</t>
        </is>
      </c>
      <c r="H80" s="104" t="inlineStr">
        <is>
          <t>CODI</t>
        </is>
      </c>
    </row>
    <row r="81" ht="15" customHeight="1" s="86">
      <c r="B81" s="101" t="n">
        <v>45717</v>
      </c>
      <c r="C81" s="102" t="inlineStr">
        <is>
          <t>Material de Limpeza e Higiene - 03/2025</t>
        </is>
      </c>
      <c r="D81" s="102" t="inlineStr">
        <is>
          <t>Saída</t>
        </is>
      </c>
      <c r="E81" s="102" t="inlineStr">
        <is>
          <t>Material de Limpeza e Higiene</t>
        </is>
      </c>
      <c r="F81" s="103" t="n">
        <v>250</v>
      </c>
      <c r="G81" s="104" t="inlineStr">
        <is>
          <t>03/2025</t>
        </is>
      </c>
      <c r="H81" s="104" t="inlineStr">
        <is>
          <t>CODI</t>
        </is>
      </c>
    </row>
    <row r="82" ht="15" customHeight="1" s="86">
      <c r="B82" s="101" t="n">
        <v>45717</v>
      </c>
      <c r="C82" s="102" t="inlineStr">
        <is>
          <t>Outros Insumos - 03/2025</t>
        </is>
      </c>
      <c r="D82" s="102" t="inlineStr">
        <is>
          <t>Saída</t>
        </is>
      </c>
      <c r="E82" s="102" t="inlineStr">
        <is>
          <t>Outros Insumos</t>
        </is>
      </c>
      <c r="F82" s="103" t="n">
        <v>12.5</v>
      </c>
      <c r="G82" s="104" t="inlineStr">
        <is>
          <t>03/2025</t>
        </is>
      </c>
      <c r="H82" s="104" t="inlineStr">
        <is>
          <t>CODI</t>
        </is>
      </c>
    </row>
    <row r="83" ht="15" customHeight="1" s="86">
      <c r="B83" s="101" t="n">
        <v>45717</v>
      </c>
      <c r="C83" s="102" t="inlineStr">
        <is>
          <t>Publicidade - 03/2025</t>
        </is>
      </c>
      <c r="D83" s="102" t="inlineStr">
        <is>
          <t>Saída</t>
        </is>
      </c>
      <c r="E83" s="102" t="inlineStr">
        <is>
          <t>Publicidade</t>
        </is>
      </c>
      <c r="F83" s="103" t="n">
        <v>572.47</v>
      </c>
      <c r="G83" s="104" t="inlineStr">
        <is>
          <t>03/2025</t>
        </is>
      </c>
      <c r="H83" s="104" t="inlineStr">
        <is>
          <t>CODI</t>
        </is>
      </c>
    </row>
    <row r="84" ht="15" customHeight="1" s="86">
      <c r="B84" s="101" t="n">
        <v>45717</v>
      </c>
      <c r="C84" s="102" t="inlineStr">
        <is>
          <t>Salário e Ordenados - 03/2025</t>
        </is>
      </c>
      <c r="D84" s="102" t="inlineStr">
        <is>
          <t>Saída</t>
        </is>
      </c>
      <c r="E84" s="102" t="inlineStr">
        <is>
          <t>Salário e Ordenados</t>
        </is>
      </c>
      <c r="F84" s="103" t="n">
        <v>33116.48</v>
      </c>
      <c r="G84" s="104" t="inlineStr">
        <is>
          <t>03/2025</t>
        </is>
      </c>
      <c r="H84" s="104" t="inlineStr">
        <is>
          <t>CODI</t>
        </is>
      </c>
    </row>
    <row r="85" ht="15" customHeight="1" s="86">
      <c r="B85" s="101" t="n">
        <v>45717</v>
      </c>
      <c r="C85" s="102" t="inlineStr">
        <is>
          <t>Segurança e Monitoramento - 03/2025</t>
        </is>
      </c>
      <c r="D85" s="102" t="inlineStr">
        <is>
          <t>Saída</t>
        </is>
      </c>
      <c r="E85" s="102" t="inlineStr">
        <is>
          <t>Segurança e Monitoramento</t>
        </is>
      </c>
      <c r="F85" s="103" t="n">
        <v>140</v>
      </c>
      <c r="G85" s="104" t="inlineStr">
        <is>
          <t>03/2025</t>
        </is>
      </c>
      <c r="H85" s="104" t="inlineStr">
        <is>
          <t>CODI</t>
        </is>
      </c>
    </row>
    <row r="86" ht="15" customHeight="1" s="86">
      <c r="B86" s="101" t="n">
        <v>45717</v>
      </c>
      <c r="C86" s="102" t="inlineStr">
        <is>
          <t>Seguros - 03/2025</t>
        </is>
      </c>
      <c r="D86" s="102" t="inlineStr">
        <is>
          <t>Saída</t>
        </is>
      </c>
      <c r="E86" s="102" t="inlineStr">
        <is>
          <t>Seguros</t>
        </is>
      </c>
      <c r="F86" s="103" t="n">
        <v>269.82</v>
      </c>
      <c r="G86" s="104" t="inlineStr">
        <is>
          <t>03/2025</t>
        </is>
      </c>
      <c r="H86" s="104" t="inlineStr">
        <is>
          <t>CODI</t>
        </is>
      </c>
    </row>
    <row r="87" ht="15" customHeight="1" s="86">
      <c r="B87" s="101" t="n">
        <v>45717</v>
      </c>
      <c r="C87" s="102" t="inlineStr">
        <is>
          <t>Simples Nacional - 03/2025</t>
        </is>
      </c>
      <c r="D87" s="102" t="inlineStr">
        <is>
          <t>Saída</t>
        </is>
      </c>
      <c r="E87" s="102" t="inlineStr">
        <is>
          <t>Simples Nacional</t>
        </is>
      </c>
      <c r="F87" s="103" t="n">
        <v>14162.14</v>
      </c>
      <c r="G87" s="104" t="inlineStr">
        <is>
          <t>03/2025</t>
        </is>
      </c>
      <c r="H87" s="104" t="inlineStr">
        <is>
          <t>CODI</t>
        </is>
      </c>
    </row>
    <row r="88" ht="15" customHeight="1" s="86">
      <c r="B88" s="101" t="n">
        <v>45717</v>
      </c>
      <c r="C88" s="102" t="inlineStr">
        <is>
          <t>Tecidos - 03/2025</t>
        </is>
      </c>
      <c r="D88" s="102" t="inlineStr">
        <is>
          <t>Saída</t>
        </is>
      </c>
      <c r="E88" s="102" t="inlineStr">
        <is>
          <t>Tecidos</t>
        </is>
      </c>
      <c r="F88" s="103" t="n">
        <v>56133.72</v>
      </c>
      <c r="G88" s="104" t="inlineStr">
        <is>
          <t>03/2025</t>
        </is>
      </c>
      <c r="H88" s="104" t="inlineStr">
        <is>
          <t>CODI</t>
        </is>
      </c>
    </row>
    <row r="89" ht="15" customHeight="1" s="86">
      <c r="B89" s="101" t="n">
        <v>45717</v>
      </c>
      <c r="C89" s="102" t="inlineStr">
        <is>
          <t>Telefonia Fixa e Internet - 03/2025</t>
        </is>
      </c>
      <c r="D89" s="102" t="inlineStr">
        <is>
          <t>Saída</t>
        </is>
      </c>
      <c r="E89" s="102" t="inlineStr">
        <is>
          <t>Telefonia Fixa e Internet</t>
        </is>
      </c>
      <c r="F89" s="103" t="n">
        <v>240</v>
      </c>
      <c r="G89" s="104" t="inlineStr">
        <is>
          <t>03/2025</t>
        </is>
      </c>
      <c r="H89" s="104" t="inlineStr">
        <is>
          <t>CODI</t>
        </is>
      </c>
    </row>
    <row r="90" ht="15" customHeight="1" s="86">
      <c r="B90" s="101" t="n">
        <v>45717</v>
      </c>
      <c r="C90" s="102" t="inlineStr">
        <is>
          <t>Travete - 03/2025</t>
        </is>
      </c>
      <c r="D90" s="102" t="inlineStr">
        <is>
          <t>Saída</t>
        </is>
      </c>
      <c r="E90" s="102" t="inlineStr">
        <is>
          <t>Travete</t>
        </is>
      </c>
      <c r="F90" s="103" t="n">
        <v>4619</v>
      </c>
      <c r="G90" s="104" t="inlineStr">
        <is>
          <t>03/2025</t>
        </is>
      </c>
      <c r="H90" s="104" t="inlineStr">
        <is>
          <t>CODI</t>
        </is>
      </c>
    </row>
    <row r="91" ht="15" customHeight="1" s="86">
      <c r="B91" s="101" t="n">
        <v>45717</v>
      </c>
      <c r="C91" s="102" t="inlineStr">
        <is>
          <t>Títulos de Capitalização - 03/2025</t>
        </is>
      </c>
      <c r="D91" s="102" t="inlineStr">
        <is>
          <t>Saída</t>
        </is>
      </c>
      <c r="E91" s="102" t="inlineStr">
        <is>
          <t>Títulos de Capitalização</t>
        </is>
      </c>
      <c r="F91" s="103" t="n">
        <v>12013.66</v>
      </c>
      <c r="G91" s="104" t="inlineStr">
        <is>
          <t>03/2025</t>
        </is>
      </c>
      <c r="H91" s="104" t="inlineStr">
        <is>
          <t>CODI</t>
        </is>
      </c>
    </row>
    <row r="92" ht="15" customHeight="1" s="86">
      <c r="B92" s="101" t="n">
        <v>45717</v>
      </c>
      <c r="C92" s="102" t="inlineStr">
        <is>
          <t>Vale Transporte - 03/2025</t>
        </is>
      </c>
      <c r="D92" s="102" t="inlineStr">
        <is>
          <t>Saída</t>
        </is>
      </c>
      <c r="E92" s="102" t="inlineStr">
        <is>
          <t>Vale Transporte</t>
        </is>
      </c>
      <c r="F92" s="103" t="n">
        <v>2780</v>
      </c>
      <c r="G92" s="104" t="inlineStr">
        <is>
          <t>03/2025</t>
        </is>
      </c>
      <c r="H92" s="104" t="inlineStr">
        <is>
          <t>CODI</t>
        </is>
      </c>
    </row>
    <row r="93" ht="15" customHeight="1" s="86">
      <c r="B93" s="101" t="n">
        <v>45717</v>
      </c>
      <c r="C93" s="102" t="inlineStr">
        <is>
          <t>Vales e Adiantamentos - 03/2025</t>
        </is>
      </c>
      <c r="D93" s="102" t="inlineStr">
        <is>
          <t>Saída</t>
        </is>
      </c>
      <c r="E93" s="102" t="inlineStr">
        <is>
          <t>Vales e Adiantamentos</t>
        </is>
      </c>
      <c r="F93" s="103" t="n">
        <v>3650.02</v>
      </c>
      <c r="G93" s="104" t="inlineStr">
        <is>
          <t>03/2025</t>
        </is>
      </c>
      <c r="H93" s="104" t="inlineStr">
        <is>
          <t>CODI</t>
        </is>
      </c>
    </row>
    <row r="94" ht="15" customHeight="1" s="86">
      <c r="B94" s="101" t="n">
        <v>45717</v>
      </c>
      <c r="C94" s="102" t="inlineStr">
        <is>
          <t>Web Site e Sistema ERP - 03/2025</t>
        </is>
      </c>
      <c r="D94" s="102" t="inlineStr">
        <is>
          <t>Saída</t>
        </is>
      </c>
      <c r="E94" s="102" t="inlineStr">
        <is>
          <t>Web Site e Sistema ERP</t>
        </is>
      </c>
      <c r="F94" s="103" t="n">
        <v>890</v>
      </c>
      <c r="G94" s="104" t="inlineStr">
        <is>
          <t>03/2025</t>
        </is>
      </c>
      <c r="H94" s="104" t="inlineStr">
        <is>
          <t>CODI</t>
        </is>
      </c>
    </row>
    <row r="95" ht="15" customHeight="1" s="86">
      <c r="B95" s="101" t="n">
        <v>45717</v>
      </c>
      <c r="C95" s="102" t="inlineStr">
        <is>
          <t>Água - 03/2025</t>
        </is>
      </c>
      <c r="D95" s="102" t="inlineStr">
        <is>
          <t>Saída</t>
        </is>
      </c>
      <c r="E95" s="102" t="inlineStr">
        <is>
          <t>Água</t>
        </is>
      </c>
      <c r="F95" s="103" t="n">
        <v>196.62</v>
      </c>
      <c r="G95" s="104" t="inlineStr">
        <is>
          <t>03/2025</t>
        </is>
      </c>
      <c r="H95" s="104" t="inlineStr">
        <is>
          <t>CODI</t>
        </is>
      </c>
    </row>
    <row r="96" ht="15" customHeight="1" s="86">
      <c r="B96" s="101" t="n">
        <v>45717</v>
      </c>
      <c r="C96" s="102" t="inlineStr">
        <is>
          <t>Acabamento Externo - 03/2025</t>
        </is>
      </c>
      <c r="D96" s="102" t="inlineStr">
        <is>
          <t>Saída</t>
        </is>
      </c>
      <c r="E96" s="102" t="inlineStr">
        <is>
          <t>Acabamento Externo</t>
        </is>
      </c>
      <c r="F96" s="103" t="n">
        <v>12707.2</v>
      </c>
      <c r="G96" s="104" t="inlineStr">
        <is>
          <t>03/2025</t>
        </is>
      </c>
      <c r="H96" s="104" t="inlineStr">
        <is>
          <t>CODI</t>
        </is>
      </c>
    </row>
    <row r="97" ht="15" customHeight="1" s="86">
      <c r="B97" s="101" t="n">
        <v>45717</v>
      </c>
      <c r="C97" s="102" t="inlineStr">
        <is>
          <t>Alimentação - 03/2025</t>
        </is>
      </c>
      <c r="D97" s="102" t="inlineStr">
        <is>
          <t>Saída</t>
        </is>
      </c>
      <c r="E97" s="102" t="inlineStr">
        <is>
          <t>Alimentação</t>
        </is>
      </c>
      <c r="F97" s="103" t="n">
        <v>132.6</v>
      </c>
      <c r="G97" s="104" t="inlineStr">
        <is>
          <t>03/2025</t>
        </is>
      </c>
      <c r="H97" s="104" t="inlineStr">
        <is>
          <t>CODI</t>
        </is>
      </c>
    </row>
    <row r="98" ht="15" customHeight="1" s="86">
      <c r="B98" s="101" t="n">
        <v>45717</v>
      </c>
      <c r="C98" s="102" t="inlineStr">
        <is>
          <t>Combustíveis - 03/2025</t>
        </is>
      </c>
      <c r="D98" s="102" t="inlineStr">
        <is>
          <t>Saída</t>
        </is>
      </c>
      <c r="E98" s="102" t="inlineStr">
        <is>
          <t>Combustíveis</t>
        </is>
      </c>
      <c r="F98" s="103" t="n">
        <v>887.51</v>
      </c>
      <c r="G98" s="104" t="inlineStr">
        <is>
          <t>03/2025</t>
        </is>
      </c>
      <c r="H98" s="104" t="inlineStr">
        <is>
          <t>CODI</t>
        </is>
      </c>
    </row>
    <row r="99" ht="15" customHeight="1" s="86">
      <c r="B99" s="101" t="n">
        <v>45717</v>
      </c>
      <c r="C99" s="102" t="inlineStr">
        <is>
          <t>Criação de Modelos - 03/2025</t>
        </is>
      </c>
      <c r="D99" s="102" t="inlineStr">
        <is>
          <t>Saída</t>
        </is>
      </c>
      <c r="E99" s="102" t="inlineStr">
        <is>
          <t>Criação de Modelos</t>
        </is>
      </c>
      <c r="F99" s="103" t="n">
        <v>3356.39</v>
      </c>
      <c r="G99" s="104" t="inlineStr">
        <is>
          <t>03/2025</t>
        </is>
      </c>
      <c r="H99" s="104" t="inlineStr">
        <is>
          <t>CODI</t>
        </is>
      </c>
    </row>
    <row r="100" ht="15" customHeight="1" s="86">
      <c r="B100" s="101" t="n">
        <v>45717</v>
      </c>
      <c r="C100" s="102" t="inlineStr">
        <is>
          <t>Embalagens - 03/2025</t>
        </is>
      </c>
      <c r="D100" s="102" t="inlineStr">
        <is>
          <t>Saída</t>
        </is>
      </c>
      <c r="E100" s="102" t="inlineStr">
        <is>
          <t>Embalagens</t>
        </is>
      </c>
      <c r="F100" s="103" t="n">
        <v>1281.03</v>
      </c>
      <c r="G100" s="104" t="inlineStr">
        <is>
          <t>03/2025</t>
        </is>
      </c>
      <c r="H100" s="104" t="inlineStr">
        <is>
          <t>CODI</t>
        </is>
      </c>
    </row>
    <row r="101" ht="15" customHeight="1" s="86">
      <c r="B101" s="101" t="n">
        <v>45717</v>
      </c>
      <c r="C101" s="102" t="inlineStr">
        <is>
          <t>Exame Adminissional/Demissional - 03/2025</t>
        </is>
      </c>
      <c r="D101" s="102" t="inlineStr">
        <is>
          <t>Saída</t>
        </is>
      </c>
      <c r="E101" s="102" t="inlineStr">
        <is>
          <t>Exame Adminissional/Demissional</t>
        </is>
      </c>
      <c r="F101" s="103" t="n">
        <v>40</v>
      </c>
      <c r="G101" s="104" t="inlineStr">
        <is>
          <t>03/2025</t>
        </is>
      </c>
      <c r="H101" s="104" t="inlineStr">
        <is>
          <t>CODI</t>
        </is>
      </c>
    </row>
    <row r="102" ht="15" customHeight="1" s="86">
      <c r="B102" s="101" t="n">
        <v>45717</v>
      </c>
      <c r="C102" s="102" t="inlineStr">
        <is>
          <t>Multas - 03/2025</t>
        </is>
      </c>
      <c r="D102" s="102" t="inlineStr">
        <is>
          <t>Saída</t>
        </is>
      </c>
      <c r="E102" s="102" t="inlineStr">
        <is>
          <t>Multas</t>
        </is>
      </c>
      <c r="F102" s="103" t="n">
        <v>156.18</v>
      </c>
      <c r="G102" s="104" t="inlineStr">
        <is>
          <t>03/2025</t>
        </is>
      </c>
      <c r="H102" s="104" t="inlineStr">
        <is>
          <t>CODI</t>
        </is>
      </c>
    </row>
    <row r="103" ht="15" customHeight="1" s="86">
      <c r="B103" s="101" t="n">
        <v>45717</v>
      </c>
      <c r="C103" s="102" t="inlineStr">
        <is>
          <t>Bordado Industrial - 03/2025</t>
        </is>
      </c>
      <c r="D103" s="102" t="inlineStr">
        <is>
          <t>Saída</t>
        </is>
      </c>
      <c r="E103" s="102" t="inlineStr">
        <is>
          <t>Bordado Industrial</t>
        </is>
      </c>
      <c r="F103" s="103" t="n">
        <v>1980</v>
      </c>
      <c r="G103" s="104" t="inlineStr">
        <is>
          <t>03/2025</t>
        </is>
      </c>
      <c r="H103" s="104" t="inlineStr">
        <is>
          <t>CODI</t>
        </is>
      </c>
    </row>
    <row r="104" ht="15" customHeight="1" s="86">
      <c r="B104" s="101" t="n">
        <v>45717</v>
      </c>
      <c r="C104" s="102" t="inlineStr">
        <is>
          <t>Comissão de vendedores - 03/2025</t>
        </is>
      </c>
      <c r="D104" s="102" t="inlineStr">
        <is>
          <t>Saída</t>
        </is>
      </c>
      <c r="E104" s="102" t="inlineStr">
        <is>
          <t>Comissão de vendedores</t>
        </is>
      </c>
      <c r="F104" s="103" t="n">
        <v>2236.11</v>
      </c>
      <c r="G104" s="104" t="inlineStr">
        <is>
          <t>03/2025</t>
        </is>
      </c>
      <c r="H104" s="104" t="inlineStr">
        <is>
          <t>CODI</t>
        </is>
      </c>
    </row>
    <row r="105" ht="15" customHeight="1" s="86">
      <c r="B105" s="101" t="n">
        <v>45717</v>
      </c>
      <c r="C105" s="102" t="inlineStr">
        <is>
          <t>Consulta de Crédito Cliente - 03/2025</t>
        </is>
      </c>
      <c r="D105" s="102" t="inlineStr">
        <is>
          <t>Saída</t>
        </is>
      </c>
      <c r="E105" s="102" t="inlineStr">
        <is>
          <t>Consulta de Crédito Cliente</t>
        </is>
      </c>
      <c r="F105" s="103" t="n">
        <v>487.21</v>
      </c>
      <c r="G105" s="104" t="inlineStr">
        <is>
          <t>03/2025</t>
        </is>
      </c>
      <c r="H105" s="104" t="inlineStr">
        <is>
          <t>CODI</t>
        </is>
      </c>
    </row>
    <row r="106" ht="15" customHeight="1" s="86">
      <c r="B106" s="101" t="n">
        <v>45717</v>
      </c>
      <c r="C106" s="102" t="inlineStr">
        <is>
          <t>Despesa com Sindicatos - 03/2025</t>
        </is>
      </c>
      <c r="D106" s="102" t="inlineStr">
        <is>
          <t>Saída</t>
        </is>
      </c>
      <c r="E106" s="102" t="inlineStr">
        <is>
          <t>Despesa com Sindicatos</t>
        </is>
      </c>
      <c r="F106" s="103" t="n">
        <v>800</v>
      </c>
      <c r="G106" s="104" t="inlineStr">
        <is>
          <t>03/2025</t>
        </is>
      </c>
      <c r="H106" s="104" t="inlineStr">
        <is>
          <t>CODI</t>
        </is>
      </c>
    </row>
    <row r="107" ht="15" customHeight="1" s="86">
      <c r="B107" s="101" t="n">
        <v>45717</v>
      </c>
      <c r="C107" s="102" t="inlineStr">
        <is>
          <t>Manutenção de Moveis e Utensílios - 03/2025</t>
        </is>
      </c>
      <c r="D107" s="102" t="inlineStr">
        <is>
          <t>Saída</t>
        </is>
      </c>
      <c r="E107" s="102" t="inlineStr">
        <is>
          <t>Manutenção de Moveis e Utensílios</t>
        </is>
      </c>
      <c r="F107" s="103" t="n">
        <v>50</v>
      </c>
      <c r="G107" s="104" t="inlineStr">
        <is>
          <t>03/2025</t>
        </is>
      </c>
      <c r="H107" s="104" t="inlineStr">
        <is>
          <t>CODI</t>
        </is>
      </c>
    </row>
    <row r="108" ht="15" customHeight="1" s="86">
      <c r="B108" s="101" t="n">
        <v>45717</v>
      </c>
      <c r="C108" s="102" t="inlineStr">
        <is>
          <t>Manutenção de Veiculos e Estacionamento - 03/2025</t>
        </is>
      </c>
      <c r="D108" s="102" t="inlineStr">
        <is>
          <t>Saída</t>
        </is>
      </c>
      <c r="E108" s="102" t="inlineStr">
        <is>
          <t>Manutenção de Veiculos e Estacionamento</t>
        </is>
      </c>
      <c r="F108" s="103" t="n">
        <v>86</v>
      </c>
      <c r="G108" s="104" t="inlineStr">
        <is>
          <t>03/2025</t>
        </is>
      </c>
      <c r="H108" s="104" t="inlineStr">
        <is>
          <t>CODI</t>
        </is>
      </c>
    </row>
    <row r="109" ht="15" customHeight="1" s="86">
      <c r="B109" s="101" t="n">
        <v>45717</v>
      </c>
      <c r="C109" s="102" t="inlineStr">
        <is>
          <t>Multas e Juros por Atraso - 03/2025</t>
        </is>
      </c>
      <c r="D109" s="102" t="inlineStr">
        <is>
          <t>Saída</t>
        </is>
      </c>
      <c r="E109" s="102" t="inlineStr">
        <is>
          <t>Multas e Juros por Atraso</t>
        </is>
      </c>
      <c r="F109" s="103" t="n">
        <v>3.7</v>
      </c>
      <c r="G109" s="104" t="inlineStr">
        <is>
          <t>03/2025</t>
        </is>
      </c>
      <c r="H109" s="104" t="inlineStr">
        <is>
          <t>CODI</t>
        </is>
      </c>
    </row>
    <row r="110" ht="15" customHeight="1" s="86">
      <c r="B110" s="101" t="n">
        <v>45717</v>
      </c>
      <c r="C110" s="102" t="inlineStr">
        <is>
          <t>Premiações e Abonos - 03/2025</t>
        </is>
      </c>
      <c r="D110" s="102" t="inlineStr">
        <is>
          <t>Saída</t>
        </is>
      </c>
      <c r="E110" s="102" t="inlineStr">
        <is>
          <t>Premiações e Abonos</t>
        </is>
      </c>
      <c r="F110" s="103" t="n">
        <v>300</v>
      </c>
      <c r="G110" s="104" t="inlineStr">
        <is>
          <t>03/2025</t>
        </is>
      </c>
      <c r="H110" s="104" t="inlineStr">
        <is>
          <t>CODI</t>
        </is>
      </c>
    </row>
    <row r="111" ht="15" customHeight="1" s="86">
      <c r="B111" s="101" t="n">
        <v>45717</v>
      </c>
      <c r="C111" s="102" t="inlineStr">
        <is>
          <t>Tarifas e Custos de Op. Bancárias - 03/2025</t>
        </is>
      </c>
      <c r="D111" s="102" t="inlineStr">
        <is>
          <t>Saída</t>
        </is>
      </c>
      <c r="E111" s="102" t="inlineStr">
        <is>
          <t>Tarifas e Custos de Op. Bancárias</t>
        </is>
      </c>
      <c r="F111" s="103" t="n">
        <v>3.3</v>
      </c>
      <c r="G111" s="104" t="inlineStr">
        <is>
          <t>03/2025</t>
        </is>
      </c>
      <c r="H111" s="104" t="inlineStr">
        <is>
          <t>CODI</t>
        </is>
      </c>
    </row>
    <row r="112" ht="15" customHeight="1" s="86">
      <c r="B112" s="101" t="n">
        <v>45717</v>
      </c>
      <c r="C112" s="102" t="inlineStr">
        <is>
          <t>Telefonia Móvel - 03/2025</t>
        </is>
      </c>
      <c r="D112" s="102" t="inlineStr">
        <is>
          <t>Saída</t>
        </is>
      </c>
      <c r="E112" s="102" t="inlineStr">
        <is>
          <t>Telefonia Móvel</t>
        </is>
      </c>
      <c r="F112" s="103" t="n">
        <v>520</v>
      </c>
      <c r="G112" s="104" t="inlineStr">
        <is>
          <t>03/2025</t>
        </is>
      </c>
      <c r="H112" s="104" t="inlineStr">
        <is>
          <t>CODI</t>
        </is>
      </c>
    </row>
    <row r="113" ht="15" customHeight="1" s="86">
      <c r="B113" s="101" t="n">
        <v>45748</v>
      </c>
      <c r="C113" s="102" t="inlineStr">
        <is>
          <t>Vendas - 04/2025</t>
        </is>
      </c>
      <c r="D113" s="102" t="inlineStr">
        <is>
          <t>Entrada</t>
        </is>
      </c>
      <c r="E113" s="102" t="inlineStr">
        <is>
          <t>Vendas</t>
        </is>
      </c>
      <c r="F113" s="103" t="n">
        <v>148595.57</v>
      </c>
      <c r="G113" s="104" t="inlineStr">
        <is>
          <t>04/2025</t>
        </is>
      </c>
      <c r="H113" s="104" t="inlineStr">
        <is>
          <t>CODI</t>
        </is>
      </c>
    </row>
    <row r="114" ht="15" customHeight="1" s="86">
      <c r="B114" s="101" t="n">
        <v>45748</v>
      </c>
      <c r="C114" s="102" t="inlineStr">
        <is>
          <t>Acertos e Recisões - 04/2025</t>
        </is>
      </c>
      <c r="D114" s="102" t="inlineStr">
        <is>
          <t>Saída</t>
        </is>
      </c>
      <c r="E114" s="102" t="inlineStr">
        <is>
          <t>Acertos e Recisões</t>
        </is>
      </c>
      <c r="F114" s="103" t="n">
        <v>5353.37</v>
      </c>
      <c r="G114" s="104" t="inlineStr">
        <is>
          <t>04/2025</t>
        </is>
      </c>
      <c r="H114" s="104" t="inlineStr">
        <is>
          <t>CODI</t>
        </is>
      </c>
    </row>
    <row r="115" ht="15" customHeight="1" s="86">
      <c r="B115" s="101" t="n">
        <v>45748</v>
      </c>
      <c r="C115" s="102" t="inlineStr">
        <is>
          <t>Aluguéis e Condomínios - 04/2025</t>
        </is>
      </c>
      <c r="D115" s="102" t="inlineStr">
        <is>
          <t>Saída</t>
        </is>
      </c>
      <c r="E115" s="102" t="inlineStr">
        <is>
          <t>Aluguéis e Condomínios</t>
        </is>
      </c>
      <c r="F115" s="103" t="n">
        <v>5514.62</v>
      </c>
      <c r="G115" s="104" t="inlineStr">
        <is>
          <t>04/2025</t>
        </is>
      </c>
      <c r="H115" s="104" t="inlineStr">
        <is>
          <t>CODI</t>
        </is>
      </c>
    </row>
    <row r="116" ht="15" customHeight="1" s="86">
      <c r="B116" s="101" t="n">
        <v>45748</v>
      </c>
      <c r="C116" s="102" t="inlineStr">
        <is>
          <t>Aviamento - 04/2025</t>
        </is>
      </c>
      <c r="D116" s="102" t="inlineStr">
        <is>
          <t>Saída</t>
        </is>
      </c>
      <c r="E116" s="102" t="inlineStr">
        <is>
          <t>Aviamento</t>
        </is>
      </c>
      <c r="F116" s="103" t="n">
        <v>4113.66</v>
      </c>
      <c r="G116" s="104" t="inlineStr">
        <is>
          <t>04/2025</t>
        </is>
      </c>
      <c r="H116" s="104" t="inlineStr">
        <is>
          <t>CODI</t>
        </is>
      </c>
    </row>
    <row r="117" ht="15" customHeight="1" s="86">
      <c r="B117" s="101" t="n">
        <v>45748</v>
      </c>
      <c r="C117" s="102" t="inlineStr">
        <is>
          <t>Compra de Veículos - 04/2025</t>
        </is>
      </c>
      <c r="D117" s="102" t="inlineStr">
        <is>
          <t>Saída</t>
        </is>
      </c>
      <c r="E117" s="102" t="inlineStr">
        <is>
          <t>Compra de Veículos</t>
        </is>
      </c>
      <c r="F117" s="103" t="n">
        <v>1742</v>
      </c>
      <c r="G117" s="104" t="inlineStr">
        <is>
          <t>04/2025</t>
        </is>
      </c>
      <c r="H117" s="104" t="inlineStr">
        <is>
          <t>CODI</t>
        </is>
      </c>
    </row>
    <row r="118" ht="15" customHeight="1" s="86">
      <c r="B118" s="101" t="n">
        <v>45748</v>
      </c>
      <c r="C118" s="102" t="inlineStr">
        <is>
          <t>Despesa não Identificada - 04/2025</t>
        </is>
      </c>
      <c r="D118" s="102" t="inlineStr">
        <is>
          <t>Saída</t>
        </is>
      </c>
      <c r="E118" s="102" t="inlineStr">
        <is>
          <t>Despesa não Identificada</t>
        </is>
      </c>
      <c r="F118" s="103" t="n">
        <v>172383.59</v>
      </c>
      <c r="G118" s="104" t="inlineStr">
        <is>
          <t>04/2025</t>
        </is>
      </c>
      <c r="H118" s="104" t="inlineStr">
        <is>
          <t>CODI</t>
        </is>
      </c>
    </row>
    <row r="119" ht="15" customHeight="1" s="86">
      <c r="B119" s="101" t="n">
        <v>45748</v>
      </c>
      <c r="C119" s="102" t="inlineStr">
        <is>
          <t>Energia Elétrica - 04/2025</t>
        </is>
      </c>
      <c r="D119" s="102" t="inlineStr">
        <is>
          <t>Saída</t>
        </is>
      </c>
      <c r="E119" s="102" t="inlineStr">
        <is>
          <t>Energia Elétrica</t>
        </is>
      </c>
      <c r="F119" s="103" t="n">
        <v>290.1</v>
      </c>
      <c r="G119" s="104" t="inlineStr">
        <is>
          <t>04/2025</t>
        </is>
      </c>
      <c r="H119" s="104" t="inlineStr">
        <is>
          <t>CODI</t>
        </is>
      </c>
    </row>
    <row r="120" ht="15" customHeight="1" s="86">
      <c r="B120" s="101" t="n">
        <v>45748</v>
      </c>
      <c r="C120" s="102" t="inlineStr">
        <is>
          <t>Etiquetas - 04/2025</t>
        </is>
      </c>
      <c r="D120" s="102" t="inlineStr">
        <is>
          <t>Saída</t>
        </is>
      </c>
      <c r="E120" s="102" t="inlineStr">
        <is>
          <t>Etiquetas</t>
        </is>
      </c>
      <c r="F120" s="103" t="n">
        <v>3121.57</v>
      </c>
      <c r="G120" s="104" t="inlineStr">
        <is>
          <t>04/2025</t>
        </is>
      </c>
      <c r="H120" s="104" t="inlineStr">
        <is>
          <t>CODI</t>
        </is>
      </c>
    </row>
    <row r="121" ht="15" customHeight="1" s="86">
      <c r="B121" s="101" t="n">
        <v>45748</v>
      </c>
      <c r="C121" s="102" t="inlineStr">
        <is>
          <t>Facção - 04/2025</t>
        </is>
      </c>
      <c r="D121" s="102" t="inlineStr">
        <is>
          <t>Saída</t>
        </is>
      </c>
      <c r="E121" s="102" t="inlineStr">
        <is>
          <t>Facção</t>
        </is>
      </c>
      <c r="F121" s="103" t="n">
        <v>54454.5</v>
      </c>
      <c r="G121" s="104" t="inlineStr">
        <is>
          <t>04/2025</t>
        </is>
      </c>
      <c r="H121" s="104" t="inlineStr">
        <is>
          <t>CODI</t>
        </is>
      </c>
    </row>
    <row r="122" ht="15" customHeight="1" s="86">
      <c r="B122" s="101" t="n">
        <v>45748</v>
      </c>
      <c r="C122" s="102" t="inlineStr">
        <is>
          <t>Frete e Transporte de Mercadorias - 04/2025</t>
        </is>
      </c>
      <c r="D122" s="102" t="inlineStr">
        <is>
          <t>Saída</t>
        </is>
      </c>
      <c r="E122" s="102" t="inlineStr">
        <is>
          <t>Frete e Transporte de Mercadorias</t>
        </is>
      </c>
      <c r="F122" s="103" t="n">
        <v>4631.51</v>
      </c>
      <c r="G122" s="104" t="inlineStr">
        <is>
          <t>04/2025</t>
        </is>
      </c>
      <c r="H122" s="104" t="inlineStr">
        <is>
          <t>CODI</t>
        </is>
      </c>
    </row>
    <row r="123" ht="15" customHeight="1" s="86">
      <c r="B123" s="101" t="n">
        <v>45748</v>
      </c>
      <c r="C123" s="102" t="inlineStr">
        <is>
          <t>Honorários Contábeis (Contabilidade) - 04/2025</t>
        </is>
      </c>
      <c r="D123" s="102" t="inlineStr">
        <is>
          <t>Saída</t>
        </is>
      </c>
      <c r="E123" s="102" t="inlineStr">
        <is>
          <t>Honorários Contábeis (Contabilidade)</t>
        </is>
      </c>
      <c r="F123" s="103" t="n">
        <v>1100</v>
      </c>
      <c r="G123" s="104" t="inlineStr">
        <is>
          <t>04/2025</t>
        </is>
      </c>
      <c r="H123" s="104" t="inlineStr">
        <is>
          <t>CODI</t>
        </is>
      </c>
    </row>
    <row r="124" ht="15" customHeight="1" s="86">
      <c r="B124" s="101" t="n">
        <v>45748</v>
      </c>
      <c r="C124" s="102" t="inlineStr">
        <is>
          <t>Lavanderia - 04/2025</t>
        </is>
      </c>
      <c r="D124" s="102" t="inlineStr">
        <is>
          <t>Saída</t>
        </is>
      </c>
      <c r="E124" s="102" t="inlineStr">
        <is>
          <t>Lavanderia</t>
        </is>
      </c>
      <c r="F124" s="103" t="n">
        <v>25235</v>
      </c>
      <c r="G124" s="104" t="inlineStr">
        <is>
          <t>04/2025</t>
        </is>
      </c>
      <c r="H124" s="104" t="inlineStr">
        <is>
          <t>CODI</t>
        </is>
      </c>
    </row>
    <row r="125" ht="15" customHeight="1" s="86">
      <c r="B125" s="101" t="n">
        <v>45748</v>
      </c>
      <c r="C125" s="102" t="inlineStr">
        <is>
          <t>Material de Limpeza e Higiene - 04/2025</t>
        </is>
      </c>
      <c r="D125" s="102" t="inlineStr">
        <is>
          <t>Saída</t>
        </is>
      </c>
      <c r="E125" s="102" t="inlineStr">
        <is>
          <t>Material de Limpeza e Higiene</t>
        </is>
      </c>
      <c r="F125" s="103" t="n">
        <v>48.93</v>
      </c>
      <c r="G125" s="104" t="inlineStr">
        <is>
          <t>04/2025</t>
        </is>
      </c>
      <c r="H125" s="104" t="inlineStr">
        <is>
          <t>CODI</t>
        </is>
      </c>
    </row>
    <row r="126" ht="15" customHeight="1" s="86">
      <c r="B126" s="101" t="n">
        <v>45748</v>
      </c>
      <c r="C126" s="102" t="inlineStr">
        <is>
          <t>Publicidade - 04/2025</t>
        </is>
      </c>
      <c r="D126" s="102" t="inlineStr">
        <is>
          <t>Saída</t>
        </is>
      </c>
      <c r="E126" s="102" t="inlineStr">
        <is>
          <t>Publicidade</t>
        </is>
      </c>
      <c r="F126" s="103" t="n">
        <v>3907.98</v>
      </c>
      <c r="G126" s="104" t="inlineStr">
        <is>
          <t>04/2025</t>
        </is>
      </c>
      <c r="H126" s="104" t="inlineStr">
        <is>
          <t>CODI</t>
        </is>
      </c>
    </row>
    <row r="127" ht="15" customHeight="1" s="86">
      <c r="B127" s="101" t="n">
        <v>45748</v>
      </c>
      <c r="C127" s="102" t="inlineStr">
        <is>
          <t>Salário e Ordenados - 04/2025</t>
        </is>
      </c>
      <c r="D127" s="102" t="inlineStr">
        <is>
          <t>Saída</t>
        </is>
      </c>
      <c r="E127" s="102" t="inlineStr">
        <is>
          <t>Salário e Ordenados</t>
        </is>
      </c>
      <c r="F127" s="103" t="n">
        <v>27082.92</v>
      </c>
      <c r="G127" s="104" t="inlineStr">
        <is>
          <t>04/2025</t>
        </is>
      </c>
      <c r="H127" s="104" t="inlineStr">
        <is>
          <t>CODI</t>
        </is>
      </c>
    </row>
    <row r="128" ht="15" customHeight="1" s="86">
      <c r="B128" s="101" t="n">
        <v>45748</v>
      </c>
      <c r="C128" s="102" t="inlineStr">
        <is>
          <t>Segurança e Monitoramento - 04/2025</t>
        </is>
      </c>
      <c r="D128" s="102" t="inlineStr">
        <is>
          <t>Saída</t>
        </is>
      </c>
      <c r="E128" s="102" t="inlineStr">
        <is>
          <t>Segurança e Monitoramento</t>
        </is>
      </c>
      <c r="F128" s="103" t="n">
        <v>140</v>
      </c>
      <c r="G128" s="104" t="inlineStr">
        <is>
          <t>04/2025</t>
        </is>
      </c>
      <c r="H128" s="104" t="inlineStr">
        <is>
          <t>CODI</t>
        </is>
      </c>
    </row>
    <row r="129" ht="15" customHeight="1" s="86">
      <c r="B129" s="101" t="n">
        <v>45748</v>
      </c>
      <c r="C129" s="102" t="inlineStr">
        <is>
          <t>Seguros - 04/2025</t>
        </is>
      </c>
      <c r="D129" s="102" t="inlineStr">
        <is>
          <t>Saída</t>
        </is>
      </c>
      <c r="E129" s="102" t="inlineStr">
        <is>
          <t>Seguros</t>
        </is>
      </c>
      <c r="F129" s="103" t="n">
        <v>269.82</v>
      </c>
      <c r="G129" s="104" t="inlineStr">
        <is>
          <t>04/2025</t>
        </is>
      </c>
      <c r="H129" s="104" t="inlineStr">
        <is>
          <t>CODI</t>
        </is>
      </c>
    </row>
    <row r="130" ht="15" customHeight="1" s="86">
      <c r="B130" s="101" t="n">
        <v>45748</v>
      </c>
      <c r="C130" s="102" t="inlineStr">
        <is>
          <t>Simples Nacional - 04/2025</t>
        </is>
      </c>
      <c r="D130" s="102" t="inlineStr">
        <is>
          <t>Saída</t>
        </is>
      </c>
      <c r="E130" s="102" t="inlineStr">
        <is>
          <t>Simples Nacional</t>
        </is>
      </c>
      <c r="F130" s="103" t="n">
        <v>10586.11</v>
      </c>
      <c r="G130" s="104" t="inlineStr">
        <is>
          <t>04/2025</t>
        </is>
      </c>
      <c r="H130" s="104" t="inlineStr">
        <is>
          <t>CODI</t>
        </is>
      </c>
    </row>
    <row r="131" ht="15" customHeight="1" s="86">
      <c r="B131" s="101" t="n">
        <v>45748</v>
      </c>
      <c r="C131" s="102" t="inlineStr">
        <is>
          <t>Tecidos - 04/2025</t>
        </is>
      </c>
      <c r="D131" s="102" t="inlineStr">
        <is>
          <t>Saída</t>
        </is>
      </c>
      <c r="E131" s="102" t="inlineStr">
        <is>
          <t>Tecidos</t>
        </is>
      </c>
      <c r="F131" s="103" t="n">
        <v>145124.9</v>
      </c>
      <c r="G131" s="104" t="inlineStr">
        <is>
          <t>04/2025</t>
        </is>
      </c>
      <c r="H131" s="104" t="inlineStr">
        <is>
          <t>CODI</t>
        </is>
      </c>
    </row>
    <row r="132" ht="15" customHeight="1" s="86">
      <c r="B132" s="101" t="n">
        <v>45748</v>
      </c>
      <c r="C132" s="102" t="inlineStr">
        <is>
          <t>Telefonia Fixa e Internet - 04/2025</t>
        </is>
      </c>
      <c r="D132" s="102" t="inlineStr">
        <is>
          <t>Saída</t>
        </is>
      </c>
      <c r="E132" s="102" t="inlineStr">
        <is>
          <t>Telefonia Fixa e Internet</t>
        </is>
      </c>
      <c r="F132" s="103" t="n">
        <v>263.22</v>
      </c>
      <c r="G132" s="104" t="inlineStr">
        <is>
          <t>04/2025</t>
        </is>
      </c>
      <c r="H132" s="104" t="inlineStr">
        <is>
          <t>CODI</t>
        </is>
      </c>
    </row>
    <row r="133" ht="15" customHeight="1" s="86">
      <c r="B133" s="101" t="n">
        <v>45748</v>
      </c>
      <c r="C133" s="102" t="inlineStr">
        <is>
          <t>Travete - 04/2025</t>
        </is>
      </c>
      <c r="D133" s="102" t="inlineStr">
        <is>
          <t>Saída</t>
        </is>
      </c>
      <c r="E133" s="102" t="inlineStr">
        <is>
          <t>Travete</t>
        </is>
      </c>
      <c r="F133" s="103" t="n">
        <v>2571</v>
      </c>
      <c r="G133" s="104" t="inlineStr">
        <is>
          <t>04/2025</t>
        </is>
      </c>
      <c r="H133" s="104" t="inlineStr">
        <is>
          <t>CODI</t>
        </is>
      </c>
    </row>
    <row r="134" ht="15" customHeight="1" s="86">
      <c r="B134" s="101" t="n">
        <v>45748</v>
      </c>
      <c r="C134" s="102" t="inlineStr">
        <is>
          <t>Títulos de Capitalização - 04/2025</t>
        </is>
      </c>
      <c r="D134" s="102" t="inlineStr">
        <is>
          <t>Saída</t>
        </is>
      </c>
      <c r="E134" s="102" t="inlineStr">
        <is>
          <t>Títulos de Capitalização</t>
        </is>
      </c>
      <c r="F134" s="103" t="n">
        <v>12013.66</v>
      </c>
      <c r="G134" s="104" t="inlineStr">
        <is>
          <t>04/2025</t>
        </is>
      </c>
      <c r="H134" s="104" t="inlineStr">
        <is>
          <t>CODI</t>
        </is>
      </c>
    </row>
    <row r="135" ht="15" customHeight="1" s="86">
      <c r="B135" s="101" t="n">
        <v>45748</v>
      </c>
      <c r="C135" s="102" t="inlineStr">
        <is>
          <t>Vale Transporte - 04/2025</t>
        </is>
      </c>
      <c r="D135" s="102" t="inlineStr">
        <is>
          <t>Saída</t>
        </is>
      </c>
      <c r="E135" s="102" t="inlineStr">
        <is>
          <t>Vale Transporte</t>
        </is>
      </c>
      <c r="F135" s="103" t="n">
        <v>2460</v>
      </c>
      <c r="G135" s="104" t="inlineStr">
        <is>
          <t>04/2025</t>
        </is>
      </c>
      <c r="H135" s="104" t="inlineStr">
        <is>
          <t>CODI</t>
        </is>
      </c>
    </row>
    <row r="136" ht="15" customHeight="1" s="86">
      <c r="B136" s="101" t="n">
        <v>45748</v>
      </c>
      <c r="C136" s="102" t="inlineStr">
        <is>
          <t>Vales e Adiantamentos - 04/2025</t>
        </is>
      </c>
      <c r="D136" s="102" t="inlineStr">
        <is>
          <t>Saída</t>
        </is>
      </c>
      <c r="E136" s="102" t="inlineStr">
        <is>
          <t>Vales e Adiantamentos</t>
        </is>
      </c>
      <c r="F136" s="103" t="n">
        <v>3150</v>
      </c>
      <c r="G136" s="104" t="inlineStr">
        <is>
          <t>04/2025</t>
        </is>
      </c>
      <c r="H136" s="104" t="inlineStr">
        <is>
          <t>CODI</t>
        </is>
      </c>
    </row>
    <row r="137" ht="15" customHeight="1" s="86">
      <c r="B137" s="101" t="n">
        <v>45748</v>
      </c>
      <c r="C137" s="102" t="inlineStr">
        <is>
          <t>Web Site e Sistema ERP - 04/2025</t>
        </is>
      </c>
      <c r="D137" s="102" t="inlineStr">
        <is>
          <t>Saída</t>
        </is>
      </c>
      <c r="E137" s="102" t="inlineStr">
        <is>
          <t>Web Site e Sistema ERP</t>
        </is>
      </c>
      <c r="F137" s="103" t="n">
        <v>890</v>
      </c>
      <c r="G137" s="104" t="inlineStr">
        <is>
          <t>04/2025</t>
        </is>
      </c>
      <c r="H137" s="104" t="inlineStr">
        <is>
          <t>CODI</t>
        </is>
      </c>
    </row>
    <row r="138" ht="15" customHeight="1" s="86">
      <c r="B138" s="101" t="n">
        <v>45748</v>
      </c>
      <c r="C138" s="102" t="inlineStr">
        <is>
          <t>Água - 04/2025</t>
        </is>
      </c>
      <c r="D138" s="102" t="inlineStr">
        <is>
          <t>Saída</t>
        </is>
      </c>
      <c r="E138" s="102" t="inlineStr">
        <is>
          <t>Água</t>
        </is>
      </c>
      <c r="F138" s="103" t="n">
        <v>332.28</v>
      </c>
      <c r="G138" s="104" t="inlineStr">
        <is>
          <t>04/2025</t>
        </is>
      </c>
      <c r="H138" s="104" t="inlineStr">
        <is>
          <t>CODI</t>
        </is>
      </c>
    </row>
    <row r="139" ht="15" customHeight="1" s="86">
      <c r="B139" s="101" t="n">
        <v>45748</v>
      </c>
      <c r="C139" s="102" t="inlineStr">
        <is>
          <t>Acabamento Externo - 04/2025</t>
        </is>
      </c>
      <c r="D139" s="102" t="inlineStr">
        <is>
          <t>Saída</t>
        </is>
      </c>
      <c r="E139" s="102" t="inlineStr">
        <is>
          <t>Acabamento Externo</t>
        </is>
      </c>
      <c r="F139" s="103" t="n">
        <v>6113.8</v>
      </c>
      <c r="G139" s="104" t="inlineStr">
        <is>
          <t>04/2025</t>
        </is>
      </c>
      <c r="H139" s="104" t="inlineStr">
        <is>
          <t>CODI</t>
        </is>
      </c>
    </row>
    <row r="140" ht="15" customHeight="1" s="86">
      <c r="B140" s="101" t="n">
        <v>45748</v>
      </c>
      <c r="C140" s="102" t="inlineStr">
        <is>
          <t>Alimentação - 04/2025</t>
        </is>
      </c>
      <c r="D140" s="102" t="inlineStr">
        <is>
          <t>Saída</t>
        </is>
      </c>
      <c r="E140" s="102" t="inlineStr">
        <is>
          <t>Alimentação</t>
        </is>
      </c>
      <c r="F140" s="103" t="n">
        <v>130.94</v>
      </c>
      <c r="G140" s="104" t="inlineStr">
        <is>
          <t>04/2025</t>
        </is>
      </c>
      <c r="H140" s="104" t="inlineStr">
        <is>
          <t>CODI</t>
        </is>
      </c>
    </row>
    <row r="141" ht="15" customHeight="1" s="86">
      <c r="B141" s="101" t="n">
        <v>45748</v>
      </c>
      <c r="C141" s="102" t="inlineStr">
        <is>
          <t>Combustíveis - 04/2025</t>
        </is>
      </c>
      <c r="D141" s="102" t="inlineStr">
        <is>
          <t>Saída</t>
        </is>
      </c>
      <c r="E141" s="102" t="inlineStr">
        <is>
          <t>Combustíveis</t>
        </is>
      </c>
      <c r="F141" s="103" t="n">
        <v>1040.05</v>
      </c>
      <c r="G141" s="104" t="inlineStr">
        <is>
          <t>04/2025</t>
        </is>
      </c>
      <c r="H141" s="104" t="inlineStr">
        <is>
          <t>CODI</t>
        </is>
      </c>
    </row>
    <row r="142" ht="15" customHeight="1" s="86">
      <c r="B142" s="101" t="n">
        <v>45748</v>
      </c>
      <c r="C142" s="102" t="inlineStr">
        <is>
          <t>Criação de Modelos - 04/2025</t>
        </is>
      </c>
      <c r="D142" s="102" t="inlineStr">
        <is>
          <t>Saída</t>
        </is>
      </c>
      <c r="E142" s="102" t="inlineStr">
        <is>
          <t>Criação de Modelos</t>
        </is>
      </c>
      <c r="F142" s="103" t="n">
        <v>5355</v>
      </c>
      <c r="G142" s="104" t="inlineStr">
        <is>
          <t>04/2025</t>
        </is>
      </c>
      <c r="H142" s="104" t="inlineStr">
        <is>
          <t>CODI</t>
        </is>
      </c>
    </row>
    <row r="143" ht="15" customHeight="1" s="86">
      <c r="B143" s="101" t="n">
        <v>45748</v>
      </c>
      <c r="C143" s="102" t="inlineStr">
        <is>
          <t>Darf - 04/2025</t>
        </is>
      </c>
      <c r="D143" s="102" t="inlineStr">
        <is>
          <t>Saída</t>
        </is>
      </c>
      <c r="E143" s="102" t="inlineStr">
        <is>
          <t>Darf</t>
        </is>
      </c>
      <c r="F143" s="103" t="n">
        <v>2170.05</v>
      </c>
      <c r="G143" s="104" t="inlineStr">
        <is>
          <t>04/2025</t>
        </is>
      </c>
      <c r="H143" s="104" t="inlineStr">
        <is>
          <t>CODI</t>
        </is>
      </c>
    </row>
    <row r="144" ht="15" customHeight="1" s="86">
      <c r="B144" s="101" t="n">
        <v>45748</v>
      </c>
      <c r="C144" s="102" t="inlineStr">
        <is>
          <t>Exame Adminissional/Demissional - 04/2025</t>
        </is>
      </c>
      <c r="D144" s="102" t="inlineStr">
        <is>
          <t>Saída</t>
        </is>
      </c>
      <c r="E144" s="102" t="inlineStr">
        <is>
          <t>Exame Adminissional/Demissional</t>
        </is>
      </c>
      <c r="F144" s="103" t="n">
        <v>35</v>
      </c>
      <c r="G144" s="104" t="inlineStr">
        <is>
          <t>04/2025</t>
        </is>
      </c>
      <c r="H144" s="104" t="inlineStr">
        <is>
          <t>CODI</t>
        </is>
      </c>
    </row>
    <row r="145" ht="15" customHeight="1" s="86">
      <c r="B145" s="101" t="n">
        <v>45748</v>
      </c>
      <c r="C145" s="102" t="inlineStr">
        <is>
          <t>Manutenção de Máquinas e Peças - 04/2025</t>
        </is>
      </c>
      <c r="D145" s="102" t="inlineStr">
        <is>
          <t>Saída</t>
        </is>
      </c>
      <c r="E145" s="102" t="inlineStr">
        <is>
          <t>Manutenção de Máquinas e Peças</t>
        </is>
      </c>
      <c r="F145" s="103" t="n">
        <v>110</v>
      </c>
      <c r="G145" s="104" t="inlineStr">
        <is>
          <t>04/2025</t>
        </is>
      </c>
      <c r="H145" s="104" t="inlineStr">
        <is>
          <t>CODI</t>
        </is>
      </c>
    </row>
    <row r="146" ht="15" customHeight="1" s="86">
      <c r="B146" s="101" t="n">
        <v>45748</v>
      </c>
      <c r="C146" s="102" t="inlineStr">
        <is>
          <t>Bordado Industrial - 04/2025</t>
        </is>
      </c>
      <c r="D146" s="102" t="inlineStr">
        <is>
          <t>Saída</t>
        </is>
      </c>
      <c r="E146" s="102" t="inlineStr">
        <is>
          <t>Bordado Industrial</t>
        </is>
      </c>
      <c r="F146" s="103" t="n">
        <v>2990</v>
      </c>
      <c r="G146" s="104" t="inlineStr">
        <is>
          <t>04/2025</t>
        </is>
      </c>
      <c r="H146" s="104" t="inlineStr">
        <is>
          <t>CODI</t>
        </is>
      </c>
    </row>
    <row r="147" ht="15" customHeight="1" s="86">
      <c r="B147" s="101" t="n">
        <v>45748</v>
      </c>
      <c r="C147" s="102" t="inlineStr">
        <is>
          <t>Comissão de vendedores - 04/2025</t>
        </is>
      </c>
      <c r="D147" s="102" t="inlineStr">
        <is>
          <t>Saída</t>
        </is>
      </c>
      <c r="E147" s="102" t="inlineStr">
        <is>
          <t>Comissão de vendedores</t>
        </is>
      </c>
      <c r="F147" s="103" t="n">
        <v>2895.85</v>
      </c>
      <c r="G147" s="104" t="inlineStr">
        <is>
          <t>04/2025</t>
        </is>
      </c>
      <c r="H147" s="104" t="inlineStr">
        <is>
          <t>CODI</t>
        </is>
      </c>
    </row>
    <row r="148" ht="15" customHeight="1" s="86">
      <c r="B148" s="101" t="n">
        <v>45748</v>
      </c>
      <c r="C148" s="102" t="inlineStr">
        <is>
          <t>Consulta de Crédito Cliente - 04/2025</t>
        </is>
      </c>
      <c r="D148" s="102" t="inlineStr">
        <is>
          <t>Saída</t>
        </is>
      </c>
      <c r="E148" s="102" t="inlineStr">
        <is>
          <t>Consulta de Crédito Cliente</t>
        </is>
      </c>
      <c r="F148" s="103" t="n">
        <v>298.48</v>
      </c>
      <c r="G148" s="104" t="inlineStr">
        <is>
          <t>04/2025</t>
        </is>
      </c>
      <c r="H148" s="104" t="inlineStr">
        <is>
          <t>CODI</t>
        </is>
      </c>
    </row>
    <row r="149" ht="15" customHeight="1" s="86">
      <c r="B149" s="101" t="n">
        <v>45748</v>
      </c>
      <c r="C149" s="102" t="inlineStr">
        <is>
          <t>Manutenção de Moveis e Utensílios - 04/2025</t>
        </is>
      </c>
      <c r="D149" s="102" t="inlineStr">
        <is>
          <t>Saída</t>
        </is>
      </c>
      <c r="E149" s="102" t="inlineStr">
        <is>
          <t>Manutenção de Moveis e Utensílios</t>
        </is>
      </c>
      <c r="F149" s="103" t="n">
        <v>150</v>
      </c>
      <c r="G149" s="104" t="inlineStr">
        <is>
          <t>04/2025</t>
        </is>
      </c>
      <c r="H149" s="104" t="inlineStr">
        <is>
          <t>CODI</t>
        </is>
      </c>
    </row>
    <row r="150" ht="15" customHeight="1" s="86">
      <c r="B150" s="101" t="n">
        <v>45748</v>
      </c>
      <c r="C150" s="102" t="inlineStr">
        <is>
          <t>Manutenção de Veiculos e Estacionamento - 04/2025</t>
        </is>
      </c>
      <c r="D150" s="102" t="inlineStr">
        <is>
          <t>Saída</t>
        </is>
      </c>
      <c r="E150" s="102" t="inlineStr">
        <is>
          <t>Manutenção de Veiculos e Estacionamento</t>
        </is>
      </c>
      <c r="F150" s="103" t="n">
        <v>305</v>
      </c>
      <c r="G150" s="104" t="inlineStr">
        <is>
          <t>04/2025</t>
        </is>
      </c>
      <c r="H150" s="104" t="inlineStr">
        <is>
          <t>CODI</t>
        </is>
      </c>
    </row>
    <row r="151" ht="15" customHeight="1" s="86">
      <c r="B151" s="101" t="n">
        <v>45748</v>
      </c>
      <c r="C151" s="102" t="inlineStr">
        <is>
          <t>Tarifas e Custos de Op. Bancárias - 04/2025</t>
        </is>
      </c>
      <c r="D151" s="102" t="inlineStr">
        <is>
          <t>Saída</t>
        </is>
      </c>
      <c r="E151" s="102" t="inlineStr">
        <is>
          <t>Tarifas e Custos de Op. Bancárias</t>
        </is>
      </c>
      <c r="F151" s="103" t="n">
        <v>646.87</v>
      </c>
      <c r="G151" s="104" t="inlineStr">
        <is>
          <t>04/2025</t>
        </is>
      </c>
      <c r="H151" s="104" t="inlineStr">
        <is>
          <t>CODI</t>
        </is>
      </c>
    </row>
    <row r="152" ht="15" customHeight="1" s="86">
      <c r="B152" s="101" t="n">
        <v>45748</v>
      </c>
      <c r="C152" s="102" t="inlineStr">
        <is>
          <t>Telefonia Móvel - 04/2025</t>
        </is>
      </c>
      <c r="D152" s="102" t="inlineStr">
        <is>
          <t>Saída</t>
        </is>
      </c>
      <c r="E152" s="102" t="inlineStr">
        <is>
          <t>Telefonia Móvel</t>
        </is>
      </c>
      <c r="F152" s="103" t="n">
        <v>630</v>
      </c>
      <c r="G152" s="104" t="inlineStr">
        <is>
          <t>04/2025</t>
        </is>
      </c>
      <c r="H152" s="104" t="inlineStr">
        <is>
          <t>CODI</t>
        </is>
      </c>
    </row>
    <row r="153" ht="15" customHeight="1" s="86">
      <c r="B153" s="101" t="n">
        <v>45748</v>
      </c>
      <c r="C153" s="102" t="inlineStr">
        <is>
          <t>Material de Escritório - 04/2025</t>
        </is>
      </c>
      <c r="D153" s="102" t="inlineStr">
        <is>
          <t>Saída</t>
        </is>
      </c>
      <c r="E153" s="102" t="inlineStr">
        <is>
          <t>Material de Escritório</t>
        </is>
      </c>
      <c r="F153" s="103" t="n">
        <v>786.86</v>
      </c>
      <c r="G153" s="104" t="inlineStr">
        <is>
          <t>04/2025</t>
        </is>
      </c>
      <c r="H153" s="104" t="inlineStr">
        <is>
          <t>CODI</t>
        </is>
      </c>
    </row>
    <row r="154" ht="15" customHeight="1" s="86">
      <c r="B154" s="101" t="n">
        <v>45748</v>
      </c>
      <c r="C154" s="102" t="inlineStr">
        <is>
          <t>Uniforme e EPIs - 04/2025</t>
        </is>
      </c>
      <c r="D154" s="102" t="inlineStr">
        <is>
          <t>Saída</t>
        </is>
      </c>
      <c r="E154" s="102" t="inlineStr">
        <is>
          <t>Uniforme e EPIs</t>
        </is>
      </c>
      <c r="F154" s="103" t="n">
        <v>2448</v>
      </c>
      <c r="G154" s="104" t="inlineStr">
        <is>
          <t>04/2025</t>
        </is>
      </c>
      <c r="H154" s="104" t="inlineStr">
        <is>
          <t>CODI</t>
        </is>
      </c>
    </row>
    <row r="155" ht="15" customHeight="1" s="86">
      <c r="B155" s="101" t="n">
        <v>45748</v>
      </c>
      <c r="C155" s="102" t="inlineStr">
        <is>
          <t>Viagens e estadas - 04/2025</t>
        </is>
      </c>
      <c r="D155" s="102" t="inlineStr">
        <is>
          <t>Saída</t>
        </is>
      </c>
      <c r="E155" s="102" t="inlineStr">
        <is>
          <t>Viagens e estadas</t>
        </is>
      </c>
      <c r="F155" s="103" t="n">
        <v>1360</v>
      </c>
      <c r="G155" s="104" t="inlineStr">
        <is>
          <t>04/2025</t>
        </is>
      </c>
      <c r="H155" s="104" t="inlineStr">
        <is>
          <t>CODI</t>
        </is>
      </c>
    </row>
    <row r="156" ht="15" customHeight="1" s="86">
      <c r="B156" s="101" t="n">
        <v>45778</v>
      </c>
      <c r="C156" s="102" t="inlineStr">
        <is>
          <t>Vendas - 05/2025</t>
        </is>
      </c>
      <c r="D156" s="102" t="inlineStr">
        <is>
          <t>Entrada</t>
        </is>
      </c>
      <c r="E156" s="102" t="inlineStr">
        <is>
          <t>Vendas</t>
        </is>
      </c>
      <c r="F156" s="103" t="n">
        <v>403279.55</v>
      </c>
      <c r="G156" s="104" t="inlineStr">
        <is>
          <t>05/2025</t>
        </is>
      </c>
      <c r="H156" s="104" t="inlineStr">
        <is>
          <t>CODI</t>
        </is>
      </c>
    </row>
    <row r="157" ht="15" customHeight="1" s="86">
      <c r="B157" s="101" t="n">
        <v>45778</v>
      </c>
      <c r="C157" s="102" t="inlineStr">
        <is>
          <t>Acertos e Recisões - 05/2025</t>
        </is>
      </c>
      <c r="D157" s="102" t="inlineStr">
        <is>
          <t>Saída</t>
        </is>
      </c>
      <c r="E157" s="102" t="inlineStr">
        <is>
          <t>Acertos e Recisões</t>
        </is>
      </c>
      <c r="F157" s="103" t="n">
        <v>1360</v>
      </c>
      <c r="G157" s="104" t="inlineStr">
        <is>
          <t>05/2025</t>
        </is>
      </c>
      <c r="H157" s="104" t="inlineStr">
        <is>
          <t>CODI</t>
        </is>
      </c>
    </row>
    <row r="158" ht="15" customHeight="1" s="86">
      <c r="B158" s="101" t="n">
        <v>45778</v>
      </c>
      <c r="C158" s="102" t="inlineStr">
        <is>
          <t>Aluguéis e Condomínios - 05/2025</t>
        </is>
      </c>
      <c r="D158" s="102" t="inlineStr">
        <is>
          <t>Saída</t>
        </is>
      </c>
      <c r="E158" s="102" t="inlineStr">
        <is>
          <t>Aluguéis e Condomínios</t>
        </is>
      </c>
      <c r="F158" s="103" t="n">
        <v>5667.46</v>
      </c>
      <c r="G158" s="104" t="inlineStr">
        <is>
          <t>05/2025</t>
        </is>
      </c>
      <c r="H158" s="104" t="inlineStr">
        <is>
          <t>CODI</t>
        </is>
      </c>
    </row>
    <row r="159" ht="15" customHeight="1" s="86">
      <c r="B159" s="101" t="n">
        <v>45778</v>
      </c>
      <c r="C159" s="102" t="inlineStr">
        <is>
          <t>Aviamento - 05/2025</t>
        </is>
      </c>
      <c r="D159" s="102" t="inlineStr">
        <is>
          <t>Saída</t>
        </is>
      </c>
      <c r="E159" s="102" t="inlineStr">
        <is>
          <t>Aviamento</t>
        </is>
      </c>
      <c r="F159" s="103" t="n">
        <v>2896.39</v>
      </c>
      <c r="G159" s="104" t="inlineStr">
        <is>
          <t>05/2025</t>
        </is>
      </c>
      <c r="H159" s="104" t="inlineStr">
        <is>
          <t>CODI</t>
        </is>
      </c>
    </row>
    <row r="160" ht="15" customHeight="1" s="86">
      <c r="B160" s="101" t="n">
        <v>45778</v>
      </c>
      <c r="C160" s="102" t="inlineStr">
        <is>
          <t>Compra de Veículos - 05/2025</t>
        </is>
      </c>
      <c r="D160" s="102" t="inlineStr">
        <is>
          <t>Saída</t>
        </is>
      </c>
      <c r="E160" s="102" t="inlineStr">
        <is>
          <t>Compra de Veículos</t>
        </is>
      </c>
      <c r="F160" s="103" t="n">
        <v>1742</v>
      </c>
      <c r="G160" s="104" t="inlineStr">
        <is>
          <t>05/2025</t>
        </is>
      </c>
      <c r="H160" s="104" t="inlineStr">
        <is>
          <t>CODI</t>
        </is>
      </c>
    </row>
    <row r="161" ht="15" customHeight="1" s="86">
      <c r="B161" s="101" t="n">
        <v>45778</v>
      </c>
      <c r="C161" s="102" t="inlineStr">
        <is>
          <t>Despesa não Identificada - 05/2025</t>
        </is>
      </c>
      <c r="D161" s="102" t="inlineStr">
        <is>
          <t>Saída</t>
        </is>
      </c>
      <c r="E161" s="102" t="inlineStr">
        <is>
          <t>Despesa não Identificada</t>
        </is>
      </c>
      <c r="F161" s="103" t="n">
        <v>122409.44</v>
      </c>
      <c r="G161" s="104" t="inlineStr">
        <is>
          <t>05/2025</t>
        </is>
      </c>
      <c r="H161" s="104" t="inlineStr">
        <is>
          <t>CODI</t>
        </is>
      </c>
    </row>
    <row r="162" ht="15" customHeight="1" s="86">
      <c r="B162" s="101" t="n">
        <v>45778</v>
      </c>
      <c r="C162" s="102" t="inlineStr">
        <is>
          <t>Energia Elétrica - 05/2025</t>
        </is>
      </c>
      <c r="D162" s="102" t="inlineStr">
        <is>
          <t>Saída</t>
        </is>
      </c>
      <c r="E162" s="102" t="inlineStr">
        <is>
          <t>Energia Elétrica</t>
        </is>
      </c>
      <c r="F162" s="103" t="n">
        <v>111.8</v>
      </c>
      <c r="G162" s="104" t="inlineStr">
        <is>
          <t>05/2025</t>
        </is>
      </c>
      <c r="H162" s="104" t="inlineStr">
        <is>
          <t>CODI</t>
        </is>
      </c>
    </row>
    <row r="163" ht="15" customHeight="1" s="86">
      <c r="B163" s="101" t="n">
        <v>45778</v>
      </c>
      <c r="C163" s="102" t="inlineStr">
        <is>
          <t>Etiquetas - 05/2025</t>
        </is>
      </c>
      <c r="D163" s="102" t="inlineStr">
        <is>
          <t>Saída</t>
        </is>
      </c>
      <c r="E163" s="102" t="inlineStr">
        <is>
          <t>Etiquetas</t>
        </is>
      </c>
      <c r="F163" s="103" t="n">
        <v>7743.78</v>
      </c>
      <c r="G163" s="104" t="inlineStr">
        <is>
          <t>05/2025</t>
        </is>
      </c>
      <c r="H163" s="104" t="inlineStr">
        <is>
          <t>CODI</t>
        </is>
      </c>
    </row>
    <row r="164" ht="15" customHeight="1" s="86">
      <c r="B164" s="101" t="n">
        <v>45778</v>
      </c>
      <c r="C164" s="102" t="inlineStr">
        <is>
          <t>Facção - 05/2025</t>
        </is>
      </c>
      <c r="D164" s="102" t="inlineStr">
        <is>
          <t>Saída</t>
        </is>
      </c>
      <c r="E164" s="102" t="inlineStr">
        <is>
          <t>Facção</t>
        </is>
      </c>
      <c r="F164" s="103" t="n">
        <v>77111.5</v>
      </c>
      <c r="G164" s="104" t="inlineStr">
        <is>
          <t>05/2025</t>
        </is>
      </c>
      <c r="H164" s="104" t="inlineStr">
        <is>
          <t>CODI</t>
        </is>
      </c>
    </row>
    <row r="165" ht="15" customHeight="1" s="86">
      <c r="B165" s="101" t="n">
        <v>45778</v>
      </c>
      <c r="C165" s="102" t="inlineStr">
        <is>
          <t>Frete e Transporte de Mercadorias - 05/2025</t>
        </is>
      </c>
      <c r="D165" s="102" t="inlineStr">
        <is>
          <t>Saída</t>
        </is>
      </c>
      <c r="E165" s="102" t="inlineStr">
        <is>
          <t>Frete e Transporte de Mercadorias</t>
        </is>
      </c>
      <c r="F165" s="103" t="n">
        <v>8005.04</v>
      </c>
      <c r="G165" s="104" t="inlineStr">
        <is>
          <t>05/2025</t>
        </is>
      </c>
      <c r="H165" s="104" t="inlineStr">
        <is>
          <t>CODI</t>
        </is>
      </c>
    </row>
    <row r="166" ht="15" customHeight="1" s="86">
      <c r="B166" s="101" t="n">
        <v>45778</v>
      </c>
      <c r="C166" s="102" t="inlineStr">
        <is>
          <t>Honorários Contábeis (Contabilidade) - 05/2025</t>
        </is>
      </c>
      <c r="D166" s="102" t="inlineStr">
        <is>
          <t>Saída</t>
        </is>
      </c>
      <c r="E166" s="102" t="inlineStr">
        <is>
          <t>Honorários Contábeis (Contabilidade)</t>
        </is>
      </c>
      <c r="F166" s="103" t="n">
        <v>1100</v>
      </c>
      <c r="G166" s="104" t="inlineStr">
        <is>
          <t>05/2025</t>
        </is>
      </c>
      <c r="H166" s="104" t="inlineStr">
        <is>
          <t>CODI</t>
        </is>
      </c>
    </row>
    <row r="167" ht="15" customHeight="1" s="86">
      <c r="B167" s="101" t="n">
        <v>45778</v>
      </c>
      <c r="C167" s="102" t="inlineStr">
        <is>
          <t>Lavanderia - 05/2025</t>
        </is>
      </c>
      <c r="D167" s="102" t="inlineStr">
        <is>
          <t>Saída</t>
        </is>
      </c>
      <c r="E167" s="102" t="inlineStr">
        <is>
          <t>Lavanderia</t>
        </is>
      </c>
      <c r="F167" s="103" t="n">
        <v>29408</v>
      </c>
      <c r="G167" s="104" t="inlineStr">
        <is>
          <t>05/2025</t>
        </is>
      </c>
      <c r="H167" s="104" t="inlineStr">
        <is>
          <t>CODI</t>
        </is>
      </c>
    </row>
    <row r="168" ht="15" customHeight="1" s="86">
      <c r="B168" s="101" t="n">
        <v>45778</v>
      </c>
      <c r="C168" s="102" t="inlineStr">
        <is>
          <t>Material de Limpeza e Higiene - 05/2025</t>
        </is>
      </c>
      <c r="D168" s="102" t="inlineStr">
        <is>
          <t>Saída</t>
        </is>
      </c>
      <c r="E168" s="102" t="inlineStr">
        <is>
          <t>Material de Limpeza e Higiene</t>
        </is>
      </c>
      <c r="F168" s="103" t="n">
        <v>130.86</v>
      </c>
      <c r="G168" s="104" t="inlineStr">
        <is>
          <t>05/2025</t>
        </is>
      </c>
      <c r="H168" s="104" t="inlineStr">
        <is>
          <t>CODI</t>
        </is>
      </c>
    </row>
    <row r="169" ht="15" customHeight="1" s="86">
      <c r="B169" s="101" t="n">
        <v>45778</v>
      </c>
      <c r="C169" s="102" t="inlineStr">
        <is>
          <t>Outros Insumos - 05/2025</t>
        </is>
      </c>
      <c r="D169" s="102" t="inlineStr">
        <is>
          <t>Saída</t>
        </is>
      </c>
      <c r="E169" s="102" t="inlineStr">
        <is>
          <t>Outros Insumos</t>
        </is>
      </c>
      <c r="F169" s="103" t="n">
        <v>615</v>
      </c>
      <c r="G169" s="104" t="inlineStr">
        <is>
          <t>05/2025</t>
        </is>
      </c>
      <c r="H169" s="104" t="inlineStr">
        <is>
          <t>CODI</t>
        </is>
      </c>
    </row>
    <row r="170" ht="15" customHeight="1" s="86">
      <c r="B170" s="101" t="n">
        <v>45778</v>
      </c>
      <c r="C170" s="102" t="inlineStr">
        <is>
          <t>Publicidade - 05/2025</t>
        </is>
      </c>
      <c r="D170" s="102" t="inlineStr">
        <is>
          <t>Saída</t>
        </is>
      </c>
      <c r="E170" s="102" t="inlineStr">
        <is>
          <t>Publicidade</t>
        </is>
      </c>
      <c r="F170" s="103" t="n">
        <v>4520.65</v>
      </c>
      <c r="G170" s="104" t="inlineStr">
        <is>
          <t>05/2025</t>
        </is>
      </c>
      <c r="H170" s="104" t="inlineStr">
        <is>
          <t>CODI</t>
        </is>
      </c>
    </row>
    <row r="171" ht="15" customHeight="1" s="86">
      <c r="B171" s="101" t="n">
        <v>45778</v>
      </c>
      <c r="C171" s="102" t="inlineStr">
        <is>
          <t>Salário e Ordenados - 05/2025</t>
        </is>
      </c>
      <c r="D171" s="102" t="inlineStr">
        <is>
          <t>Saída</t>
        </is>
      </c>
      <c r="E171" s="102" t="inlineStr">
        <is>
          <t>Salário e Ordenados</t>
        </is>
      </c>
      <c r="F171" s="103" t="n">
        <v>27532.27</v>
      </c>
      <c r="G171" s="104" t="inlineStr">
        <is>
          <t>05/2025</t>
        </is>
      </c>
      <c r="H171" s="104" t="inlineStr">
        <is>
          <t>CODI</t>
        </is>
      </c>
    </row>
    <row r="172" ht="15" customHeight="1" s="86">
      <c r="B172" s="101" t="n">
        <v>45778</v>
      </c>
      <c r="C172" s="102" t="inlineStr">
        <is>
          <t>Segurança e Monitoramento - 05/2025</t>
        </is>
      </c>
      <c r="D172" s="102" t="inlineStr">
        <is>
          <t>Saída</t>
        </is>
      </c>
      <c r="E172" s="102" t="inlineStr">
        <is>
          <t>Segurança e Monitoramento</t>
        </is>
      </c>
      <c r="F172" s="103" t="n">
        <v>140</v>
      </c>
      <c r="G172" s="104" t="inlineStr">
        <is>
          <t>05/2025</t>
        </is>
      </c>
      <c r="H172" s="104" t="inlineStr">
        <is>
          <t>CODI</t>
        </is>
      </c>
    </row>
    <row r="173" ht="15" customHeight="1" s="86">
      <c r="B173" s="101" t="n">
        <v>45778</v>
      </c>
      <c r="C173" s="102" t="inlineStr">
        <is>
          <t>Seguros - 05/2025</t>
        </is>
      </c>
      <c r="D173" s="102" t="inlineStr">
        <is>
          <t>Saída</t>
        </is>
      </c>
      <c r="E173" s="102" t="inlineStr">
        <is>
          <t>Seguros</t>
        </is>
      </c>
      <c r="F173" s="103" t="n">
        <v>269.84</v>
      </c>
      <c r="G173" s="104" t="inlineStr">
        <is>
          <t>05/2025</t>
        </is>
      </c>
      <c r="H173" s="104" t="inlineStr">
        <is>
          <t>CODI</t>
        </is>
      </c>
    </row>
    <row r="174" ht="15" customHeight="1" s="86">
      <c r="B174" s="101" t="n">
        <v>45778</v>
      </c>
      <c r="C174" s="102" t="inlineStr">
        <is>
          <t>Simples Nacional - 05/2025</t>
        </is>
      </c>
      <c r="D174" s="102" t="inlineStr">
        <is>
          <t>Saída</t>
        </is>
      </c>
      <c r="E174" s="102" t="inlineStr">
        <is>
          <t>Simples Nacional</t>
        </is>
      </c>
      <c r="F174" s="103" t="n">
        <v>14223.15</v>
      </c>
      <c r="G174" s="104" t="inlineStr">
        <is>
          <t>05/2025</t>
        </is>
      </c>
      <c r="H174" s="104" t="inlineStr">
        <is>
          <t>CODI</t>
        </is>
      </c>
    </row>
    <row r="175" ht="15" customHeight="1" s="86">
      <c r="B175" s="101" t="n">
        <v>45778</v>
      </c>
      <c r="C175" s="102" t="inlineStr">
        <is>
          <t>Tecidos - 05/2025</t>
        </is>
      </c>
      <c r="D175" s="102" t="inlineStr">
        <is>
          <t>Saída</t>
        </is>
      </c>
      <c r="E175" s="102" t="inlineStr">
        <is>
          <t>Tecidos</t>
        </is>
      </c>
      <c r="F175" s="103" t="n">
        <v>167492.42</v>
      </c>
      <c r="G175" s="104" t="inlineStr">
        <is>
          <t>05/2025</t>
        </is>
      </c>
      <c r="H175" s="104" t="inlineStr">
        <is>
          <t>CODI</t>
        </is>
      </c>
    </row>
    <row r="176" ht="15" customHeight="1" s="86">
      <c r="B176" s="101" t="n">
        <v>45778</v>
      </c>
      <c r="C176" s="102" t="inlineStr">
        <is>
          <t>Telefonia Fixa e Internet - 05/2025</t>
        </is>
      </c>
      <c r="D176" s="102" t="inlineStr">
        <is>
          <t>Saída</t>
        </is>
      </c>
      <c r="E176" s="102" t="inlineStr">
        <is>
          <t>Telefonia Fixa e Internet</t>
        </is>
      </c>
      <c r="F176" s="103" t="n">
        <v>243.22</v>
      </c>
      <c r="G176" s="104" t="inlineStr">
        <is>
          <t>05/2025</t>
        </is>
      </c>
      <c r="H176" s="104" t="inlineStr">
        <is>
          <t>CODI</t>
        </is>
      </c>
    </row>
    <row r="177" ht="15" customHeight="1" s="86">
      <c r="B177" s="101" t="n">
        <v>45778</v>
      </c>
      <c r="C177" s="102" t="inlineStr">
        <is>
          <t>Travete - 05/2025</t>
        </is>
      </c>
      <c r="D177" s="102" t="inlineStr">
        <is>
          <t>Saída</t>
        </is>
      </c>
      <c r="E177" s="102" t="inlineStr">
        <is>
          <t>Travete</t>
        </is>
      </c>
      <c r="F177" s="103" t="n">
        <v>5420</v>
      </c>
      <c r="G177" s="104" t="inlineStr">
        <is>
          <t>05/2025</t>
        </is>
      </c>
      <c r="H177" s="104" t="inlineStr">
        <is>
          <t>CODI</t>
        </is>
      </c>
    </row>
    <row r="178" ht="15" customHeight="1" s="86">
      <c r="B178" s="101" t="n">
        <v>45778</v>
      </c>
      <c r="C178" s="102" t="inlineStr">
        <is>
          <t>Títulos de Capitalização - 05/2025</t>
        </is>
      </c>
      <c r="D178" s="102" t="inlineStr">
        <is>
          <t>Saída</t>
        </is>
      </c>
      <c r="E178" s="102" t="inlineStr">
        <is>
          <t>Títulos de Capitalização</t>
        </is>
      </c>
      <c r="F178" s="103" t="n">
        <v>12013.66</v>
      </c>
      <c r="G178" s="104" t="inlineStr">
        <is>
          <t>05/2025</t>
        </is>
      </c>
      <c r="H178" s="104" t="inlineStr">
        <is>
          <t>CODI</t>
        </is>
      </c>
    </row>
    <row r="179" ht="15" customHeight="1" s="86">
      <c r="B179" s="101" t="n">
        <v>45778</v>
      </c>
      <c r="C179" s="102" t="inlineStr">
        <is>
          <t>Vale Transporte - 05/2025</t>
        </is>
      </c>
      <c r="D179" s="102" t="inlineStr">
        <is>
          <t>Saída</t>
        </is>
      </c>
      <c r="E179" s="102" t="inlineStr">
        <is>
          <t>Vale Transporte</t>
        </is>
      </c>
      <c r="F179" s="103" t="n">
        <v>2740</v>
      </c>
      <c r="G179" s="104" t="inlineStr">
        <is>
          <t>05/2025</t>
        </is>
      </c>
      <c r="H179" s="104" t="inlineStr">
        <is>
          <t>CODI</t>
        </is>
      </c>
    </row>
    <row r="180" ht="15" customHeight="1" s="86">
      <c r="B180" s="101" t="n">
        <v>45778</v>
      </c>
      <c r="C180" s="102" t="inlineStr">
        <is>
          <t>Vales e Adiantamentos - 05/2025</t>
        </is>
      </c>
      <c r="D180" s="102" t="inlineStr">
        <is>
          <t>Saída</t>
        </is>
      </c>
      <c r="E180" s="102" t="inlineStr">
        <is>
          <t>Vales e Adiantamentos</t>
        </is>
      </c>
      <c r="F180" s="103" t="n">
        <v>3650</v>
      </c>
      <c r="G180" s="104" t="inlineStr">
        <is>
          <t>05/2025</t>
        </is>
      </c>
      <c r="H180" s="104" t="inlineStr">
        <is>
          <t>CODI</t>
        </is>
      </c>
    </row>
    <row r="181" ht="15" customHeight="1" s="86">
      <c r="B181" s="101" t="n">
        <v>45778</v>
      </c>
      <c r="C181" s="102" t="inlineStr">
        <is>
          <t>Web Site e Sistema ERP - 05/2025</t>
        </is>
      </c>
      <c r="D181" s="102" t="inlineStr">
        <is>
          <t>Saída</t>
        </is>
      </c>
      <c r="E181" s="102" t="inlineStr">
        <is>
          <t>Web Site e Sistema ERP</t>
        </is>
      </c>
      <c r="F181" s="103" t="n">
        <v>890</v>
      </c>
      <c r="G181" s="104" t="inlineStr">
        <is>
          <t>05/2025</t>
        </is>
      </c>
      <c r="H181" s="104" t="inlineStr">
        <is>
          <t>CODI</t>
        </is>
      </c>
    </row>
    <row r="182" ht="15" customHeight="1" s="86">
      <c r="B182" s="101" t="n">
        <v>45778</v>
      </c>
      <c r="C182" s="102" t="inlineStr">
        <is>
          <t>Água - 05/2025</t>
        </is>
      </c>
      <c r="D182" s="102" t="inlineStr">
        <is>
          <t>Saída</t>
        </is>
      </c>
      <c r="E182" s="102" t="inlineStr">
        <is>
          <t>Água</t>
        </is>
      </c>
      <c r="F182" s="103" t="n">
        <v>332.28</v>
      </c>
      <c r="G182" s="104" t="inlineStr">
        <is>
          <t>05/2025</t>
        </is>
      </c>
      <c r="H182" s="104" t="inlineStr">
        <is>
          <t>CODI</t>
        </is>
      </c>
    </row>
    <row r="183" ht="15" customHeight="1" s="86">
      <c r="B183" s="101" t="n">
        <v>45778</v>
      </c>
      <c r="C183" s="102" t="inlineStr">
        <is>
          <t>Acabamento Externo - 05/2025</t>
        </is>
      </c>
      <c r="D183" s="102" t="inlineStr">
        <is>
          <t>Saída</t>
        </is>
      </c>
      <c r="E183" s="102" t="inlineStr">
        <is>
          <t>Acabamento Externo</t>
        </is>
      </c>
      <c r="F183" s="103" t="n">
        <v>13440.9</v>
      </c>
      <c r="G183" s="104" t="inlineStr">
        <is>
          <t>05/2025</t>
        </is>
      </c>
      <c r="H183" s="104" t="inlineStr">
        <is>
          <t>CODI</t>
        </is>
      </c>
    </row>
    <row r="184" ht="15" customHeight="1" s="86">
      <c r="B184" s="101" t="n">
        <v>45778</v>
      </c>
      <c r="C184" s="102" t="inlineStr">
        <is>
          <t>Alimentação - 05/2025</t>
        </is>
      </c>
      <c r="D184" s="102" t="inlineStr">
        <is>
          <t>Saída</t>
        </is>
      </c>
      <c r="E184" s="102" t="inlineStr">
        <is>
          <t>Alimentação</t>
        </is>
      </c>
      <c r="F184" s="103" t="n">
        <v>163.13</v>
      </c>
      <c r="G184" s="104" t="inlineStr">
        <is>
          <t>05/2025</t>
        </is>
      </c>
      <c r="H184" s="104" t="inlineStr">
        <is>
          <t>CODI</t>
        </is>
      </c>
    </row>
    <row r="185" ht="15" customHeight="1" s="86">
      <c r="B185" s="101" t="n">
        <v>45778</v>
      </c>
      <c r="C185" s="102" t="inlineStr">
        <is>
          <t>Combustíveis - 05/2025</t>
        </is>
      </c>
      <c r="D185" s="102" t="inlineStr">
        <is>
          <t>Saída</t>
        </is>
      </c>
      <c r="E185" s="102" t="inlineStr">
        <is>
          <t>Combustíveis</t>
        </is>
      </c>
      <c r="F185" s="103" t="n">
        <v>1396.51</v>
      </c>
      <c r="G185" s="104" t="inlineStr">
        <is>
          <t>05/2025</t>
        </is>
      </c>
      <c r="H185" s="104" t="inlineStr">
        <is>
          <t>CODI</t>
        </is>
      </c>
    </row>
    <row r="186" ht="15" customHeight="1" s="86">
      <c r="B186" s="101" t="n">
        <v>45778</v>
      </c>
      <c r="C186" s="102" t="inlineStr">
        <is>
          <t>Criação de Modelos - 05/2025</t>
        </is>
      </c>
      <c r="D186" s="102" t="inlineStr">
        <is>
          <t>Saída</t>
        </is>
      </c>
      <c r="E186" s="102" t="inlineStr">
        <is>
          <t>Criação de Modelos</t>
        </is>
      </c>
      <c r="F186" s="103" t="n">
        <v>8855</v>
      </c>
      <c r="G186" s="104" t="inlineStr">
        <is>
          <t>05/2025</t>
        </is>
      </c>
      <c r="H186" s="104" t="inlineStr">
        <is>
          <t>CODI</t>
        </is>
      </c>
    </row>
    <row r="187" ht="15" customHeight="1" s="86">
      <c r="B187" s="101" t="n">
        <v>45778</v>
      </c>
      <c r="C187" s="102" t="inlineStr">
        <is>
          <t>Embalagens - 05/2025</t>
        </is>
      </c>
      <c r="D187" s="102" t="inlineStr">
        <is>
          <t>Saída</t>
        </is>
      </c>
      <c r="E187" s="102" t="inlineStr">
        <is>
          <t>Embalagens</t>
        </is>
      </c>
      <c r="F187" s="103" t="n">
        <v>803.59</v>
      </c>
      <c r="G187" s="104" t="inlineStr">
        <is>
          <t>05/2025</t>
        </is>
      </c>
      <c r="H187" s="104" t="inlineStr">
        <is>
          <t>CODI</t>
        </is>
      </c>
    </row>
    <row r="188" ht="15" customHeight="1" s="86">
      <c r="B188" s="101" t="n">
        <v>45778</v>
      </c>
      <c r="C188" s="102" t="inlineStr">
        <is>
          <t>Manutenção de Máquinas e Peças - 05/2025</t>
        </is>
      </c>
      <c r="D188" s="102" t="inlineStr">
        <is>
          <t>Saída</t>
        </is>
      </c>
      <c r="E188" s="102" t="inlineStr">
        <is>
          <t>Manutenção de Máquinas e Peças</t>
        </is>
      </c>
      <c r="F188" s="103" t="n">
        <v>300</v>
      </c>
      <c r="G188" s="104" t="inlineStr">
        <is>
          <t>05/2025</t>
        </is>
      </c>
      <c r="H188" s="104" t="inlineStr">
        <is>
          <t>CODI</t>
        </is>
      </c>
    </row>
    <row r="189" ht="15" customHeight="1" s="86">
      <c r="B189" s="101" t="n">
        <v>45778</v>
      </c>
      <c r="C189" s="102" t="inlineStr">
        <is>
          <t>Bordado Industrial - 05/2025</t>
        </is>
      </c>
      <c r="D189" s="102" t="inlineStr">
        <is>
          <t>Saída</t>
        </is>
      </c>
      <c r="E189" s="102" t="inlineStr">
        <is>
          <t>Bordado Industrial</t>
        </is>
      </c>
      <c r="F189" s="103" t="n">
        <v>5469.4</v>
      </c>
      <c r="G189" s="104" t="inlineStr">
        <is>
          <t>05/2025</t>
        </is>
      </c>
      <c r="H189" s="104" t="inlineStr">
        <is>
          <t>CODI</t>
        </is>
      </c>
    </row>
    <row r="190" ht="15" customHeight="1" s="86">
      <c r="B190" s="101" t="n">
        <v>45778</v>
      </c>
      <c r="C190" s="102" t="inlineStr">
        <is>
          <t>Comissão de vendedores - 05/2025</t>
        </is>
      </c>
      <c r="D190" s="102" t="inlineStr">
        <is>
          <t>Saída</t>
        </is>
      </c>
      <c r="E190" s="102" t="inlineStr">
        <is>
          <t>Comissão de vendedores</t>
        </is>
      </c>
      <c r="F190" s="103" t="n">
        <v>5779.19</v>
      </c>
      <c r="G190" s="104" t="inlineStr">
        <is>
          <t>05/2025</t>
        </is>
      </c>
      <c r="H190" s="104" t="inlineStr">
        <is>
          <t>CODI</t>
        </is>
      </c>
    </row>
    <row r="191" ht="15" customHeight="1" s="86">
      <c r="B191" s="101" t="n">
        <v>45778</v>
      </c>
      <c r="C191" s="102" t="inlineStr">
        <is>
          <t>Consulta de Crédito Cliente - 05/2025</t>
        </is>
      </c>
      <c r="D191" s="102" t="inlineStr">
        <is>
          <t>Saída</t>
        </is>
      </c>
      <c r="E191" s="102" t="inlineStr">
        <is>
          <t>Consulta de Crédito Cliente</t>
        </is>
      </c>
      <c r="F191" s="103" t="n">
        <v>518.67</v>
      </c>
      <c r="G191" s="104" t="inlineStr">
        <is>
          <t>05/2025</t>
        </is>
      </c>
      <c r="H191" s="104" t="inlineStr">
        <is>
          <t>CODI</t>
        </is>
      </c>
    </row>
    <row r="192" ht="15" customHeight="1" s="86">
      <c r="B192" s="101" t="n">
        <v>45778</v>
      </c>
      <c r="C192" s="102" t="inlineStr">
        <is>
          <t>Despesa com Sindicatos - 05/2025</t>
        </is>
      </c>
      <c r="D192" s="102" t="inlineStr">
        <is>
          <t>Saída</t>
        </is>
      </c>
      <c r="E192" s="102" t="inlineStr">
        <is>
          <t>Despesa com Sindicatos</t>
        </is>
      </c>
      <c r="F192" s="103" t="n">
        <v>49.9</v>
      </c>
      <c r="G192" s="104" t="inlineStr">
        <is>
          <t>05/2025</t>
        </is>
      </c>
      <c r="H192" s="104" t="inlineStr">
        <is>
          <t>CODI</t>
        </is>
      </c>
    </row>
    <row r="193" ht="15" customHeight="1" s="86">
      <c r="B193" s="101" t="n">
        <v>45778</v>
      </c>
      <c r="C193" s="102" t="inlineStr">
        <is>
          <t>Manutenção de Moveis e Utensílios - 05/2025</t>
        </is>
      </c>
      <c r="D193" s="102" t="inlineStr">
        <is>
          <t>Saída</t>
        </is>
      </c>
      <c r="E193" s="102" t="inlineStr">
        <is>
          <t>Manutenção de Moveis e Utensílios</t>
        </is>
      </c>
      <c r="F193" s="103" t="n">
        <v>70</v>
      </c>
      <c r="G193" s="104" t="inlineStr">
        <is>
          <t>05/2025</t>
        </is>
      </c>
      <c r="H193" s="104" t="inlineStr">
        <is>
          <t>CODI</t>
        </is>
      </c>
    </row>
    <row r="194" ht="15" customHeight="1" s="86">
      <c r="B194" s="101" t="n">
        <v>45778</v>
      </c>
      <c r="C194" s="102" t="inlineStr">
        <is>
          <t>Manutenção de Veiculos e Estacionamento - 05/2025</t>
        </is>
      </c>
      <c r="D194" s="102" t="inlineStr">
        <is>
          <t>Saída</t>
        </is>
      </c>
      <c r="E194" s="102" t="inlineStr">
        <is>
          <t>Manutenção de Veiculos e Estacionamento</t>
        </is>
      </c>
      <c r="F194" s="103" t="n">
        <v>914</v>
      </c>
      <c r="G194" s="104" t="inlineStr">
        <is>
          <t>05/2025</t>
        </is>
      </c>
      <c r="H194" s="104" t="inlineStr">
        <is>
          <t>CODI</t>
        </is>
      </c>
    </row>
    <row r="195" ht="15" customHeight="1" s="86">
      <c r="B195" s="101" t="n">
        <v>45778</v>
      </c>
      <c r="C195" s="102" t="inlineStr">
        <is>
          <t>Tarifas e Custos de Op. Bancárias - 05/2025</t>
        </is>
      </c>
      <c r="D195" s="102" t="inlineStr">
        <is>
          <t>Saída</t>
        </is>
      </c>
      <c r="E195" s="102" t="inlineStr">
        <is>
          <t>Tarifas e Custos de Op. Bancárias</t>
        </is>
      </c>
      <c r="F195" s="103" t="n">
        <v>154.1</v>
      </c>
      <c r="G195" s="104" t="inlineStr">
        <is>
          <t>05/2025</t>
        </is>
      </c>
      <c r="H195" s="104" t="inlineStr">
        <is>
          <t>CODI</t>
        </is>
      </c>
    </row>
    <row r="196" ht="15" customHeight="1" s="86">
      <c r="B196" s="101" t="n">
        <v>45778</v>
      </c>
      <c r="C196" s="102" t="inlineStr">
        <is>
          <t>Telefonia Móvel - 05/2025</t>
        </is>
      </c>
      <c r="D196" s="102" t="inlineStr">
        <is>
          <t>Saída</t>
        </is>
      </c>
      <c r="E196" s="102" t="inlineStr">
        <is>
          <t>Telefonia Móvel</t>
        </is>
      </c>
      <c r="F196" s="103" t="n">
        <v>520</v>
      </c>
      <c r="G196" s="104" t="inlineStr">
        <is>
          <t>05/2025</t>
        </is>
      </c>
      <c r="H196" s="104" t="inlineStr">
        <is>
          <t>CODI</t>
        </is>
      </c>
    </row>
    <row r="197" ht="15" customHeight="1" s="86">
      <c r="B197" s="101" t="n">
        <v>45778</v>
      </c>
      <c r="C197" s="102" t="inlineStr">
        <is>
          <t>Material de Escritório - 05/2025</t>
        </is>
      </c>
      <c r="D197" s="102" t="inlineStr">
        <is>
          <t>Saída</t>
        </is>
      </c>
      <c r="E197" s="102" t="inlineStr">
        <is>
          <t>Material de Escritório</t>
        </is>
      </c>
      <c r="F197" s="103" t="n">
        <v>38.99</v>
      </c>
      <c r="G197" s="104" t="inlineStr">
        <is>
          <t>05/2025</t>
        </is>
      </c>
      <c r="H197" s="104" t="inlineStr">
        <is>
          <t>CODI</t>
        </is>
      </c>
    </row>
    <row r="198" ht="15" customHeight="1" s="86">
      <c r="B198" s="101" t="n">
        <v>45778</v>
      </c>
      <c r="C198" s="102" t="inlineStr">
        <is>
          <t>Viagens e estadas - 05/2025</t>
        </is>
      </c>
      <c r="D198" s="102" t="inlineStr">
        <is>
          <t>Saída</t>
        </is>
      </c>
      <c r="E198" s="102" t="inlineStr">
        <is>
          <t>Viagens e estadas</t>
        </is>
      </c>
      <c r="F198" s="103" t="n">
        <v>30.6</v>
      </c>
      <c r="G198" s="104" t="inlineStr">
        <is>
          <t>05/2025</t>
        </is>
      </c>
      <c r="H198" s="104" t="inlineStr">
        <is>
          <t>CODI</t>
        </is>
      </c>
    </row>
    <row r="199" ht="15" customHeight="1" s="86">
      <c r="B199" s="101" t="n">
        <v>45778</v>
      </c>
      <c r="C199" s="102" t="inlineStr">
        <is>
          <t>Comissão de Assessores - 05/2025</t>
        </is>
      </c>
      <c r="D199" s="102" t="inlineStr">
        <is>
          <t>Saída</t>
        </is>
      </c>
      <c r="E199" s="102" t="inlineStr">
        <is>
          <t>Comissão de Assessores</t>
        </is>
      </c>
      <c r="F199" s="103" t="n">
        <v>352.5</v>
      </c>
      <c r="G199" s="104" t="inlineStr">
        <is>
          <t>05/2025</t>
        </is>
      </c>
      <c r="H199" s="104" t="inlineStr">
        <is>
          <t>CODI</t>
        </is>
      </c>
    </row>
    <row r="200" ht="15" customHeight="1" s="86">
      <c r="B200" s="101" t="n">
        <v>45778</v>
      </c>
      <c r="C200" s="102" t="inlineStr">
        <is>
          <t>Fgts, Gps e Pis - 05/2025</t>
        </is>
      </c>
      <c r="D200" s="102" t="inlineStr">
        <is>
          <t>Saída</t>
        </is>
      </c>
      <c r="E200" s="102" t="inlineStr">
        <is>
          <t>Fgts, Gps e Pis</t>
        </is>
      </c>
      <c r="F200" s="103" t="n">
        <v>1777.34</v>
      </c>
      <c r="G200" s="104" t="inlineStr">
        <is>
          <t>05/2025</t>
        </is>
      </c>
      <c r="H200" s="104" t="inlineStr">
        <is>
          <t>CODI</t>
        </is>
      </c>
    </row>
    <row r="201" ht="15" customHeight="1" s="86">
      <c r="B201" s="101" t="n">
        <v>45778</v>
      </c>
      <c r="C201" s="102" t="inlineStr">
        <is>
          <t>Manutenção de Imóveis - 05/2025</t>
        </is>
      </c>
      <c r="D201" s="102" t="inlineStr">
        <is>
          <t>Saída</t>
        </is>
      </c>
      <c r="E201" s="102" t="inlineStr">
        <is>
          <t>Manutenção de Imóveis</t>
        </is>
      </c>
      <c r="F201" s="103" t="n">
        <v>30</v>
      </c>
      <c r="G201" s="104" t="inlineStr">
        <is>
          <t>05/2025</t>
        </is>
      </c>
      <c r="H201" s="104" t="inlineStr">
        <is>
          <t>CODI</t>
        </is>
      </c>
    </row>
    <row r="202" ht="15" customHeight="1" s="86">
      <c r="B202" s="101" t="n">
        <v>45778</v>
      </c>
      <c r="C202" s="102" t="inlineStr">
        <is>
          <t>Outras Despesas - 05/2025</t>
        </is>
      </c>
      <c r="D202" s="102" t="inlineStr">
        <is>
          <t>Saída</t>
        </is>
      </c>
      <c r="E202" s="102" t="inlineStr">
        <is>
          <t>Outras Despesas</t>
        </is>
      </c>
      <c r="F202" s="103" t="n">
        <v>87.5</v>
      </c>
      <c r="G202" s="104" t="inlineStr">
        <is>
          <t>05/2025</t>
        </is>
      </c>
      <c r="H202" s="104" t="inlineStr">
        <is>
          <t>CODI</t>
        </is>
      </c>
    </row>
    <row r="203" ht="15" customHeight="1" s="86">
      <c r="B203" s="101" t="n">
        <v>45809</v>
      </c>
      <c r="C203" s="102" t="inlineStr">
        <is>
          <t>Vendas - 06/2025</t>
        </is>
      </c>
      <c r="D203" s="102" t="inlineStr">
        <is>
          <t>Entrada</t>
        </is>
      </c>
      <c r="E203" s="102" t="inlineStr">
        <is>
          <t>Vendas</t>
        </is>
      </c>
      <c r="F203" s="103" t="n">
        <v>531416.6899999999</v>
      </c>
      <c r="G203" s="104" t="inlineStr">
        <is>
          <t>06/2025</t>
        </is>
      </c>
      <c r="H203" s="104" t="inlineStr">
        <is>
          <t>CODI</t>
        </is>
      </c>
    </row>
    <row r="204" ht="15" customHeight="1" s="86">
      <c r="B204" s="101" t="n">
        <v>45809</v>
      </c>
      <c r="C204" s="102" t="inlineStr">
        <is>
          <t>Aluguéis e Condomínios - 06/2025</t>
        </is>
      </c>
      <c r="D204" s="102" t="inlineStr">
        <is>
          <t>Saída</t>
        </is>
      </c>
      <c r="E204" s="102" t="inlineStr">
        <is>
          <t>Aluguéis e Condomínios</t>
        </is>
      </c>
      <c r="F204" s="103" t="n">
        <v>5501</v>
      </c>
      <c r="G204" s="104" t="inlineStr">
        <is>
          <t>06/2025</t>
        </is>
      </c>
      <c r="H204" s="104" t="inlineStr">
        <is>
          <t>CODI</t>
        </is>
      </c>
    </row>
    <row r="205" ht="15" customHeight="1" s="86">
      <c r="B205" s="101" t="n">
        <v>45809</v>
      </c>
      <c r="C205" s="102" t="inlineStr">
        <is>
          <t>Aviamento - 06/2025</t>
        </is>
      </c>
      <c r="D205" s="102" t="inlineStr">
        <is>
          <t>Saída</t>
        </is>
      </c>
      <c r="E205" s="102" t="inlineStr">
        <is>
          <t>Aviamento</t>
        </is>
      </c>
      <c r="F205" s="103" t="n">
        <v>6907.8</v>
      </c>
      <c r="G205" s="104" t="inlineStr">
        <is>
          <t>06/2025</t>
        </is>
      </c>
      <c r="H205" s="104" t="inlineStr">
        <is>
          <t>CODI</t>
        </is>
      </c>
    </row>
    <row r="206" ht="15" customHeight="1" s="86">
      <c r="B206" s="101" t="n">
        <v>45809</v>
      </c>
      <c r="C206" s="102" t="inlineStr">
        <is>
          <t>Compra de Veículos - 06/2025</t>
        </is>
      </c>
      <c r="D206" s="102" t="inlineStr">
        <is>
          <t>Saída</t>
        </is>
      </c>
      <c r="E206" s="102" t="inlineStr">
        <is>
          <t>Compra de Veículos</t>
        </is>
      </c>
      <c r="F206" s="103" t="n">
        <v>1742</v>
      </c>
      <c r="G206" s="104" t="inlineStr">
        <is>
          <t>06/2025</t>
        </is>
      </c>
      <c r="H206" s="104" t="inlineStr">
        <is>
          <t>CODI</t>
        </is>
      </c>
    </row>
    <row r="207" ht="15" customHeight="1" s="86">
      <c r="B207" s="101" t="n">
        <v>45809</v>
      </c>
      <c r="C207" s="102" t="inlineStr">
        <is>
          <t>Despesa não Identificada - 06/2025</t>
        </is>
      </c>
      <c r="D207" s="102" t="inlineStr">
        <is>
          <t>Saída</t>
        </is>
      </c>
      <c r="E207" s="102" t="inlineStr">
        <is>
          <t>Despesa não Identificada</t>
        </is>
      </c>
      <c r="F207" s="103" t="n">
        <v>137846.35</v>
      </c>
      <c r="G207" s="104" t="inlineStr">
        <is>
          <t>06/2025</t>
        </is>
      </c>
      <c r="H207" s="104" t="inlineStr">
        <is>
          <t>CODI</t>
        </is>
      </c>
    </row>
    <row r="208" ht="15" customHeight="1" s="86">
      <c r="B208" s="101" t="n">
        <v>45809</v>
      </c>
      <c r="C208" s="102" t="inlineStr">
        <is>
          <t>Energia Elétrica - 06/2025</t>
        </is>
      </c>
      <c r="D208" s="102" t="inlineStr">
        <is>
          <t>Saída</t>
        </is>
      </c>
      <c r="E208" s="102" t="inlineStr">
        <is>
          <t>Energia Elétrica</t>
        </is>
      </c>
      <c r="F208" s="103" t="n">
        <v>110.19</v>
      </c>
      <c r="G208" s="104" t="inlineStr">
        <is>
          <t>06/2025</t>
        </is>
      </c>
      <c r="H208" s="104" t="inlineStr">
        <is>
          <t>CODI</t>
        </is>
      </c>
    </row>
    <row r="209" ht="15" customHeight="1" s="86">
      <c r="B209" s="101" t="n">
        <v>45809</v>
      </c>
      <c r="C209" s="102" t="inlineStr">
        <is>
          <t>Etiquetas - 06/2025</t>
        </is>
      </c>
      <c r="D209" s="102" t="inlineStr">
        <is>
          <t>Saída</t>
        </is>
      </c>
      <c r="E209" s="102" t="inlineStr">
        <is>
          <t>Etiquetas</t>
        </is>
      </c>
      <c r="F209" s="103" t="n">
        <v>9883.139999999999</v>
      </c>
      <c r="G209" s="104" t="inlineStr">
        <is>
          <t>06/2025</t>
        </is>
      </c>
      <c r="H209" s="104" t="inlineStr">
        <is>
          <t>CODI</t>
        </is>
      </c>
    </row>
    <row r="210" ht="15" customHeight="1" s="86">
      <c r="B210" s="101" t="n">
        <v>45809</v>
      </c>
      <c r="C210" s="102" t="inlineStr">
        <is>
          <t>Facção - 06/2025</t>
        </is>
      </c>
      <c r="D210" s="102" t="inlineStr">
        <is>
          <t>Saída</t>
        </is>
      </c>
      <c r="E210" s="102" t="inlineStr">
        <is>
          <t>Facção</t>
        </is>
      </c>
      <c r="F210" s="103" t="n">
        <v>90866.5</v>
      </c>
      <c r="G210" s="104" t="inlineStr">
        <is>
          <t>06/2025</t>
        </is>
      </c>
      <c r="H210" s="104" t="inlineStr">
        <is>
          <t>CODI</t>
        </is>
      </c>
    </row>
    <row r="211" ht="15" customHeight="1" s="86">
      <c r="B211" s="101" t="n">
        <v>45809</v>
      </c>
      <c r="C211" s="102" t="inlineStr">
        <is>
          <t>Frete e Transporte de Mercadorias - 06/2025</t>
        </is>
      </c>
      <c r="D211" s="102" t="inlineStr">
        <is>
          <t>Saída</t>
        </is>
      </c>
      <c r="E211" s="102" t="inlineStr">
        <is>
          <t>Frete e Transporte de Mercadorias</t>
        </is>
      </c>
      <c r="F211" s="103" t="n">
        <v>7505.06</v>
      </c>
      <c r="G211" s="104" t="inlineStr">
        <is>
          <t>06/2025</t>
        </is>
      </c>
      <c r="H211" s="104" t="inlineStr">
        <is>
          <t>CODI</t>
        </is>
      </c>
    </row>
    <row r="212" ht="15" customHeight="1" s="86">
      <c r="B212" s="101" t="n">
        <v>45809</v>
      </c>
      <c r="C212" s="102" t="inlineStr">
        <is>
          <t>Férias - 06/2025</t>
        </is>
      </c>
      <c r="D212" s="102" t="inlineStr">
        <is>
          <t>Saída</t>
        </is>
      </c>
      <c r="E212" s="102" t="inlineStr">
        <is>
          <t>Férias</t>
        </is>
      </c>
      <c r="F212" s="103" t="n">
        <v>2621</v>
      </c>
      <c r="G212" s="104" t="inlineStr">
        <is>
          <t>06/2025</t>
        </is>
      </c>
      <c r="H212" s="104" t="inlineStr">
        <is>
          <t>CODI</t>
        </is>
      </c>
    </row>
    <row r="213" ht="15" customHeight="1" s="86">
      <c r="B213" s="101" t="n">
        <v>45809</v>
      </c>
      <c r="C213" s="102" t="inlineStr">
        <is>
          <t>Honorários Contábeis (Contabilidade) - 06/2025</t>
        </is>
      </c>
      <c r="D213" s="102" t="inlineStr">
        <is>
          <t>Saída</t>
        </is>
      </c>
      <c r="E213" s="102" t="inlineStr">
        <is>
          <t>Honorários Contábeis (Contabilidade)</t>
        </is>
      </c>
      <c r="F213" s="103" t="n">
        <v>1100</v>
      </c>
      <c r="G213" s="104" t="inlineStr">
        <is>
          <t>06/2025</t>
        </is>
      </c>
      <c r="H213" s="104" t="inlineStr">
        <is>
          <t>CODI</t>
        </is>
      </c>
    </row>
    <row r="214" ht="15" customHeight="1" s="86">
      <c r="B214" s="101" t="n">
        <v>45809</v>
      </c>
      <c r="C214" s="102" t="inlineStr">
        <is>
          <t>Lavanderia - 06/2025</t>
        </is>
      </c>
      <c r="D214" s="102" t="inlineStr">
        <is>
          <t>Saída</t>
        </is>
      </c>
      <c r="E214" s="102" t="inlineStr">
        <is>
          <t>Lavanderia</t>
        </is>
      </c>
      <c r="F214" s="103" t="n">
        <v>22225</v>
      </c>
      <c r="G214" s="104" t="inlineStr">
        <is>
          <t>06/2025</t>
        </is>
      </c>
      <c r="H214" s="104" t="inlineStr">
        <is>
          <t>CODI</t>
        </is>
      </c>
    </row>
    <row r="215" ht="15" customHeight="1" s="86">
      <c r="B215" s="101" t="n">
        <v>45809</v>
      </c>
      <c r="C215" s="102" t="inlineStr">
        <is>
          <t>Material de Limpeza e Higiene - 06/2025</t>
        </is>
      </c>
      <c r="D215" s="102" t="inlineStr">
        <is>
          <t>Saída</t>
        </is>
      </c>
      <c r="E215" s="102" t="inlineStr">
        <is>
          <t>Material de Limpeza e Higiene</t>
        </is>
      </c>
      <c r="F215" s="103" t="n">
        <v>318.21</v>
      </c>
      <c r="G215" s="104" t="inlineStr">
        <is>
          <t>06/2025</t>
        </is>
      </c>
      <c r="H215" s="104" t="inlineStr">
        <is>
          <t>CODI</t>
        </is>
      </c>
    </row>
    <row r="216" ht="15" customHeight="1" s="86">
      <c r="B216" s="101" t="n">
        <v>45809</v>
      </c>
      <c r="C216" s="102" t="inlineStr">
        <is>
          <t>Outros Insumos - 06/2025</t>
        </is>
      </c>
      <c r="D216" s="102" t="inlineStr">
        <is>
          <t>Saída</t>
        </is>
      </c>
      <c r="E216" s="102" t="inlineStr">
        <is>
          <t>Outros Insumos</t>
        </is>
      </c>
      <c r="F216" s="103" t="n">
        <v>15.3</v>
      </c>
      <c r="G216" s="104" t="inlineStr">
        <is>
          <t>06/2025</t>
        </is>
      </c>
      <c r="H216" s="104" t="inlineStr">
        <is>
          <t>CODI</t>
        </is>
      </c>
    </row>
    <row r="217" ht="15" customHeight="1" s="86">
      <c r="B217" s="101" t="n">
        <v>45809</v>
      </c>
      <c r="C217" s="102" t="inlineStr">
        <is>
          <t>Publicidade - 06/2025</t>
        </is>
      </c>
      <c r="D217" s="102" t="inlineStr">
        <is>
          <t>Saída</t>
        </is>
      </c>
      <c r="E217" s="102" t="inlineStr">
        <is>
          <t>Publicidade</t>
        </is>
      </c>
      <c r="F217" s="103" t="n">
        <v>5617.27</v>
      </c>
      <c r="G217" s="104" t="inlineStr">
        <is>
          <t>06/2025</t>
        </is>
      </c>
      <c r="H217" s="104" t="inlineStr">
        <is>
          <t>CODI</t>
        </is>
      </c>
    </row>
    <row r="218" ht="15" customHeight="1" s="86">
      <c r="B218" s="101" t="n">
        <v>45809</v>
      </c>
      <c r="C218" s="102" t="inlineStr">
        <is>
          <t>Salário e Ordenados - 06/2025</t>
        </is>
      </c>
      <c r="D218" s="102" t="inlineStr">
        <is>
          <t>Saída</t>
        </is>
      </c>
      <c r="E218" s="102" t="inlineStr">
        <is>
          <t>Salário e Ordenados</t>
        </is>
      </c>
      <c r="F218" s="103" t="n">
        <v>21577.57</v>
      </c>
      <c r="G218" s="104" t="inlineStr">
        <is>
          <t>06/2025</t>
        </is>
      </c>
      <c r="H218" s="104" t="inlineStr">
        <is>
          <t>CODI</t>
        </is>
      </c>
    </row>
    <row r="219" ht="15" customHeight="1" s="86">
      <c r="B219" s="101" t="n">
        <v>45809</v>
      </c>
      <c r="C219" s="102" t="inlineStr">
        <is>
          <t>Segurança e Monitoramento - 06/2025</t>
        </is>
      </c>
      <c r="D219" s="102" t="inlineStr">
        <is>
          <t>Saída</t>
        </is>
      </c>
      <c r="E219" s="102" t="inlineStr">
        <is>
          <t>Segurança e Monitoramento</t>
        </is>
      </c>
      <c r="F219" s="103" t="n">
        <v>140</v>
      </c>
      <c r="G219" s="104" t="inlineStr">
        <is>
          <t>06/2025</t>
        </is>
      </c>
      <c r="H219" s="104" t="inlineStr">
        <is>
          <t>CODI</t>
        </is>
      </c>
    </row>
    <row r="220" ht="15" customHeight="1" s="86">
      <c r="B220" s="101" t="n">
        <v>45809</v>
      </c>
      <c r="C220" s="102" t="inlineStr">
        <is>
          <t>Seguros - 06/2025</t>
        </is>
      </c>
      <c r="D220" s="102" t="inlineStr">
        <is>
          <t>Saída</t>
        </is>
      </c>
      <c r="E220" s="102" t="inlineStr">
        <is>
          <t>Seguros</t>
        </is>
      </c>
      <c r="F220" s="103" t="n">
        <v>269.95</v>
      </c>
      <c r="G220" s="104" t="inlineStr">
        <is>
          <t>06/2025</t>
        </is>
      </c>
      <c r="H220" s="104" t="inlineStr">
        <is>
          <t>CODI</t>
        </is>
      </c>
    </row>
    <row r="221" ht="15" customHeight="1" s="86">
      <c r="B221" s="101" t="n">
        <v>45809</v>
      </c>
      <c r="C221" s="102" t="inlineStr">
        <is>
          <t>Simples Nacional - 06/2025</t>
        </is>
      </c>
      <c r="D221" s="102" t="inlineStr">
        <is>
          <t>Saída</t>
        </is>
      </c>
      <c r="E221" s="102" t="inlineStr">
        <is>
          <t>Simples Nacional</t>
        </is>
      </c>
      <c r="F221" s="103" t="n">
        <v>17799.48</v>
      </c>
      <c r="G221" s="104" t="inlineStr">
        <is>
          <t>06/2025</t>
        </is>
      </c>
      <c r="H221" s="104" t="inlineStr">
        <is>
          <t>CODI</t>
        </is>
      </c>
    </row>
    <row r="222" ht="15" customHeight="1" s="86">
      <c r="B222" s="101" t="n">
        <v>45809</v>
      </c>
      <c r="C222" s="102" t="inlineStr">
        <is>
          <t>Tecidos - 06/2025</t>
        </is>
      </c>
      <c r="D222" s="102" t="inlineStr">
        <is>
          <t>Saída</t>
        </is>
      </c>
      <c r="E222" s="102" t="inlineStr">
        <is>
          <t>Tecidos</t>
        </is>
      </c>
      <c r="F222" s="103" t="n">
        <v>250690.09</v>
      </c>
      <c r="G222" s="104" t="inlineStr">
        <is>
          <t>06/2025</t>
        </is>
      </c>
      <c r="H222" s="104" t="inlineStr">
        <is>
          <t>CODI</t>
        </is>
      </c>
    </row>
    <row r="223" ht="15" customHeight="1" s="86">
      <c r="B223" s="101" t="n">
        <v>45809</v>
      </c>
      <c r="C223" s="102" t="inlineStr">
        <is>
          <t>Telefonia Fixa e Internet - 06/2025</t>
        </is>
      </c>
      <c r="D223" s="102" t="inlineStr">
        <is>
          <t>Saída</t>
        </is>
      </c>
      <c r="E223" s="102" t="inlineStr">
        <is>
          <t>Telefonia Fixa e Internet</t>
        </is>
      </c>
      <c r="F223" s="103" t="n">
        <v>240.64</v>
      </c>
      <c r="G223" s="104" t="inlineStr">
        <is>
          <t>06/2025</t>
        </is>
      </c>
      <c r="H223" s="104" t="inlineStr">
        <is>
          <t>CODI</t>
        </is>
      </c>
    </row>
    <row r="224" ht="15" customHeight="1" s="86">
      <c r="B224" s="101" t="n">
        <v>45809</v>
      </c>
      <c r="C224" s="102" t="inlineStr">
        <is>
          <t>Travete - 06/2025</t>
        </is>
      </c>
      <c r="D224" s="102" t="inlineStr">
        <is>
          <t>Saída</t>
        </is>
      </c>
      <c r="E224" s="102" t="inlineStr">
        <is>
          <t>Travete</t>
        </is>
      </c>
      <c r="F224" s="103" t="n">
        <v>8593</v>
      </c>
      <c r="G224" s="104" t="inlineStr">
        <is>
          <t>06/2025</t>
        </is>
      </c>
      <c r="H224" s="104" t="inlineStr">
        <is>
          <t>CODI</t>
        </is>
      </c>
    </row>
    <row r="225" ht="15" customHeight="1" s="86">
      <c r="B225" s="101" t="n">
        <v>45809</v>
      </c>
      <c r="C225" s="102" t="inlineStr">
        <is>
          <t>Títulos de Capitalização - 06/2025</t>
        </is>
      </c>
      <c r="D225" s="102" t="inlineStr">
        <is>
          <t>Saída</t>
        </is>
      </c>
      <c r="E225" s="102" t="inlineStr">
        <is>
          <t>Títulos de Capitalização</t>
        </is>
      </c>
      <c r="F225" s="103" t="n">
        <v>12013.66</v>
      </c>
      <c r="G225" s="104" t="inlineStr">
        <is>
          <t>06/2025</t>
        </is>
      </c>
      <c r="H225" s="104" t="inlineStr">
        <is>
          <t>CODI</t>
        </is>
      </c>
    </row>
    <row r="226" ht="15" customHeight="1" s="86">
      <c r="B226" s="101" t="n">
        <v>45809</v>
      </c>
      <c r="C226" s="102" t="inlineStr">
        <is>
          <t>Vale Transporte - 06/2025</t>
        </is>
      </c>
      <c r="D226" s="102" t="inlineStr">
        <is>
          <t>Saída</t>
        </is>
      </c>
      <c r="E226" s="102" t="inlineStr">
        <is>
          <t>Vale Transporte</t>
        </is>
      </c>
      <c r="F226" s="103" t="n">
        <v>3820</v>
      </c>
      <c r="G226" s="104" t="inlineStr">
        <is>
          <t>06/2025</t>
        </is>
      </c>
      <c r="H226" s="104" t="inlineStr">
        <is>
          <t>CODI</t>
        </is>
      </c>
    </row>
    <row r="227" ht="15" customHeight="1" s="86">
      <c r="B227" s="101" t="n">
        <v>45809</v>
      </c>
      <c r="C227" s="102" t="inlineStr">
        <is>
          <t>Vales e Adiantamentos - 06/2025</t>
        </is>
      </c>
      <c r="D227" s="102" t="inlineStr">
        <is>
          <t>Saída</t>
        </is>
      </c>
      <c r="E227" s="102" t="inlineStr">
        <is>
          <t>Vales e Adiantamentos</t>
        </is>
      </c>
      <c r="F227" s="103" t="n">
        <v>3750</v>
      </c>
      <c r="G227" s="104" t="inlineStr">
        <is>
          <t>06/2025</t>
        </is>
      </c>
      <c r="H227" s="104" t="inlineStr">
        <is>
          <t>CODI</t>
        </is>
      </c>
    </row>
    <row r="228" ht="15" customHeight="1" s="86">
      <c r="B228" s="101" t="n">
        <v>45809</v>
      </c>
      <c r="C228" s="102" t="inlineStr">
        <is>
          <t>Web Site e Sistema ERP - 06/2025</t>
        </is>
      </c>
      <c r="D228" s="102" t="inlineStr">
        <is>
          <t>Saída</t>
        </is>
      </c>
      <c r="E228" s="102" t="inlineStr">
        <is>
          <t>Web Site e Sistema ERP</t>
        </is>
      </c>
      <c r="F228" s="103" t="n">
        <v>890</v>
      </c>
      <c r="G228" s="104" t="inlineStr">
        <is>
          <t>06/2025</t>
        </is>
      </c>
      <c r="H228" s="104" t="inlineStr">
        <is>
          <t>CODI</t>
        </is>
      </c>
    </row>
    <row r="229" ht="15" customHeight="1" s="86">
      <c r="B229" s="101" t="n">
        <v>45809</v>
      </c>
      <c r="C229" s="102" t="inlineStr">
        <is>
          <t>Água - 06/2025</t>
        </is>
      </c>
      <c r="D229" s="102" t="inlineStr">
        <is>
          <t>Saída</t>
        </is>
      </c>
      <c r="E229" s="102" t="inlineStr">
        <is>
          <t>Água</t>
        </is>
      </c>
      <c r="F229" s="103" t="n">
        <v>332.28</v>
      </c>
      <c r="G229" s="104" t="inlineStr">
        <is>
          <t>06/2025</t>
        </is>
      </c>
      <c r="H229" s="104" t="inlineStr">
        <is>
          <t>CODI</t>
        </is>
      </c>
    </row>
    <row r="230" ht="15" customHeight="1" s="86">
      <c r="B230" s="101" t="n">
        <v>45809</v>
      </c>
      <c r="C230" s="102" t="inlineStr">
        <is>
          <t>Acabamento Externo - 06/2025</t>
        </is>
      </c>
      <c r="D230" s="102" t="inlineStr">
        <is>
          <t>Saída</t>
        </is>
      </c>
      <c r="E230" s="102" t="inlineStr">
        <is>
          <t>Acabamento Externo</t>
        </is>
      </c>
      <c r="F230" s="103" t="n">
        <v>14011.2</v>
      </c>
      <c r="G230" s="104" t="inlineStr">
        <is>
          <t>06/2025</t>
        </is>
      </c>
      <c r="H230" s="104" t="inlineStr">
        <is>
          <t>CODI</t>
        </is>
      </c>
    </row>
    <row r="231" ht="15" customHeight="1" s="86">
      <c r="B231" s="101" t="n">
        <v>45809</v>
      </c>
      <c r="C231" s="102" t="inlineStr">
        <is>
          <t>Alimentação - 06/2025</t>
        </is>
      </c>
      <c r="D231" s="102" t="inlineStr">
        <is>
          <t>Saída</t>
        </is>
      </c>
      <c r="E231" s="102" t="inlineStr">
        <is>
          <t>Alimentação</t>
        </is>
      </c>
      <c r="F231" s="103" t="n">
        <v>94.06</v>
      </c>
      <c r="G231" s="104" t="inlineStr">
        <is>
          <t>06/2025</t>
        </is>
      </c>
      <c r="H231" s="104" t="inlineStr">
        <is>
          <t>CODI</t>
        </is>
      </c>
    </row>
    <row r="232" ht="15" customHeight="1" s="86">
      <c r="B232" s="101" t="n">
        <v>45809</v>
      </c>
      <c r="C232" s="102" t="inlineStr">
        <is>
          <t>Combustíveis - 06/2025</t>
        </is>
      </c>
      <c r="D232" s="102" t="inlineStr">
        <is>
          <t>Saída</t>
        </is>
      </c>
      <c r="E232" s="102" t="inlineStr">
        <is>
          <t>Combustíveis</t>
        </is>
      </c>
      <c r="F232" s="103" t="n">
        <v>1719.58</v>
      </c>
      <c r="G232" s="104" t="inlineStr">
        <is>
          <t>06/2025</t>
        </is>
      </c>
      <c r="H232" s="104" t="inlineStr">
        <is>
          <t>CODI</t>
        </is>
      </c>
    </row>
    <row r="233" ht="15" customHeight="1" s="86">
      <c r="B233" s="101" t="n">
        <v>45809</v>
      </c>
      <c r="C233" s="102" t="inlineStr">
        <is>
          <t>Coquetéis, festas e outros eventos - 06/2025</t>
        </is>
      </c>
      <c r="D233" s="102" t="inlineStr">
        <is>
          <t>Saída</t>
        </is>
      </c>
      <c r="E233" s="102" t="inlineStr">
        <is>
          <t>Coquetéis, festas e outros eventos</t>
        </is>
      </c>
      <c r="F233" s="103" t="n">
        <v>658.0700000000001</v>
      </c>
      <c r="G233" s="104" t="inlineStr">
        <is>
          <t>06/2025</t>
        </is>
      </c>
      <c r="H233" s="104" t="inlineStr">
        <is>
          <t>CODI</t>
        </is>
      </c>
    </row>
    <row r="234" ht="15" customHeight="1" s="86">
      <c r="B234" s="101" t="n">
        <v>45809</v>
      </c>
      <c r="C234" s="102" t="inlineStr">
        <is>
          <t>Criação de Modelos - 06/2025</t>
        </is>
      </c>
      <c r="D234" s="102" t="inlineStr">
        <is>
          <t>Saída</t>
        </is>
      </c>
      <c r="E234" s="102" t="inlineStr">
        <is>
          <t>Criação de Modelos</t>
        </is>
      </c>
      <c r="F234" s="103" t="n">
        <v>6835</v>
      </c>
      <c r="G234" s="104" t="inlineStr">
        <is>
          <t>06/2025</t>
        </is>
      </c>
      <c r="H234" s="104" t="inlineStr">
        <is>
          <t>CODI</t>
        </is>
      </c>
    </row>
    <row r="235" ht="15" customHeight="1" s="86">
      <c r="B235" s="101" t="n">
        <v>45809</v>
      </c>
      <c r="C235" s="102" t="inlineStr">
        <is>
          <t>Embalagens - 06/2025</t>
        </is>
      </c>
      <c r="D235" s="102" t="inlineStr">
        <is>
          <t>Saída</t>
        </is>
      </c>
      <c r="E235" s="102" t="inlineStr">
        <is>
          <t>Embalagens</t>
        </is>
      </c>
      <c r="F235" s="103" t="n">
        <v>2022.7</v>
      </c>
      <c r="G235" s="104" t="inlineStr">
        <is>
          <t>06/2025</t>
        </is>
      </c>
      <c r="H235" s="104" t="inlineStr">
        <is>
          <t>CODI</t>
        </is>
      </c>
    </row>
    <row r="236" ht="15" customHeight="1" s="86">
      <c r="B236" s="101" t="n">
        <v>45809</v>
      </c>
      <c r="C236" s="102" t="inlineStr">
        <is>
          <t>Multas - 06/2025</t>
        </is>
      </c>
      <c r="D236" s="102" t="inlineStr">
        <is>
          <t>Saída</t>
        </is>
      </c>
      <c r="E236" s="102" t="inlineStr">
        <is>
          <t>Multas</t>
        </is>
      </c>
      <c r="F236" s="103" t="n">
        <v>234.78</v>
      </c>
      <c r="G236" s="104" t="inlineStr">
        <is>
          <t>06/2025</t>
        </is>
      </c>
      <c r="H236" s="104" t="inlineStr">
        <is>
          <t>CODI</t>
        </is>
      </c>
    </row>
    <row r="237" ht="15" customHeight="1" s="86">
      <c r="B237" s="101" t="n">
        <v>45809</v>
      </c>
      <c r="C237" s="102" t="inlineStr">
        <is>
          <t>Bordado Industrial - 06/2025</t>
        </is>
      </c>
      <c r="D237" s="102" t="inlineStr">
        <is>
          <t>Saída</t>
        </is>
      </c>
      <c r="E237" s="102" t="inlineStr">
        <is>
          <t>Bordado Industrial</t>
        </is>
      </c>
      <c r="F237" s="103" t="n">
        <v>400</v>
      </c>
      <c r="G237" s="104" t="inlineStr">
        <is>
          <t>06/2025</t>
        </is>
      </c>
      <c r="H237" s="104" t="inlineStr">
        <is>
          <t>CODI</t>
        </is>
      </c>
    </row>
    <row r="238" ht="15" customHeight="1" s="86">
      <c r="B238" s="101" t="n">
        <v>45809</v>
      </c>
      <c r="C238" s="102" t="inlineStr">
        <is>
          <t>Comissão de vendedores - 06/2025</t>
        </is>
      </c>
      <c r="D238" s="102" t="inlineStr">
        <is>
          <t>Saída</t>
        </is>
      </c>
      <c r="E238" s="102" t="inlineStr">
        <is>
          <t>Comissão de vendedores</t>
        </is>
      </c>
      <c r="F238" s="103" t="n">
        <v>7156.33</v>
      </c>
      <c r="G238" s="104" t="inlineStr">
        <is>
          <t>06/2025</t>
        </is>
      </c>
      <c r="H238" s="104" t="inlineStr">
        <is>
          <t>CODI</t>
        </is>
      </c>
    </row>
    <row r="239" ht="15" customHeight="1" s="86">
      <c r="B239" s="101" t="n">
        <v>45809</v>
      </c>
      <c r="C239" s="102" t="inlineStr">
        <is>
          <t>Consulta de Crédito Cliente - 06/2025</t>
        </is>
      </c>
      <c r="D239" s="102" t="inlineStr">
        <is>
          <t>Saída</t>
        </is>
      </c>
      <c r="E239" s="102" t="inlineStr">
        <is>
          <t>Consulta de Crédito Cliente</t>
        </is>
      </c>
      <c r="F239" s="103" t="n">
        <v>387.32</v>
      </c>
      <c r="G239" s="104" t="inlineStr">
        <is>
          <t>06/2025</t>
        </is>
      </c>
      <c r="H239" s="104" t="inlineStr">
        <is>
          <t>CODI</t>
        </is>
      </c>
    </row>
    <row r="240" ht="15" customHeight="1" s="86">
      <c r="B240" s="101" t="n">
        <v>45809</v>
      </c>
      <c r="C240" s="102" t="inlineStr">
        <is>
          <t>Despesa com Sindicatos - 06/2025</t>
        </is>
      </c>
      <c r="D240" s="102" t="inlineStr">
        <is>
          <t>Saída</t>
        </is>
      </c>
      <c r="E240" s="102" t="inlineStr">
        <is>
          <t>Despesa com Sindicatos</t>
        </is>
      </c>
      <c r="F240" s="103" t="n">
        <v>697.87</v>
      </c>
      <c r="G240" s="104" t="inlineStr">
        <is>
          <t>06/2025</t>
        </is>
      </c>
      <c r="H240" s="104" t="inlineStr">
        <is>
          <t>CODI</t>
        </is>
      </c>
    </row>
    <row r="241" ht="15" customHeight="1" s="86">
      <c r="B241" s="101" t="n">
        <v>45809</v>
      </c>
      <c r="C241" s="102" t="inlineStr">
        <is>
          <t>Manutenção de Veiculos e Estacionamento - 06/2025</t>
        </is>
      </c>
      <c r="D241" s="102" t="inlineStr">
        <is>
          <t>Saída</t>
        </is>
      </c>
      <c r="E241" s="102" t="inlineStr">
        <is>
          <t>Manutenção de Veiculos e Estacionamento</t>
        </is>
      </c>
      <c r="F241" s="103" t="n">
        <v>50</v>
      </c>
      <c r="G241" s="104" t="inlineStr">
        <is>
          <t>06/2025</t>
        </is>
      </c>
      <c r="H241" s="104" t="inlineStr">
        <is>
          <t>CODI</t>
        </is>
      </c>
    </row>
    <row r="242" ht="15" customHeight="1" s="86">
      <c r="B242" s="101" t="n">
        <v>45809</v>
      </c>
      <c r="C242" s="102" t="inlineStr">
        <is>
          <t>Material de Escritório - 06/2025</t>
        </is>
      </c>
      <c r="D242" s="102" t="inlineStr">
        <is>
          <t>Saída</t>
        </is>
      </c>
      <c r="E242" s="102" t="inlineStr">
        <is>
          <t>Material de Escritório</t>
        </is>
      </c>
      <c r="F242" s="103" t="n">
        <v>369.17</v>
      </c>
      <c r="G242" s="104" t="inlineStr">
        <is>
          <t>06/2025</t>
        </is>
      </c>
      <c r="H242" s="104" t="inlineStr">
        <is>
          <t>CODI</t>
        </is>
      </c>
    </row>
    <row r="243" ht="15" customHeight="1" s="86">
      <c r="B243" s="101" t="n">
        <v>45809</v>
      </c>
      <c r="C243" s="102" t="inlineStr">
        <is>
          <t>Viagens e estadas - 06/2025</t>
        </is>
      </c>
      <c r="D243" s="102" t="inlineStr">
        <is>
          <t>Saída</t>
        </is>
      </c>
      <c r="E243" s="102" t="inlineStr">
        <is>
          <t>Viagens e estadas</t>
        </is>
      </c>
      <c r="F243" s="103" t="n">
        <v>30.6</v>
      </c>
      <c r="G243" s="104" t="inlineStr">
        <is>
          <t>06/2025</t>
        </is>
      </c>
      <c r="H243" s="104" t="inlineStr">
        <is>
          <t>CODI</t>
        </is>
      </c>
    </row>
    <row r="244" ht="15" customHeight="1" s="86">
      <c r="B244" s="101" t="n">
        <v>45809</v>
      </c>
      <c r="C244" s="102" t="inlineStr">
        <is>
          <t>Comissão de Assessores - 06/2025</t>
        </is>
      </c>
      <c r="D244" s="102" t="inlineStr">
        <is>
          <t>Saída</t>
        </is>
      </c>
      <c r="E244" s="102" t="inlineStr">
        <is>
          <t>Comissão de Assessores</t>
        </is>
      </c>
      <c r="F244" s="103" t="n">
        <v>432</v>
      </c>
      <c r="G244" s="104" t="inlineStr">
        <is>
          <t>06/2025</t>
        </is>
      </c>
      <c r="H244" s="104" t="inlineStr">
        <is>
          <t>CODI</t>
        </is>
      </c>
    </row>
    <row r="245" ht="15" customHeight="1" s="86">
      <c r="B245" s="101" t="n">
        <v>45809</v>
      </c>
      <c r="C245" s="102" t="inlineStr">
        <is>
          <t>Fgts, Gps e Pis - 06/2025</t>
        </is>
      </c>
      <c r="D245" s="102" t="inlineStr">
        <is>
          <t>Saída</t>
        </is>
      </c>
      <c r="E245" s="102" t="inlineStr">
        <is>
          <t>Fgts, Gps e Pis</t>
        </is>
      </c>
      <c r="F245" s="103" t="n">
        <v>1885.32</v>
      </c>
      <c r="G245" s="104" t="inlineStr">
        <is>
          <t>06/2025</t>
        </is>
      </c>
      <c r="H245" s="104" t="inlineStr">
        <is>
          <t>CODI</t>
        </is>
      </c>
    </row>
    <row r="246" ht="15" customHeight="1" s="86">
      <c r="B246" s="101" t="n">
        <v>45809</v>
      </c>
      <c r="C246" s="102" t="inlineStr">
        <is>
          <t>Manutenção de Imóveis - 06/2025</t>
        </is>
      </c>
      <c r="D246" s="102" t="inlineStr">
        <is>
          <t>Saída</t>
        </is>
      </c>
      <c r="E246" s="102" t="inlineStr">
        <is>
          <t>Manutenção de Imóveis</t>
        </is>
      </c>
      <c r="F246" s="103" t="n">
        <v>1000</v>
      </c>
      <c r="G246" s="104" t="inlineStr">
        <is>
          <t>06/2025</t>
        </is>
      </c>
      <c r="H246" s="104" t="inlineStr">
        <is>
          <t>CODI</t>
        </is>
      </c>
    </row>
    <row r="247" ht="15" customHeight="1" s="86">
      <c r="B247" s="101" t="n">
        <v>45809</v>
      </c>
      <c r="C247" s="102" t="inlineStr">
        <is>
          <t>Compra de Computadores e Eletrônicos - 06/2025</t>
        </is>
      </c>
      <c r="D247" s="102" t="inlineStr">
        <is>
          <t>Saída</t>
        </is>
      </c>
      <c r="E247" s="102" t="inlineStr">
        <is>
          <t>Compra de Computadores e Eletrônicos</t>
        </is>
      </c>
      <c r="F247" s="103" t="n">
        <v>675.95</v>
      </c>
      <c r="G247" s="104" t="inlineStr">
        <is>
          <t>06/2025</t>
        </is>
      </c>
      <c r="H247" s="104" t="inlineStr">
        <is>
          <t>CODI</t>
        </is>
      </c>
    </row>
    <row r="248" ht="15" customHeight="1" s="86">
      <c r="B248" s="101" t="n">
        <v>45809</v>
      </c>
      <c r="C248" s="102" t="inlineStr">
        <is>
          <t>Gasto com Reforma - 06/2025</t>
        </is>
      </c>
      <c r="D248" s="102" t="inlineStr">
        <is>
          <t>Saída</t>
        </is>
      </c>
      <c r="E248" s="102" t="inlineStr">
        <is>
          <t>Gasto com Reforma</t>
        </is>
      </c>
      <c r="F248" s="103" t="n">
        <v>800</v>
      </c>
      <c r="G248" s="104" t="inlineStr">
        <is>
          <t>06/2025</t>
        </is>
      </c>
      <c r="H248" s="104" t="inlineStr">
        <is>
          <t>CODI</t>
        </is>
      </c>
    </row>
    <row r="249" ht="15" customHeight="1" s="86">
      <c r="B249" s="101" t="n">
        <v>45809</v>
      </c>
      <c r="C249" s="102" t="inlineStr">
        <is>
          <t>Produção Externa - 06/2025</t>
        </is>
      </c>
      <c r="D249" s="102" t="inlineStr">
        <is>
          <t>Saída</t>
        </is>
      </c>
      <c r="E249" s="102" t="inlineStr">
        <is>
          <t>Produção Externa</t>
        </is>
      </c>
      <c r="F249" s="103" t="n">
        <v>1948</v>
      </c>
      <c r="G249" s="104" t="inlineStr">
        <is>
          <t>06/2025</t>
        </is>
      </c>
      <c r="H249" s="104" t="inlineStr">
        <is>
          <t>CODI</t>
        </is>
      </c>
    </row>
    <row r="250" ht="15" customHeight="1" s="86">
      <c r="B250" s="101" t="n">
        <v>45839</v>
      </c>
      <c r="C250" s="102" t="inlineStr">
        <is>
          <t>Vendas - 07/2025</t>
        </is>
      </c>
      <c r="D250" s="102" t="inlineStr">
        <is>
          <t>Entrada</t>
        </is>
      </c>
      <c r="E250" s="102" t="inlineStr">
        <is>
          <t>Vendas</t>
        </is>
      </c>
      <c r="F250" s="103" t="n">
        <v>429681.99</v>
      </c>
      <c r="G250" s="104" t="inlineStr">
        <is>
          <t>07/2025</t>
        </is>
      </c>
      <c r="H250" s="104" t="inlineStr">
        <is>
          <t>CODI</t>
        </is>
      </c>
    </row>
    <row r="251" ht="15" customHeight="1" s="86">
      <c r="B251" s="101" t="n">
        <v>45839</v>
      </c>
      <c r="C251" s="102" t="inlineStr">
        <is>
          <t>Aluguéis e Condomínios - 07/2025</t>
        </is>
      </c>
      <c r="D251" s="102" t="inlineStr">
        <is>
          <t>Saída</t>
        </is>
      </c>
      <c r="E251" s="102" t="inlineStr">
        <is>
          <t>Aluguéis e Condomínios</t>
        </is>
      </c>
      <c r="F251" s="103" t="n">
        <v>5618.94</v>
      </c>
      <c r="G251" s="104" t="inlineStr">
        <is>
          <t>07/2025</t>
        </is>
      </c>
      <c r="H251" s="104" t="inlineStr">
        <is>
          <t>CODI</t>
        </is>
      </c>
    </row>
    <row r="252" ht="15" customHeight="1" s="86">
      <c r="B252" s="101" t="n">
        <v>45839</v>
      </c>
      <c r="C252" s="102" t="inlineStr">
        <is>
          <t>Aviamento - 07/2025</t>
        </is>
      </c>
      <c r="D252" s="102" t="inlineStr">
        <is>
          <t>Saída</t>
        </is>
      </c>
      <c r="E252" s="102" t="inlineStr">
        <is>
          <t>Aviamento</t>
        </is>
      </c>
      <c r="F252" s="103" t="n">
        <v>7577.8</v>
      </c>
      <c r="G252" s="104" t="inlineStr">
        <is>
          <t>07/2025</t>
        </is>
      </c>
      <c r="H252" s="104" t="inlineStr">
        <is>
          <t>CODI</t>
        </is>
      </c>
    </row>
    <row r="253" ht="15" customHeight="1" s="86">
      <c r="B253" s="101" t="n">
        <v>45839</v>
      </c>
      <c r="C253" s="102" t="inlineStr">
        <is>
          <t>Compra de Veículos - 07/2025</t>
        </is>
      </c>
      <c r="D253" s="102" t="inlineStr">
        <is>
          <t>Saída</t>
        </is>
      </c>
      <c r="E253" s="102" t="inlineStr">
        <is>
          <t>Compra de Veículos</t>
        </is>
      </c>
      <c r="F253" s="103" t="n">
        <v>15678</v>
      </c>
      <c r="G253" s="104" t="inlineStr">
        <is>
          <t>07/2025</t>
        </is>
      </c>
      <c r="H253" s="104" t="inlineStr">
        <is>
          <t>CODI</t>
        </is>
      </c>
    </row>
    <row r="254" ht="15" customHeight="1" s="86">
      <c r="B254" s="101" t="n">
        <v>45839</v>
      </c>
      <c r="C254" s="102" t="inlineStr">
        <is>
          <t>Despesa não Identificada - 07/2025</t>
        </is>
      </c>
      <c r="D254" s="102" t="inlineStr">
        <is>
          <t>Saída</t>
        </is>
      </c>
      <c r="E254" s="102" t="inlineStr">
        <is>
          <t>Despesa não Identificada</t>
        </is>
      </c>
      <c r="F254" s="103" t="n">
        <v>165958.35</v>
      </c>
      <c r="G254" s="104" t="inlineStr">
        <is>
          <t>07/2025</t>
        </is>
      </c>
      <c r="H254" s="104" t="inlineStr">
        <is>
          <t>CODI</t>
        </is>
      </c>
    </row>
    <row r="255" ht="15" customHeight="1" s="86">
      <c r="B255" s="101" t="n">
        <v>45839</v>
      </c>
      <c r="C255" s="102" t="inlineStr">
        <is>
          <t>Energia Elétrica - 07/2025</t>
        </is>
      </c>
      <c r="D255" s="102" t="inlineStr">
        <is>
          <t>Saída</t>
        </is>
      </c>
      <c r="E255" s="102" t="inlineStr">
        <is>
          <t>Energia Elétrica</t>
        </is>
      </c>
      <c r="F255" s="103" t="n">
        <v>113</v>
      </c>
      <c r="G255" s="104" t="inlineStr">
        <is>
          <t>07/2025</t>
        </is>
      </c>
      <c r="H255" s="104" t="inlineStr">
        <is>
          <t>CODI</t>
        </is>
      </c>
    </row>
    <row r="256" ht="15" customHeight="1" s="86">
      <c r="B256" s="101" t="n">
        <v>45839</v>
      </c>
      <c r="C256" s="102" t="inlineStr">
        <is>
          <t>Etiquetas - 07/2025</t>
        </is>
      </c>
      <c r="D256" s="102" t="inlineStr">
        <is>
          <t>Saída</t>
        </is>
      </c>
      <c r="E256" s="102" t="inlineStr">
        <is>
          <t>Etiquetas</t>
        </is>
      </c>
      <c r="F256" s="103" t="n">
        <v>12230.53</v>
      </c>
      <c r="G256" s="104" t="inlineStr">
        <is>
          <t>07/2025</t>
        </is>
      </c>
      <c r="H256" s="104" t="inlineStr">
        <is>
          <t>CODI</t>
        </is>
      </c>
    </row>
    <row r="257" ht="15" customHeight="1" s="86">
      <c r="B257" s="101" t="n">
        <v>45839</v>
      </c>
      <c r="C257" s="102" t="inlineStr">
        <is>
          <t>Facção - 07/2025</t>
        </is>
      </c>
      <c r="D257" s="102" t="inlineStr">
        <is>
          <t>Saída</t>
        </is>
      </c>
      <c r="E257" s="102" t="inlineStr">
        <is>
          <t>Facção</t>
        </is>
      </c>
      <c r="F257" s="103" t="n">
        <v>112074.5</v>
      </c>
      <c r="G257" s="104" t="inlineStr">
        <is>
          <t>07/2025</t>
        </is>
      </c>
      <c r="H257" s="104" t="inlineStr">
        <is>
          <t>CODI</t>
        </is>
      </c>
    </row>
    <row r="258" ht="15" customHeight="1" s="86">
      <c r="B258" s="101" t="n">
        <v>45839</v>
      </c>
      <c r="C258" s="102" t="inlineStr">
        <is>
          <t>Frete e Transporte de Mercadorias - 07/2025</t>
        </is>
      </c>
      <c r="D258" s="102" t="inlineStr">
        <is>
          <t>Saída</t>
        </is>
      </c>
      <c r="E258" s="102" t="inlineStr">
        <is>
          <t>Frete e Transporte de Mercadorias</t>
        </is>
      </c>
      <c r="F258" s="103" t="n">
        <v>2633.53</v>
      </c>
      <c r="G258" s="104" t="inlineStr">
        <is>
          <t>07/2025</t>
        </is>
      </c>
      <c r="H258" s="104" t="inlineStr">
        <is>
          <t>CODI</t>
        </is>
      </c>
    </row>
    <row r="259" ht="15" customHeight="1" s="86">
      <c r="B259" s="101" t="n">
        <v>45839</v>
      </c>
      <c r="C259" s="102" t="inlineStr">
        <is>
          <t>Lavanderia - 07/2025</t>
        </is>
      </c>
      <c r="D259" s="102" t="inlineStr">
        <is>
          <t>Saída</t>
        </is>
      </c>
      <c r="E259" s="102" t="inlineStr">
        <is>
          <t>Lavanderia</t>
        </is>
      </c>
      <c r="F259" s="103" t="n">
        <v>16054</v>
      </c>
      <c r="G259" s="104" t="inlineStr">
        <is>
          <t>07/2025</t>
        </is>
      </c>
      <c r="H259" s="104" t="inlineStr">
        <is>
          <t>CODI</t>
        </is>
      </c>
    </row>
    <row r="260" ht="15" customHeight="1" s="86">
      <c r="B260" s="101" t="n">
        <v>45839</v>
      </c>
      <c r="C260" s="102" t="inlineStr">
        <is>
          <t>Material de Limpeza e Higiene - 07/2025</t>
        </is>
      </c>
      <c r="D260" s="102" t="inlineStr">
        <is>
          <t>Saída</t>
        </is>
      </c>
      <c r="E260" s="102" t="inlineStr">
        <is>
          <t>Material de Limpeza e Higiene</t>
        </is>
      </c>
      <c r="F260" s="103" t="n">
        <v>30</v>
      </c>
      <c r="G260" s="104" t="inlineStr">
        <is>
          <t>07/2025</t>
        </is>
      </c>
      <c r="H260" s="104" t="inlineStr">
        <is>
          <t>CODI</t>
        </is>
      </c>
    </row>
    <row r="261" ht="15" customHeight="1" s="86">
      <c r="B261" s="101" t="n">
        <v>45839</v>
      </c>
      <c r="C261" s="102" t="inlineStr">
        <is>
          <t>Outros Insumos - 07/2025</t>
        </is>
      </c>
      <c r="D261" s="102" t="inlineStr">
        <is>
          <t>Saída</t>
        </is>
      </c>
      <c r="E261" s="102" t="inlineStr">
        <is>
          <t>Outros Insumos</t>
        </is>
      </c>
      <c r="F261" s="103" t="n">
        <v>134.69</v>
      </c>
      <c r="G261" s="104" t="inlineStr">
        <is>
          <t>07/2025</t>
        </is>
      </c>
      <c r="H261" s="104" t="inlineStr">
        <is>
          <t>CODI</t>
        </is>
      </c>
    </row>
    <row r="262" ht="15" customHeight="1" s="86">
      <c r="B262" s="101" t="n">
        <v>45839</v>
      </c>
      <c r="C262" s="102" t="inlineStr">
        <is>
          <t>Publicidade - 07/2025</t>
        </is>
      </c>
      <c r="D262" s="102" t="inlineStr">
        <is>
          <t>Saída</t>
        </is>
      </c>
      <c r="E262" s="102" t="inlineStr">
        <is>
          <t>Publicidade</t>
        </is>
      </c>
      <c r="F262" s="103" t="n">
        <v>3941.68</v>
      </c>
      <c r="G262" s="104" t="inlineStr">
        <is>
          <t>07/2025</t>
        </is>
      </c>
      <c r="H262" s="104" t="inlineStr">
        <is>
          <t>CODI</t>
        </is>
      </c>
    </row>
    <row r="263" ht="15" customHeight="1" s="86">
      <c r="B263" s="101" t="n">
        <v>45839</v>
      </c>
      <c r="C263" s="102" t="inlineStr">
        <is>
          <t>Salário e Ordenados - 07/2025</t>
        </is>
      </c>
      <c r="D263" s="102" t="inlineStr">
        <is>
          <t>Saída</t>
        </is>
      </c>
      <c r="E263" s="102" t="inlineStr">
        <is>
          <t>Salário e Ordenados</t>
        </is>
      </c>
      <c r="F263" s="103" t="n">
        <v>37022.03</v>
      </c>
      <c r="G263" s="104" t="inlineStr">
        <is>
          <t>07/2025</t>
        </is>
      </c>
      <c r="H263" s="104" t="inlineStr">
        <is>
          <t>CODI</t>
        </is>
      </c>
    </row>
    <row r="264" ht="15" customHeight="1" s="86">
      <c r="B264" s="101" t="n">
        <v>45839</v>
      </c>
      <c r="C264" s="102" t="inlineStr">
        <is>
          <t>Segurança e Monitoramento - 07/2025</t>
        </is>
      </c>
      <c r="D264" s="102" t="inlineStr">
        <is>
          <t>Saída</t>
        </is>
      </c>
      <c r="E264" s="102" t="inlineStr">
        <is>
          <t>Segurança e Monitoramento</t>
        </is>
      </c>
      <c r="F264" s="103" t="n">
        <v>140</v>
      </c>
      <c r="G264" s="104" t="inlineStr">
        <is>
          <t>07/2025</t>
        </is>
      </c>
      <c r="H264" s="104" t="inlineStr">
        <is>
          <t>CODI</t>
        </is>
      </c>
    </row>
    <row r="265" ht="15" customHeight="1" s="86">
      <c r="B265" s="101" t="n">
        <v>45839</v>
      </c>
      <c r="C265" s="102" t="inlineStr">
        <is>
          <t>Seguros - 07/2025</t>
        </is>
      </c>
      <c r="D265" s="102" t="inlineStr">
        <is>
          <t>Saída</t>
        </is>
      </c>
      <c r="E265" s="102" t="inlineStr">
        <is>
          <t>Seguros</t>
        </is>
      </c>
      <c r="F265" s="103" t="n">
        <v>270.22</v>
      </c>
      <c r="G265" s="104" t="inlineStr">
        <is>
          <t>07/2025</t>
        </is>
      </c>
      <c r="H265" s="104" t="inlineStr">
        <is>
          <t>CODI</t>
        </is>
      </c>
    </row>
    <row r="266" ht="15" customHeight="1" s="86">
      <c r="B266" s="101" t="n">
        <v>45839</v>
      </c>
      <c r="C266" s="102" t="inlineStr">
        <is>
          <t>Simples Nacional - 07/2025</t>
        </is>
      </c>
      <c r="D266" s="102" t="inlineStr">
        <is>
          <t>Saída</t>
        </is>
      </c>
      <c r="E266" s="102" t="inlineStr">
        <is>
          <t>Simples Nacional</t>
        </is>
      </c>
      <c r="F266" s="103" t="n">
        <v>21029.1</v>
      </c>
      <c r="G266" s="104" t="inlineStr">
        <is>
          <t>07/2025</t>
        </is>
      </c>
      <c r="H266" s="104" t="inlineStr">
        <is>
          <t>CODI</t>
        </is>
      </c>
    </row>
    <row r="267" ht="15" customHeight="1" s="86">
      <c r="B267" s="101" t="n">
        <v>45839</v>
      </c>
      <c r="C267" s="102" t="inlineStr">
        <is>
          <t>Tecidos - 07/2025</t>
        </is>
      </c>
      <c r="D267" s="102" t="inlineStr">
        <is>
          <t>Saída</t>
        </is>
      </c>
      <c r="E267" s="102" t="inlineStr">
        <is>
          <t>Tecidos</t>
        </is>
      </c>
      <c r="F267" s="103" t="n">
        <v>245815.35</v>
      </c>
      <c r="G267" s="104" t="inlineStr">
        <is>
          <t>07/2025</t>
        </is>
      </c>
      <c r="H267" s="104" t="inlineStr">
        <is>
          <t>CODI</t>
        </is>
      </c>
    </row>
    <row r="268" ht="15" customHeight="1" s="86">
      <c r="B268" s="101" t="n">
        <v>45839</v>
      </c>
      <c r="C268" s="102" t="inlineStr">
        <is>
          <t>Telefonia Fixa e Internet - 07/2025</t>
        </is>
      </c>
      <c r="D268" s="102" t="inlineStr">
        <is>
          <t>Saída</t>
        </is>
      </c>
      <c r="E268" s="102" t="inlineStr">
        <is>
          <t>Telefonia Fixa e Internet</t>
        </is>
      </c>
      <c r="F268" s="103" t="n">
        <v>252.72</v>
      </c>
      <c r="G268" s="104" t="inlineStr">
        <is>
          <t>07/2025</t>
        </is>
      </c>
      <c r="H268" s="104" t="inlineStr">
        <is>
          <t>CODI</t>
        </is>
      </c>
    </row>
    <row r="269" ht="15" customHeight="1" s="86">
      <c r="B269" s="101" t="n">
        <v>45839</v>
      </c>
      <c r="C269" s="102" t="inlineStr">
        <is>
          <t>Travete - 07/2025</t>
        </is>
      </c>
      <c r="D269" s="102" t="inlineStr">
        <is>
          <t>Saída</t>
        </is>
      </c>
      <c r="E269" s="102" t="inlineStr">
        <is>
          <t>Travete</t>
        </is>
      </c>
      <c r="F269" s="103" t="n">
        <v>7206</v>
      </c>
      <c r="G269" s="104" t="inlineStr">
        <is>
          <t>07/2025</t>
        </is>
      </c>
      <c r="H269" s="104" t="inlineStr">
        <is>
          <t>CODI</t>
        </is>
      </c>
    </row>
    <row r="270" ht="15" customHeight="1" s="86">
      <c r="B270" s="101" t="n">
        <v>45839</v>
      </c>
      <c r="C270" s="102" t="inlineStr">
        <is>
          <t>Títulos de Capitalização - 07/2025</t>
        </is>
      </c>
      <c r="D270" s="102" t="inlineStr">
        <is>
          <t>Saída</t>
        </is>
      </c>
      <c r="E270" s="102" t="inlineStr">
        <is>
          <t>Títulos de Capitalização</t>
        </is>
      </c>
      <c r="F270" s="103" t="n">
        <v>12013.66</v>
      </c>
      <c r="G270" s="104" t="inlineStr">
        <is>
          <t>07/2025</t>
        </is>
      </c>
      <c r="H270" s="104" t="inlineStr">
        <is>
          <t>CODI</t>
        </is>
      </c>
    </row>
    <row r="271" ht="15" customHeight="1" s="86">
      <c r="B271" s="101" t="n">
        <v>45839</v>
      </c>
      <c r="C271" s="102" t="inlineStr">
        <is>
          <t>Vale Transporte - 07/2025</t>
        </is>
      </c>
      <c r="D271" s="102" t="inlineStr">
        <is>
          <t>Saída</t>
        </is>
      </c>
      <c r="E271" s="102" t="inlineStr">
        <is>
          <t>Vale Transporte</t>
        </is>
      </c>
      <c r="F271" s="103" t="n">
        <v>3160</v>
      </c>
      <c r="G271" s="104" t="inlineStr">
        <is>
          <t>07/2025</t>
        </is>
      </c>
      <c r="H271" s="104" t="inlineStr">
        <is>
          <t>CODI</t>
        </is>
      </c>
    </row>
    <row r="272" ht="15" customHeight="1" s="86">
      <c r="B272" s="101" t="n">
        <v>45839</v>
      </c>
      <c r="C272" s="102" t="inlineStr">
        <is>
          <t>Vales e Adiantamentos - 07/2025</t>
        </is>
      </c>
      <c r="D272" s="102" t="inlineStr">
        <is>
          <t>Saída</t>
        </is>
      </c>
      <c r="E272" s="102" t="inlineStr">
        <is>
          <t>Vales e Adiantamentos</t>
        </is>
      </c>
      <c r="F272" s="103" t="n">
        <v>3600</v>
      </c>
      <c r="G272" s="104" t="inlineStr">
        <is>
          <t>07/2025</t>
        </is>
      </c>
      <c r="H272" s="104" t="inlineStr">
        <is>
          <t>CODI</t>
        </is>
      </c>
    </row>
    <row r="273" ht="15" customHeight="1" s="86">
      <c r="B273" s="101" t="n">
        <v>45839</v>
      </c>
      <c r="C273" s="102" t="inlineStr">
        <is>
          <t>Web Site e Sistema ERP - 07/2025</t>
        </is>
      </c>
      <c r="D273" s="102" t="inlineStr">
        <is>
          <t>Saída</t>
        </is>
      </c>
      <c r="E273" s="102" t="inlineStr">
        <is>
          <t>Web Site e Sistema ERP</t>
        </is>
      </c>
      <c r="F273" s="103" t="n">
        <v>957</v>
      </c>
      <c r="G273" s="104" t="inlineStr">
        <is>
          <t>07/2025</t>
        </is>
      </c>
      <c r="H273" s="104" t="inlineStr">
        <is>
          <t>CODI</t>
        </is>
      </c>
    </row>
    <row r="274" ht="15" customHeight="1" s="86">
      <c r="B274" s="101" t="n">
        <v>45839</v>
      </c>
      <c r="C274" s="102" t="inlineStr">
        <is>
          <t>Água - 07/2025</t>
        </is>
      </c>
      <c r="D274" s="102" t="inlineStr">
        <is>
          <t>Saída</t>
        </is>
      </c>
      <c r="E274" s="102" t="inlineStr">
        <is>
          <t>Água</t>
        </is>
      </c>
      <c r="F274" s="103" t="n">
        <v>327</v>
      </c>
      <c r="G274" s="104" t="inlineStr">
        <is>
          <t>07/2025</t>
        </is>
      </c>
      <c r="H274" s="104" t="inlineStr">
        <is>
          <t>CODI</t>
        </is>
      </c>
    </row>
    <row r="275" ht="15" customHeight="1" s="86">
      <c r="B275" s="101" t="n">
        <v>45839</v>
      </c>
      <c r="C275" s="102" t="inlineStr">
        <is>
          <t>Acabamento Externo - 07/2025</t>
        </is>
      </c>
      <c r="D275" s="102" t="inlineStr">
        <is>
          <t>Saída</t>
        </is>
      </c>
      <c r="E275" s="102" t="inlineStr">
        <is>
          <t>Acabamento Externo</t>
        </is>
      </c>
      <c r="F275" s="103" t="n">
        <v>20856.6</v>
      </c>
      <c r="G275" s="104" t="inlineStr">
        <is>
          <t>07/2025</t>
        </is>
      </c>
      <c r="H275" s="104" t="inlineStr">
        <is>
          <t>CODI</t>
        </is>
      </c>
    </row>
    <row r="276" ht="15" customHeight="1" s="86">
      <c r="B276" s="101" t="n">
        <v>45839</v>
      </c>
      <c r="C276" s="102" t="inlineStr">
        <is>
          <t>Alimentação - 07/2025</t>
        </is>
      </c>
      <c r="D276" s="102" t="inlineStr">
        <is>
          <t>Saída</t>
        </is>
      </c>
      <c r="E276" s="102" t="inlineStr">
        <is>
          <t>Alimentação</t>
        </is>
      </c>
      <c r="F276" s="103" t="n">
        <v>242.3</v>
      </c>
      <c r="G276" s="104" t="inlineStr">
        <is>
          <t>07/2025</t>
        </is>
      </c>
      <c r="H276" s="104" t="inlineStr">
        <is>
          <t>CODI</t>
        </is>
      </c>
    </row>
    <row r="277" ht="15" customHeight="1" s="86">
      <c r="B277" s="101" t="n">
        <v>45839</v>
      </c>
      <c r="C277" s="102" t="inlineStr">
        <is>
          <t>Combustíveis - 07/2025</t>
        </is>
      </c>
      <c r="D277" s="102" t="inlineStr">
        <is>
          <t>Saída</t>
        </is>
      </c>
      <c r="E277" s="102" t="inlineStr">
        <is>
          <t>Combustíveis</t>
        </is>
      </c>
      <c r="F277" s="103" t="n">
        <v>1557.11</v>
      </c>
      <c r="G277" s="104" t="inlineStr">
        <is>
          <t>07/2025</t>
        </is>
      </c>
      <c r="H277" s="104" t="inlineStr">
        <is>
          <t>CODI</t>
        </is>
      </c>
    </row>
    <row r="278" ht="15" customHeight="1" s="86">
      <c r="B278" s="101" t="n">
        <v>45839</v>
      </c>
      <c r="C278" s="102" t="inlineStr">
        <is>
          <t>Criação de Modelos - 07/2025</t>
        </is>
      </c>
      <c r="D278" s="102" t="inlineStr">
        <is>
          <t>Saída</t>
        </is>
      </c>
      <c r="E278" s="102" t="inlineStr">
        <is>
          <t>Criação de Modelos</t>
        </is>
      </c>
      <c r="F278" s="103" t="n">
        <v>9470</v>
      </c>
      <c r="G278" s="104" t="inlineStr">
        <is>
          <t>07/2025</t>
        </is>
      </c>
      <c r="H278" s="104" t="inlineStr">
        <is>
          <t>CODI</t>
        </is>
      </c>
    </row>
    <row r="279" ht="15" customHeight="1" s="86">
      <c r="B279" s="101" t="n">
        <v>45839</v>
      </c>
      <c r="C279" s="102" t="inlineStr">
        <is>
          <t>Embalagens - 07/2025</t>
        </is>
      </c>
      <c r="D279" s="102" t="inlineStr">
        <is>
          <t>Saída</t>
        </is>
      </c>
      <c r="E279" s="102" t="inlineStr">
        <is>
          <t>Embalagens</t>
        </is>
      </c>
      <c r="F279" s="103" t="n">
        <v>1638</v>
      </c>
      <c r="G279" s="104" t="inlineStr">
        <is>
          <t>07/2025</t>
        </is>
      </c>
      <c r="H279" s="104" t="inlineStr">
        <is>
          <t>CODI</t>
        </is>
      </c>
    </row>
    <row r="280" ht="15" customHeight="1" s="86">
      <c r="B280" s="101" t="n">
        <v>45839</v>
      </c>
      <c r="C280" s="102" t="inlineStr">
        <is>
          <t>Exame Adminissional/Demissional - 07/2025</t>
        </is>
      </c>
      <c r="D280" s="102" t="inlineStr">
        <is>
          <t>Saída</t>
        </is>
      </c>
      <c r="E280" s="102" t="inlineStr">
        <is>
          <t>Exame Adminissional/Demissional</t>
        </is>
      </c>
      <c r="F280" s="103" t="n">
        <v>30</v>
      </c>
      <c r="G280" s="104" t="inlineStr">
        <is>
          <t>07/2025</t>
        </is>
      </c>
      <c r="H280" s="104" t="inlineStr">
        <is>
          <t>CODI</t>
        </is>
      </c>
    </row>
    <row r="281" ht="15" customHeight="1" s="86">
      <c r="B281" s="101" t="n">
        <v>45839</v>
      </c>
      <c r="C281" s="102" t="inlineStr">
        <is>
          <t>Manutenção de Máquinas e Peças - 07/2025</t>
        </is>
      </c>
      <c r="D281" s="102" t="inlineStr">
        <is>
          <t>Saída</t>
        </is>
      </c>
      <c r="E281" s="102" t="inlineStr">
        <is>
          <t>Manutenção de Máquinas e Peças</t>
        </is>
      </c>
      <c r="F281" s="103" t="n">
        <v>915</v>
      </c>
      <c r="G281" s="104" t="inlineStr">
        <is>
          <t>07/2025</t>
        </is>
      </c>
      <c r="H281" s="104" t="inlineStr">
        <is>
          <t>CODI</t>
        </is>
      </c>
    </row>
    <row r="282" ht="15" customHeight="1" s="86">
      <c r="B282" s="101" t="n">
        <v>45839</v>
      </c>
      <c r="C282" s="102" t="inlineStr">
        <is>
          <t>Bordado Industrial - 07/2025</t>
        </is>
      </c>
      <c r="D282" s="102" t="inlineStr">
        <is>
          <t>Saída</t>
        </is>
      </c>
      <c r="E282" s="102" t="inlineStr">
        <is>
          <t>Bordado Industrial</t>
        </is>
      </c>
      <c r="F282" s="103" t="n">
        <v>1528</v>
      </c>
      <c r="G282" s="104" t="inlineStr">
        <is>
          <t>07/2025</t>
        </is>
      </c>
      <c r="H282" s="104" t="inlineStr">
        <is>
          <t>CODI</t>
        </is>
      </c>
    </row>
    <row r="283" ht="15" customHeight="1" s="86">
      <c r="B283" s="101" t="n">
        <v>45839</v>
      </c>
      <c r="C283" s="102" t="inlineStr">
        <is>
          <t>Comissão de vendedores - 07/2025</t>
        </is>
      </c>
      <c r="D283" s="102" t="inlineStr">
        <is>
          <t>Saída</t>
        </is>
      </c>
      <c r="E283" s="102" t="inlineStr">
        <is>
          <t>Comissão de vendedores</t>
        </is>
      </c>
      <c r="F283" s="103" t="n">
        <v>7525.8</v>
      </c>
      <c r="G283" s="104" t="inlineStr">
        <is>
          <t>07/2025</t>
        </is>
      </c>
      <c r="H283" s="104" t="inlineStr">
        <is>
          <t>CODI</t>
        </is>
      </c>
    </row>
    <row r="284" ht="15" customHeight="1" s="86">
      <c r="B284" s="101" t="n">
        <v>45839</v>
      </c>
      <c r="C284" s="102" t="inlineStr">
        <is>
          <t>Consulta de Crédito Cliente - 07/2025</t>
        </is>
      </c>
      <c r="D284" s="102" t="inlineStr">
        <is>
          <t>Saída</t>
        </is>
      </c>
      <c r="E284" s="102" t="inlineStr">
        <is>
          <t>Consulta de Crédito Cliente</t>
        </is>
      </c>
      <c r="F284" s="103" t="n">
        <v>327.05</v>
      </c>
      <c r="G284" s="104" t="inlineStr">
        <is>
          <t>07/2025</t>
        </is>
      </c>
      <c r="H284" s="104" t="inlineStr">
        <is>
          <t>CODI</t>
        </is>
      </c>
    </row>
    <row r="285" ht="15" customHeight="1" s="86">
      <c r="B285" s="101" t="n">
        <v>45839</v>
      </c>
      <c r="C285" s="102" t="inlineStr">
        <is>
          <t>Despesa com Sindicatos - 07/2025</t>
        </is>
      </c>
      <c r="D285" s="102" t="inlineStr">
        <is>
          <t>Saída</t>
        </is>
      </c>
      <c r="E285" s="102" t="inlineStr">
        <is>
          <t>Despesa com Sindicatos</t>
        </is>
      </c>
      <c r="F285" s="103" t="n">
        <v>49.9</v>
      </c>
      <c r="G285" s="104" t="inlineStr">
        <is>
          <t>07/2025</t>
        </is>
      </c>
      <c r="H285" s="104" t="inlineStr">
        <is>
          <t>CODI</t>
        </is>
      </c>
    </row>
    <row r="286" ht="15" customHeight="1" s="86">
      <c r="B286" s="101" t="n">
        <v>45839</v>
      </c>
      <c r="C286" s="102" t="inlineStr">
        <is>
          <t>Manutenção de Veiculos e Estacionamento - 07/2025</t>
        </is>
      </c>
      <c r="D286" s="102" t="inlineStr">
        <is>
          <t>Saída</t>
        </is>
      </c>
      <c r="E286" s="102" t="inlineStr">
        <is>
          <t>Manutenção de Veiculos e Estacionamento</t>
        </is>
      </c>
      <c r="F286" s="103" t="n">
        <v>728</v>
      </c>
      <c r="G286" s="104" t="inlineStr">
        <is>
          <t>07/2025</t>
        </is>
      </c>
      <c r="H286" s="104" t="inlineStr">
        <is>
          <t>CODI</t>
        </is>
      </c>
    </row>
    <row r="287" ht="15" customHeight="1" s="86">
      <c r="B287" s="101" t="n">
        <v>45839</v>
      </c>
      <c r="C287" s="102" t="inlineStr">
        <is>
          <t>Comissão de Assessores - 07/2025</t>
        </is>
      </c>
      <c r="D287" s="102" t="inlineStr">
        <is>
          <t>Saída</t>
        </is>
      </c>
      <c r="E287" s="102" t="inlineStr">
        <is>
          <t>Comissão de Assessores</t>
        </is>
      </c>
      <c r="F287" s="103" t="n">
        <v>406.66</v>
      </c>
      <c r="G287" s="104" t="inlineStr">
        <is>
          <t>07/2025</t>
        </is>
      </c>
      <c r="H287" s="104" t="inlineStr">
        <is>
          <t>CODI</t>
        </is>
      </c>
    </row>
    <row r="288" ht="15" customHeight="1" s="86">
      <c r="B288" s="101" t="n">
        <v>45839</v>
      </c>
      <c r="C288" s="102" t="inlineStr">
        <is>
          <t>Compra de Computadores e Eletrônicos - 07/2025</t>
        </is>
      </c>
      <c r="D288" s="102" t="inlineStr">
        <is>
          <t>Saída</t>
        </is>
      </c>
      <c r="E288" s="102" t="inlineStr">
        <is>
          <t>Compra de Computadores e Eletrônicos</t>
        </is>
      </c>
      <c r="F288" s="103" t="n">
        <v>675.95</v>
      </c>
      <c r="G288" s="104" t="inlineStr">
        <is>
          <t>07/2025</t>
        </is>
      </c>
      <c r="H288" s="104" t="inlineStr">
        <is>
          <t>CODI</t>
        </is>
      </c>
    </row>
    <row r="289" ht="15" customHeight="1" s="86">
      <c r="B289" s="101" t="n">
        <v>45839</v>
      </c>
      <c r="C289" s="102" t="inlineStr">
        <is>
          <t>Bordado Manual - 07/2025</t>
        </is>
      </c>
      <c r="D289" s="102" t="inlineStr">
        <is>
          <t>Saída</t>
        </is>
      </c>
      <c r="E289" s="102" t="inlineStr">
        <is>
          <t>Bordado Manual</t>
        </is>
      </c>
      <c r="F289" s="103" t="n">
        <v>360</v>
      </c>
      <c r="G289" s="104" t="inlineStr">
        <is>
          <t>07/2025</t>
        </is>
      </c>
      <c r="H289" s="104" t="inlineStr">
        <is>
          <t>CODI</t>
        </is>
      </c>
    </row>
    <row r="290" ht="15" customHeight="1" s="86">
      <c r="B290" s="101" t="n">
        <v>45839</v>
      </c>
      <c r="C290" s="102" t="inlineStr">
        <is>
          <t>Ipva - 07/2025</t>
        </is>
      </c>
      <c r="D290" s="102" t="inlineStr">
        <is>
          <t>Saída</t>
        </is>
      </c>
      <c r="E290" s="102" t="inlineStr">
        <is>
          <t>Ipva</t>
        </is>
      </c>
      <c r="F290" s="103" t="n">
        <v>3385.22</v>
      </c>
      <c r="G290" s="104" t="inlineStr">
        <is>
          <t>07/2025</t>
        </is>
      </c>
      <c r="H290" s="104" t="inlineStr">
        <is>
          <t>CODI</t>
        </is>
      </c>
    </row>
    <row r="291" ht="15" customHeight="1" s="86">
      <c r="B291" s="101" t="n">
        <v>45839</v>
      </c>
      <c r="C291" s="102" t="inlineStr">
        <is>
          <t>Juros de Empréstimos - 07/2025</t>
        </is>
      </c>
      <c r="D291" s="102" t="inlineStr">
        <is>
          <t>Saída</t>
        </is>
      </c>
      <c r="E291" s="102" t="inlineStr">
        <is>
          <t>Juros de Empréstimos</t>
        </is>
      </c>
      <c r="F291" s="103" t="n">
        <v>6250</v>
      </c>
      <c r="G291" s="104" t="inlineStr">
        <is>
          <t>07/2025</t>
        </is>
      </c>
      <c r="H291" s="104" t="inlineStr">
        <is>
          <t>CODI</t>
        </is>
      </c>
    </row>
    <row r="292" ht="15" customHeight="1" s="86">
      <c r="B292" s="101" t="n">
        <v>45839</v>
      </c>
      <c r="C292" s="102" t="inlineStr">
        <is>
          <t>Material de Copa e Cozinha - 07/2025</t>
        </is>
      </c>
      <c r="D292" s="102" t="inlineStr">
        <is>
          <t>Saída</t>
        </is>
      </c>
      <c r="E292" s="102" t="inlineStr">
        <is>
          <t>Material de Copa e Cozinha</t>
        </is>
      </c>
      <c r="F292" s="103" t="n">
        <v>157.75</v>
      </c>
      <c r="G292" s="104" t="inlineStr">
        <is>
          <t>07/2025</t>
        </is>
      </c>
      <c r="H292" s="104" t="inlineStr">
        <is>
          <t>CODI</t>
        </is>
      </c>
    </row>
    <row r="293" ht="15" customHeight="1" s="86">
      <c r="B293" s="101" t="n">
        <v>45839</v>
      </c>
      <c r="C293" s="102" t="inlineStr">
        <is>
          <t>Patrocínio - 07/2025</t>
        </is>
      </c>
      <c r="D293" s="102" t="inlineStr">
        <is>
          <t>Saída</t>
        </is>
      </c>
      <c r="E293" s="102" t="inlineStr">
        <is>
          <t>Patrocínio</t>
        </is>
      </c>
      <c r="F293" s="103" t="n">
        <v>500</v>
      </c>
      <c r="G293" s="104" t="inlineStr">
        <is>
          <t>07/2025</t>
        </is>
      </c>
      <c r="H293" s="104" t="inlineStr">
        <is>
          <t>CODI</t>
        </is>
      </c>
    </row>
    <row r="294" ht="15" customHeight="1" s="86">
      <c r="B294" s="101" t="n">
        <v>45870</v>
      </c>
      <c r="C294" s="102" t="inlineStr">
        <is>
          <t>Vendas - 08/2025</t>
        </is>
      </c>
      <c r="D294" s="102" t="inlineStr">
        <is>
          <t>Entrada</t>
        </is>
      </c>
      <c r="E294" s="102" t="inlineStr">
        <is>
          <t>Vendas</t>
        </is>
      </c>
      <c r="F294" s="103" t="n">
        <v>488467.9</v>
      </c>
      <c r="G294" s="104" t="inlineStr">
        <is>
          <t>08/2025</t>
        </is>
      </c>
      <c r="H294" s="104" t="inlineStr">
        <is>
          <t>CODI</t>
        </is>
      </c>
    </row>
    <row r="295" ht="15" customHeight="1" s="86">
      <c r="B295" s="101" t="n">
        <v>45870</v>
      </c>
      <c r="C295" s="102" t="inlineStr">
        <is>
          <t>Acertos e Recisões - 08/2025</t>
        </is>
      </c>
      <c r="D295" s="102" t="inlineStr">
        <is>
          <t>Saída</t>
        </is>
      </c>
      <c r="E295" s="102" t="inlineStr">
        <is>
          <t>Acertos e Recisões</t>
        </is>
      </c>
      <c r="F295" s="103" t="n">
        <v>2906.98</v>
      </c>
      <c r="G295" s="104" t="inlineStr">
        <is>
          <t>08/2025</t>
        </is>
      </c>
      <c r="H295" s="104" t="inlineStr">
        <is>
          <t>CODI</t>
        </is>
      </c>
    </row>
    <row r="296" ht="15" customHeight="1" s="86">
      <c r="B296" s="101" t="n">
        <v>45870</v>
      </c>
      <c r="C296" s="102" t="inlineStr">
        <is>
          <t>Aluguéis e Condomínios - 08/2025</t>
        </is>
      </c>
      <c r="D296" s="102" t="inlineStr">
        <is>
          <t>Saída</t>
        </is>
      </c>
      <c r="E296" s="102" t="inlineStr">
        <is>
          <t>Aluguéis e Condomínios</t>
        </is>
      </c>
      <c r="F296" s="103" t="n">
        <v>6582.13</v>
      </c>
      <c r="G296" s="104" t="inlineStr">
        <is>
          <t>08/2025</t>
        </is>
      </c>
      <c r="H296" s="104" t="inlineStr">
        <is>
          <t>CODI</t>
        </is>
      </c>
    </row>
    <row r="297" ht="15" customHeight="1" s="86">
      <c r="B297" s="101" t="n">
        <v>45870</v>
      </c>
      <c r="C297" s="102" t="inlineStr">
        <is>
          <t>Aviamento - 08/2025</t>
        </is>
      </c>
      <c r="D297" s="102" t="inlineStr">
        <is>
          <t>Saída</t>
        </is>
      </c>
      <c r="E297" s="102" t="inlineStr">
        <is>
          <t>Aviamento</t>
        </is>
      </c>
      <c r="F297" s="103" t="n">
        <v>12164.79</v>
      </c>
      <c r="G297" s="104" t="inlineStr">
        <is>
          <t>08/2025</t>
        </is>
      </c>
      <c r="H297" s="104" t="inlineStr">
        <is>
          <t>CODI</t>
        </is>
      </c>
    </row>
    <row r="298" ht="15" customHeight="1" s="86">
      <c r="B298" s="101" t="n">
        <v>45870</v>
      </c>
      <c r="C298" s="102" t="inlineStr">
        <is>
          <t>Despesa não Identificada - 08/2025</t>
        </is>
      </c>
      <c r="D298" s="102" t="inlineStr">
        <is>
          <t>Saída</t>
        </is>
      </c>
      <c r="E298" s="102" t="inlineStr">
        <is>
          <t>Despesa não Identificada</t>
        </is>
      </c>
      <c r="F298" s="103" t="n">
        <v>166168.35</v>
      </c>
      <c r="G298" s="104" t="inlineStr">
        <is>
          <t>08/2025</t>
        </is>
      </c>
      <c r="H298" s="104" t="inlineStr">
        <is>
          <t>CODI</t>
        </is>
      </c>
    </row>
    <row r="299" ht="15" customHeight="1" s="86">
      <c r="B299" s="101" t="n">
        <v>45870</v>
      </c>
      <c r="C299" s="102" t="inlineStr">
        <is>
          <t>Energia Elétrica - 08/2025</t>
        </is>
      </c>
      <c r="D299" s="102" t="inlineStr">
        <is>
          <t>Saída</t>
        </is>
      </c>
      <c r="E299" s="102" t="inlineStr">
        <is>
          <t>Energia Elétrica</t>
        </is>
      </c>
      <c r="F299" s="103" t="n">
        <v>112.52</v>
      </c>
      <c r="G299" s="104" t="inlineStr">
        <is>
          <t>08/2025</t>
        </is>
      </c>
      <c r="H299" s="104" t="inlineStr">
        <is>
          <t>CODI</t>
        </is>
      </c>
    </row>
    <row r="300" ht="15" customHeight="1" s="86">
      <c r="B300" s="101" t="n">
        <v>45870</v>
      </c>
      <c r="C300" s="102" t="inlineStr">
        <is>
          <t>Etiquetas - 08/2025</t>
        </is>
      </c>
      <c r="D300" s="102" t="inlineStr">
        <is>
          <t>Saída</t>
        </is>
      </c>
      <c r="E300" s="102" t="inlineStr">
        <is>
          <t>Etiquetas</t>
        </is>
      </c>
      <c r="F300" s="103" t="n">
        <v>7834.25</v>
      </c>
      <c r="G300" s="104" t="inlineStr">
        <is>
          <t>08/2025</t>
        </is>
      </c>
      <c r="H300" s="104" t="inlineStr">
        <is>
          <t>CODI</t>
        </is>
      </c>
    </row>
    <row r="301" ht="15" customHeight="1" s="86">
      <c r="B301" s="101" t="n">
        <v>45870</v>
      </c>
      <c r="C301" s="102" t="inlineStr">
        <is>
          <t>Facção - 08/2025</t>
        </is>
      </c>
      <c r="D301" s="102" t="inlineStr">
        <is>
          <t>Saída</t>
        </is>
      </c>
      <c r="E301" s="102" t="inlineStr">
        <is>
          <t>Facção</t>
        </is>
      </c>
      <c r="F301" s="103" t="n">
        <v>106743.5</v>
      </c>
      <c r="G301" s="104" t="inlineStr">
        <is>
          <t>08/2025</t>
        </is>
      </c>
      <c r="H301" s="104" t="inlineStr">
        <is>
          <t>CODI</t>
        </is>
      </c>
    </row>
    <row r="302" ht="15" customHeight="1" s="86">
      <c r="B302" s="101" t="n">
        <v>45870</v>
      </c>
      <c r="C302" s="102" t="inlineStr">
        <is>
          <t>Frete e Transporte de Mercadorias - 08/2025</t>
        </is>
      </c>
      <c r="D302" s="102" t="inlineStr">
        <is>
          <t>Saída</t>
        </is>
      </c>
      <c r="E302" s="102" t="inlineStr">
        <is>
          <t>Frete e Transporte de Mercadorias</t>
        </is>
      </c>
      <c r="F302" s="103" t="n">
        <v>6200.07</v>
      </c>
      <c r="G302" s="104" t="inlineStr">
        <is>
          <t>08/2025</t>
        </is>
      </c>
      <c r="H302" s="104" t="inlineStr">
        <is>
          <t>CODI</t>
        </is>
      </c>
    </row>
    <row r="303" ht="15" customHeight="1" s="86">
      <c r="B303" s="101" t="n">
        <v>45870</v>
      </c>
      <c r="C303" s="102" t="inlineStr">
        <is>
          <t>Honorários Contábeis (Contabilidade) - 08/2025</t>
        </is>
      </c>
      <c r="D303" s="102" t="inlineStr">
        <is>
          <t>Saída</t>
        </is>
      </c>
      <c r="E303" s="102" t="inlineStr">
        <is>
          <t>Honorários Contábeis (Contabilidade)</t>
        </is>
      </c>
      <c r="F303" s="103" t="n">
        <v>1100</v>
      </c>
      <c r="G303" s="104" t="inlineStr">
        <is>
          <t>08/2025</t>
        </is>
      </c>
      <c r="H303" s="104" t="inlineStr">
        <is>
          <t>CODI</t>
        </is>
      </c>
    </row>
    <row r="304" ht="15" customHeight="1" s="86">
      <c r="B304" s="101" t="n">
        <v>45870</v>
      </c>
      <c r="C304" s="102" t="inlineStr">
        <is>
          <t>Lavanderia - 08/2025</t>
        </is>
      </c>
      <c r="D304" s="102" t="inlineStr">
        <is>
          <t>Saída</t>
        </is>
      </c>
      <c r="E304" s="102" t="inlineStr">
        <is>
          <t>Lavanderia</t>
        </is>
      </c>
      <c r="F304" s="103" t="n">
        <v>23689</v>
      </c>
      <c r="G304" s="104" t="inlineStr">
        <is>
          <t>08/2025</t>
        </is>
      </c>
      <c r="H304" s="104" t="inlineStr">
        <is>
          <t>CODI</t>
        </is>
      </c>
    </row>
    <row r="305" ht="15" customHeight="1" s="86">
      <c r="B305" s="101" t="n">
        <v>45870</v>
      </c>
      <c r="C305" s="102" t="inlineStr">
        <is>
          <t>Outros Insumos - 08/2025</t>
        </is>
      </c>
      <c r="D305" s="102" t="inlineStr">
        <is>
          <t>Saída</t>
        </is>
      </c>
      <c r="E305" s="102" t="inlineStr">
        <is>
          <t>Outros Insumos</t>
        </is>
      </c>
      <c r="F305" s="103" t="n">
        <v>167.65</v>
      </c>
      <c r="G305" s="104" t="inlineStr">
        <is>
          <t>08/2025</t>
        </is>
      </c>
      <c r="H305" s="104" t="inlineStr">
        <is>
          <t>CODI</t>
        </is>
      </c>
    </row>
    <row r="306" ht="15" customHeight="1" s="86">
      <c r="B306" s="101" t="n">
        <v>45870</v>
      </c>
      <c r="C306" s="102" t="inlineStr">
        <is>
          <t>Publicidade - 08/2025</t>
        </is>
      </c>
      <c r="D306" s="102" t="inlineStr">
        <is>
          <t>Saída</t>
        </is>
      </c>
      <c r="E306" s="102" t="inlineStr">
        <is>
          <t>Publicidade</t>
        </is>
      </c>
      <c r="F306" s="103" t="n">
        <v>7706</v>
      </c>
      <c r="G306" s="104" t="inlineStr">
        <is>
          <t>08/2025</t>
        </is>
      </c>
      <c r="H306" s="104" t="inlineStr">
        <is>
          <t>CODI</t>
        </is>
      </c>
    </row>
    <row r="307" ht="15" customHeight="1" s="86">
      <c r="B307" s="101" t="n">
        <v>45870</v>
      </c>
      <c r="C307" s="102" t="inlineStr">
        <is>
          <t>Salário e Ordenados - 08/2025</t>
        </is>
      </c>
      <c r="D307" s="102" t="inlineStr">
        <is>
          <t>Saída</t>
        </is>
      </c>
      <c r="E307" s="102" t="inlineStr">
        <is>
          <t>Salário e Ordenados</t>
        </is>
      </c>
      <c r="F307" s="103" t="n">
        <v>27259.41</v>
      </c>
      <c r="G307" s="104" t="inlineStr">
        <is>
          <t>08/2025</t>
        </is>
      </c>
      <c r="H307" s="104" t="inlineStr">
        <is>
          <t>CODI</t>
        </is>
      </c>
    </row>
    <row r="308" ht="15" customHeight="1" s="86">
      <c r="B308" s="101" t="n">
        <v>45870</v>
      </c>
      <c r="C308" s="102" t="inlineStr">
        <is>
          <t>Segurança e Monitoramento - 08/2025</t>
        </is>
      </c>
      <c r="D308" s="102" t="inlineStr">
        <is>
          <t>Saída</t>
        </is>
      </c>
      <c r="E308" s="102" t="inlineStr">
        <is>
          <t>Segurança e Monitoramento</t>
        </is>
      </c>
      <c r="F308" s="103" t="n">
        <v>140</v>
      </c>
      <c r="G308" s="104" t="inlineStr">
        <is>
          <t>08/2025</t>
        </is>
      </c>
      <c r="H308" s="104" t="inlineStr">
        <is>
          <t>CODI</t>
        </is>
      </c>
    </row>
    <row r="309" ht="15" customHeight="1" s="86">
      <c r="B309" s="101" t="n">
        <v>45870</v>
      </c>
      <c r="C309" s="102" t="inlineStr">
        <is>
          <t>Seguros - 08/2025</t>
        </is>
      </c>
      <c r="D309" s="102" t="inlineStr">
        <is>
          <t>Saída</t>
        </is>
      </c>
      <c r="E309" s="102" t="inlineStr">
        <is>
          <t>Seguros</t>
        </is>
      </c>
      <c r="F309" s="103" t="n">
        <v>269.82</v>
      </c>
      <c r="G309" s="104" t="inlineStr">
        <is>
          <t>08/2025</t>
        </is>
      </c>
      <c r="H309" s="104" t="inlineStr">
        <is>
          <t>CODI</t>
        </is>
      </c>
    </row>
    <row r="310" ht="15" customHeight="1" s="86">
      <c r="B310" s="101" t="n">
        <v>45870</v>
      </c>
      <c r="C310" s="102" t="inlineStr">
        <is>
          <t>Simples Nacional - 08/2025</t>
        </is>
      </c>
      <c r="D310" s="102" t="inlineStr">
        <is>
          <t>Saída</t>
        </is>
      </c>
      <c r="E310" s="102" t="inlineStr">
        <is>
          <t>Simples Nacional</t>
        </is>
      </c>
      <c r="F310" s="103" t="n">
        <v>21751.88</v>
      </c>
      <c r="G310" s="104" t="inlineStr">
        <is>
          <t>08/2025</t>
        </is>
      </c>
      <c r="H310" s="104" t="inlineStr">
        <is>
          <t>CODI</t>
        </is>
      </c>
    </row>
    <row r="311" ht="15" customHeight="1" s="86">
      <c r="B311" s="101" t="n">
        <v>45870</v>
      </c>
      <c r="C311" s="102" t="inlineStr">
        <is>
          <t>Tecidos - 08/2025</t>
        </is>
      </c>
      <c r="D311" s="102" t="inlineStr">
        <is>
          <t>Saída</t>
        </is>
      </c>
      <c r="E311" s="102" t="inlineStr">
        <is>
          <t>Tecidos</t>
        </is>
      </c>
      <c r="F311" s="103" t="n">
        <v>255397.6</v>
      </c>
      <c r="G311" s="104" t="inlineStr">
        <is>
          <t>08/2025</t>
        </is>
      </c>
      <c r="H311" s="104" t="inlineStr">
        <is>
          <t>CODI</t>
        </is>
      </c>
    </row>
    <row r="312" ht="15" customHeight="1" s="86">
      <c r="B312" s="101" t="n">
        <v>45870</v>
      </c>
      <c r="C312" s="102" t="inlineStr">
        <is>
          <t>Telefonia Fixa e Internet - 08/2025</t>
        </is>
      </c>
      <c r="D312" s="102" t="inlineStr">
        <is>
          <t>Saída</t>
        </is>
      </c>
      <c r="E312" s="102" t="inlineStr">
        <is>
          <t>Telefonia Fixa e Internet</t>
        </is>
      </c>
      <c r="F312" s="103" t="n">
        <v>240</v>
      </c>
      <c r="G312" s="104" t="inlineStr">
        <is>
          <t>08/2025</t>
        </is>
      </c>
      <c r="H312" s="104" t="inlineStr">
        <is>
          <t>CODI</t>
        </is>
      </c>
    </row>
    <row r="313" ht="15" customHeight="1" s="86">
      <c r="B313" s="101" t="n">
        <v>45870</v>
      </c>
      <c r="C313" s="102" t="inlineStr">
        <is>
          <t>Travete - 08/2025</t>
        </is>
      </c>
      <c r="D313" s="102" t="inlineStr">
        <is>
          <t>Saída</t>
        </is>
      </c>
      <c r="E313" s="102" t="inlineStr">
        <is>
          <t>Travete</t>
        </is>
      </c>
      <c r="F313" s="103" t="n">
        <v>7346.6</v>
      </c>
      <c r="G313" s="104" t="inlineStr">
        <is>
          <t>08/2025</t>
        </is>
      </c>
      <c r="H313" s="104" t="inlineStr">
        <is>
          <t>CODI</t>
        </is>
      </c>
    </row>
    <row r="314" ht="15" customHeight="1" s="86">
      <c r="B314" s="101" t="n">
        <v>45870</v>
      </c>
      <c r="C314" s="102" t="inlineStr">
        <is>
          <t>Títulos de Capitalização - 08/2025</t>
        </is>
      </c>
      <c r="D314" s="102" t="inlineStr">
        <is>
          <t>Saída</t>
        </is>
      </c>
      <c r="E314" s="102" t="inlineStr">
        <is>
          <t>Títulos de Capitalização</t>
        </is>
      </c>
      <c r="F314" s="103" t="n">
        <v>12013.66</v>
      </c>
      <c r="G314" s="104" t="inlineStr">
        <is>
          <t>08/2025</t>
        </is>
      </c>
      <c r="H314" s="104" t="inlineStr">
        <is>
          <t>CODI</t>
        </is>
      </c>
    </row>
    <row r="315" ht="15" customHeight="1" s="86">
      <c r="B315" s="101" t="n">
        <v>45870</v>
      </c>
      <c r="C315" s="102" t="inlineStr">
        <is>
          <t>Vale Transporte - 08/2025</t>
        </is>
      </c>
      <c r="D315" s="102" t="inlineStr">
        <is>
          <t>Saída</t>
        </is>
      </c>
      <c r="E315" s="102" t="inlineStr">
        <is>
          <t>Vale Transporte</t>
        </is>
      </c>
      <c r="F315" s="103" t="n">
        <v>3240</v>
      </c>
      <c r="G315" s="104" t="inlineStr">
        <is>
          <t>08/2025</t>
        </is>
      </c>
      <c r="H315" s="104" t="inlineStr">
        <is>
          <t>CODI</t>
        </is>
      </c>
    </row>
    <row r="316" ht="15" customHeight="1" s="86">
      <c r="B316" s="101" t="n">
        <v>45870</v>
      </c>
      <c r="C316" s="102" t="inlineStr">
        <is>
          <t>Vales e Adiantamentos - 08/2025</t>
        </is>
      </c>
      <c r="D316" s="102" t="inlineStr">
        <is>
          <t>Saída</t>
        </is>
      </c>
      <c r="E316" s="102" t="inlineStr">
        <is>
          <t>Vales e Adiantamentos</t>
        </is>
      </c>
      <c r="F316" s="103" t="n">
        <v>3450.01</v>
      </c>
      <c r="G316" s="104" t="inlineStr">
        <is>
          <t>08/2025</t>
        </is>
      </c>
      <c r="H316" s="104" t="inlineStr">
        <is>
          <t>CODI</t>
        </is>
      </c>
    </row>
    <row r="317" ht="15" customHeight="1" s="86">
      <c r="B317" s="101" t="n">
        <v>45870</v>
      </c>
      <c r="C317" s="102" t="inlineStr">
        <is>
          <t>Web Site e Sistema ERP - 08/2025</t>
        </is>
      </c>
      <c r="D317" s="102" t="inlineStr">
        <is>
          <t>Saída</t>
        </is>
      </c>
      <c r="E317" s="102" t="inlineStr">
        <is>
          <t>Web Site e Sistema ERP</t>
        </is>
      </c>
      <c r="F317" s="103" t="n">
        <v>957</v>
      </c>
      <c r="G317" s="104" t="inlineStr">
        <is>
          <t>08/2025</t>
        </is>
      </c>
      <c r="H317" s="104" t="inlineStr">
        <is>
          <t>CODI</t>
        </is>
      </c>
    </row>
    <row r="318" ht="15" customHeight="1" s="86">
      <c r="B318" s="101" t="n">
        <v>45870</v>
      </c>
      <c r="C318" s="102" t="inlineStr">
        <is>
          <t>Acabamento Externo - 08/2025</t>
        </is>
      </c>
      <c r="D318" s="102" t="inlineStr">
        <is>
          <t>Saída</t>
        </is>
      </c>
      <c r="E318" s="102" t="inlineStr">
        <is>
          <t>Acabamento Externo</t>
        </is>
      </c>
      <c r="F318" s="103" t="n">
        <v>24295.1</v>
      </c>
      <c r="G318" s="104" t="inlineStr">
        <is>
          <t>08/2025</t>
        </is>
      </c>
      <c r="H318" s="104" t="inlineStr">
        <is>
          <t>CODI</t>
        </is>
      </c>
    </row>
    <row r="319" ht="15" customHeight="1" s="86">
      <c r="B319" s="101" t="n">
        <v>45870</v>
      </c>
      <c r="C319" s="102" t="inlineStr">
        <is>
          <t>Alimentação - 08/2025</t>
        </is>
      </c>
      <c r="D319" s="102" t="inlineStr">
        <is>
          <t>Saída</t>
        </is>
      </c>
      <c r="E319" s="102" t="inlineStr">
        <is>
          <t>Alimentação</t>
        </is>
      </c>
      <c r="F319" s="103" t="n">
        <v>128.9</v>
      </c>
      <c r="G319" s="104" t="inlineStr">
        <is>
          <t>08/2025</t>
        </is>
      </c>
      <c r="H319" s="104" t="inlineStr">
        <is>
          <t>CODI</t>
        </is>
      </c>
    </row>
    <row r="320" ht="15" customHeight="1" s="86">
      <c r="B320" s="101" t="n">
        <v>45870</v>
      </c>
      <c r="C320" s="102" t="inlineStr">
        <is>
          <t>Combustíveis - 08/2025</t>
        </is>
      </c>
      <c r="D320" s="102" t="inlineStr">
        <is>
          <t>Saída</t>
        </is>
      </c>
      <c r="E320" s="102" t="inlineStr">
        <is>
          <t>Combustíveis</t>
        </is>
      </c>
      <c r="F320" s="103" t="n">
        <v>1816.77</v>
      </c>
      <c r="G320" s="104" t="inlineStr">
        <is>
          <t>08/2025</t>
        </is>
      </c>
      <c r="H320" s="104" t="inlineStr">
        <is>
          <t>CODI</t>
        </is>
      </c>
    </row>
    <row r="321" ht="15" customHeight="1" s="86">
      <c r="B321" s="101" t="n">
        <v>45870</v>
      </c>
      <c r="C321" s="102" t="inlineStr">
        <is>
          <t>Criação de Modelos - 08/2025</t>
        </is>
      </c>
      <c r="D321" s="102" t="inlineStr">
        <is>
          <t>Saída</t>
        </is>
      </c>
      <c r="E321" s="102" t="inlineStr">
        <is>
          <t>Criação de Modelos</t>
        </is>
      </c>
      <c r="F321" s="103" t="n">
        <v>2444</v>
      </c>
      <c r="G321" s="104" t="inlineStr">
        <is>
          <t>08/2025</t>
        </is>
      </c>
      <c r="H321" s="104" t="inlineStr">
        <is>
          <t>CODI</t>
        </is>
      </c>
    </row>
    <row r="322" ht="15" customHeight="1" s="86">
      <c r="B322" s="101" t="n">
        <v>45870</v>
      </c>
      <c r="C322" s="102" t="inlineStr">
        <is>
          <t>Darf - 08/2025</t>
        </is>
      </c>
      <c r="D322" s="102" t="inlineStr">
        <is>
          <t>Saída</t>
        </is>
      </c>
      <c r="E322" s="102" t="inlineStr">
        <is>
          <t>Darf</t>
        </is>
      </c>
      <c r="F322" s="103" t="n">
        <v>148.64</v>
      </c>
      <c r="G322" s="104" t="inlineStr">
        <is>
          <t>08/2025</t>
        </is>
      </c>
      <c r="H322" s="104" t="inlineStr">
        <is>
          <t>CODI</t>
        </is>
      </c>
    </row>
    <row r="323" ht="15" customHeight="1" s="86">
      <c r="B323" s="101" t="n">
        <v>45870</v>
      </c>
      <c r="C323" s="102" t="inlineStr">
        <is>
          <t>Bordado Industrial - 08/2025</t>
        </is>
      </c>
      <c r="D323" s="102" t="inlineStr">
        <is>
          <t>Saída</t>
        </is>
      </c>
      <c r="E323" s="102" t="inlineStr">
        <is>
          <t>Bordado Industrial</t>
        </is>
      </c>
      <c r="F323" s="103" t="n">
        <v>5765</v>
      </c>
      <c r="G323" s="104" t="inlineStr">
        <is>
          <t>08/2025</t>
        </is>
      </c>
      <c r="H323" s="104" t="inlineStr">
        <is>
          <t>CODI</t>
        </is>
      </c>
    </row>
    <row r="324" ht="15" customHeight="1" s="86">
      <c r="B324" s="101" t="n">
        <v>45870</v>
      </c>
      <c r="C324" s="102" t="inlineStr">
        <is>
          <t>Comissão de vendedores - 08/2025</t>
        </is>
      </c>
      <c r="D324" s="102" t="inlineStr">
        <is>
          <t>Saída</t>
        </is>
      </c>
      <c r="E324" s="102" t="inlineStr">
        <is>
          <t>Comissão de vendedores</t>
        </is>
      </c>
      <c r="F324" s="103" t="n">
        <v>8399.799999999999</v>
      </c>
      <c r="G324" s="104" t="inlineStr">
        <is>
          <t>08/2025</t>
        </is>
      </c>
      <c r="H324" s="104" t="inlineStr">
        <is>
          <t>CODI</t>
        </is>
      </c>
    </row>
    <row r="325" ht="15" customHeight="1" s="86">
      <c r="B325" s="101" t="n">
        <v>45870</v>
      </c>
      <c r="C325" s="102" t="inlineStr">
        <is>
          <t>Consulta de Crédito Cliente - 08/2025</t>
        </is>
      </c>
      <c r="D325" s="102" t="inlineStr">
        <is>
          <t>Saída</t>
        </is>
      </c>
      <c r="E325" s="102" t="inlineStr">
        <is>
          <t>Consulta de Crédito Cliente</t>
        </is>
      </c>
      <c r="F325" s="103" t="n">
        <v>327.05</v>
      </c>
      <c r="G325" s="104" t="inlineStr">
        <is>
          <t>08/2025</t>
        </is>
      </c>
      <c r="H325" s="104" t="inlineStr">
        <is>
          <t>CODI</t>
        </is>
      </c>
    </row>
    <row r="326" ht="15" customHeight="1" s="86">
      <c r="B326" s="101" t="n">
        <v>45870</v>
      </c>
      <c r="C326" s="102" t="inlineStr">
        <is>
          <t>Despesa com Sindicatos - 08/2025</t>
        </is>
      </c>
      <c r="D326" s="102" t="inlineStr">
        <is>
          <t>Saída</t>
        </is>
      </c>
      <c r="E326" s="102" t="inlineStr">
        <is>
          <t>Despesa com Sindicatos</t>
        </is>
      </c>
      <c r="F326" s="103" t="n">
        <v>49.9</v>
      </c>
      <c r="G326" s="104" t="inlineStr">
        <is>
          <t>08/2025</t>
        </is>
      </c>
      <c r="H326" s="104" t="inlineStr">
        <is>
          <t>CODI</t>
        </is>
      </c>
    </row>
    <row r="327" ht="15" customHeight="1" s="86">
      <c r="B327" s="101" t="n">
        <v>45870</v>
      </c>
      <c r="C327" s="102" t="inlineStr">
        <is>
          <t>Manutenção de Veiculos e Estacionamento - 08/2025</t>
        </is>
      </c>
      <c r="D327" s="102" t="inlineStr">
        <is>
          <t>Saída</t>
        </is>
      </c>
      <c r="E327" s="102" t="inlineStr">
        <is>
          <t>Manutenção de Veiculos e Estacionamento</t>
        </is>
      </c>
      <c r="F327" s="103" t="n">
        <v>750</v>
      </c>
      <c r="G327" s="104" t="inlineStr">
        <is>
          <t>08/2025</t>
        </is>
      </c>
      <c r="H327" s="104" t="inlineStr">
        <is>
          <t>CODI</t>
        </is>
      </c>
    </row>
    <row r="328" ht="15" customHeight="1" s="86">
      <c r="B328" s="101" t="n">
        <v>45870</v>
      </c>
      <c r="C328" s="102" t="inlineStr">
        <is>
          <t>Premiações e Abonos - 08/2025</t>
        </is>
      </c>
      <c r="D328" s="102" t="inlineStr">
        <is>
          <t>Saída</t>
        </is>
      </c>
      <c r="E328" s="102" t="inlineStr">
        <is>
          <t>Premiações e Abonos</t>
        </is>
      </c>
      <c r="F328" s="103" t="n">
        <v>200</v>
      </c>
      <c r="G328" s="104" t="inlineStr">
        <is>
          <t>08/2025</t>
        </is>
      </c>
      <c r="H328" s="104" t="inlineStr">
        <is>
          <t>CODI</t>
        </is>
      </c>
    </row>
    <row r="329" ht="15" customHeight="1" s="86">
      <c r="B329" s="101" t="n">
        <v>45870</v>
      </c>
      <c r="C329" s="102" t="inlineStr">
        <is>
          <t>Material de Escritório - 08/2025</t>
        </is>
      </c>
      <c r="D329" s="102" t="inlineStr">
        <is>
          <t>Saída</t>
        </is>
      </c>
      <c r="E329" s="102" t="inlineStr">
        <is>
          <t>Material de Escritório</t>
        </is>
      </c>
      <c r="F329" s="103" t="n">
        <v>578.78</v>
      </c>
      <c r="G329" s="104" t="inlineStr">
        <is>
          <t>08/2025</t>
        </is>
      </c>
      <c r="H329" s="104" t="inlineStr">
        <is>
          <t>CODI</t>
        </is>
      </c>
    </row>
    <row r="330" ht="15" customHeight="1" s="86">
      <c r="B330" s="101" t="n">
        <v>45870</v>
      </c>
      <c r="C330" s="102" t="inlineStr">
        <is>
          <t>Juros de Empréstimos - 08/2025</t>
        </is>
      </c>
      <c r="D330" s="102" t="inlineStr">
        <is>
          <t>Saída</t>
        </is>
      </c>
      <c r="E330" s="102" t="inlineStr">
        <is>
          <t>Juros de Empréstimos</t>
        </is>
      </c>
      <c r="F330" s="103" t="n">
        <v>7581</v>
      </c>
      <c r="G330" s="104" t="inlineStr">
        <is>
          <t>08/2025</t>
        </is>
      </c>
      <c r="H330" s="104" t="inlineStr">
        <is>
          <t>CODI</t>
        </is>
      </c>
    </row>
    <row r="331" ht="15" customHeight="1" s="86">
      <c r="B331" s="101" t="n">
        <v>45870</v>
      </c>
      <c r="C331" s="102" t="inlineStr">
        <is>
          <t>Material de Copa e Cozinha - 08/2025</t>
        </is>
      </c>
      <c r="D331" s="102" t="inlineStr">
        <is>
          <t>Saída</t>
        </is>
      </c>
      <c r="E331" s="102" t="inlineStr">
        <is>
          <t>Material de Copa e Cozinha</t>
        </is>
      </c>
      <c r="F331" s="103" t="n">
        <v>468.09</v>
      </c>
      <c r="G331" s="104" t="inlineStr">
        <is>
          <t>08/2025</t>
        </is>
      </c>
      <c r="H331" s="104" t="inlineStr">
        <is>
          <t>CODI</t>
        </is>
      </c>
    </row>
    <row r="332" ht="15" customHeight="1" s="86">
      <c r="B332" s="101" t="n">
        <v>45870</v>
      </c>
      <c r="C332" s="102" t="inlineStr">
        <is>
          <t>Despesas com Documentos e Xerox - 08/2025</t>
        </is>
      </c>
      <c r="D332" s="102" t="inlineStr">
        <is>
          <t>Saída</t>
        </is>
      </c>
      <c r="E332" s="102" t="inlineStr">
        <is>
          <t>Despesas com Documentos e Xerox</t>
        </is>
      </c>
      <c r="F332" s="103" t="n">
        <v>50.21</v>
      </c>
      <c r="G332" s="104" t="inlineStr">
        <is>
          <t>08/2025</t>
        </is>
      </c>
      <c r="H332" s="104" t="inlineStr">
        <is>
          <t>CODI</t>
        </is>
      </c>
    </row>
    <row r="333" ht="15" customHeight="1" s="86">
      <c r="B333" s="101" t="n">
        <v>45901</v>
      </c>
      <c r="C333" s="102" t="inlineStr">
        <is>
          <t>Vendas - 09/2025</t>
        </is>
      </c>
      <c r="D333" s="102" t="inlineStr">
        <is>
          <t>Entrada</t>
        </is>
      </c>
      <c r="E333" s="102" t="inlineStr">
        <is>
          <t>Vendas</t>
        </is>
      </c>
      <c r="F333" s="103" t="n">
        <v>136741.02</v>
      </c>
      <c r="G333" s="104" t="inlineStr">
        <is>
          <t>09/2025</t>
        </is>
      </c>
      <c r="H333" s="104" t="inlineStr">
        <is>
          <t>CODI</t>
        </is>
      </c>
    </row>
    <row r="334" ht="15" customHeight="1" s="86">
      <c r="B334" s="101" t="n">
        <v>45901</v>
      </c>
      <c r="C334" s="102" t="inlineStr">
        <is>
          <t>Aluguéis e Condomínios - 09/2025</t>
        </is>
      </c>
      <c r="D334" s="102" t="inlineStr">
        <is>
          <t>Saída</t>
        </is>
      </c>
      <c r="E334" s="102" t="inlineStr">
        <is>
          <t>Aluguéis e Condomínios</t>
        </is>
      </c>
      <c r="F334" s="103" t="n">
        <v>5713.82</v>
      </c>
      <c r="G334" s="104" t="inlineStr">
        <is>
          <t>09/2025</t>
        </is>
      </c>
      <c r="H334" s="104" t="inlineStr">
        <is>
          <t>CODI</t>
        </is>
      </c>
    </row>
    <row r="335" ht="15" customHeight="1" s="86">
      <c r="B335" s="101" t="n">
        <v>45901</v>
      </c>
      <c r="C335" s="102" t="inlineStr">
        <is>
          <t>Aviamento - 09/2025</t>
        </is>
      </c>
      <c r="D335" s="102" t="inlineStr">
        <is>
          <t>Saída</t>
        </is>
      </c>
      <c r="E335" s="102" t="inlineStr">
        <is>
          <t>Aviamento</t>
        </is>
      </c>
      <c r="F335" s="103" t="n">
        <v>6445</v>
      </c>
      <c r="G335" s="104" t="inlineStr">
        <is>
          <t>09/2025</t>
        </is>
      </c>
      <c r="H335" s="104" t="inlineStr">
        <is>
          <t>CODI</t>
        </is>
      </c>
    </row>
    <row r="336" ht="15" customHeight="1" s="86">
      <c r="B336" s="101" t="n">
        <v>45901</v>
      </c>
      <c r="C336" s="102" t="inlineStr">
        <is>
          <t>Despesa não Identificada - 09/2025</t>
        </is>
      </c>
      <c r="D336" s="102" t="inlineStr">
        <is>
          <t>Saída</t>
        </is>
      </c>
      <c r="E336" s="102" t="inlineStr">
        <is>
          <t>Despesa não Identificada</t>
        </is>
      </c>
      <c r="F336" s="103" t="n">
        <v>166963.68</v>
      </c>
      <c r="G336" s="104" t="inlineStr">
        <is>
          <t>09/2025</t>
        </is>
      </c>
      <c r="H336" s="104" t="inlineStr">
        <is>
          <t>CODI</t>
        </is>
      </c>
    </row>
    <row r="337" ht="15" customHeight="1" s="86">
      <c r="B337" s="101" t="n">
        <v>45901</v>
      </c>
      <c r="C337" s="102" t="inlineStr">
        <is>
          <t>Etiquetas - 09/2025</t>
        </is>
      </c>
      <c r="D337" s="102" t="inlineStr">
        <is>
          <t>Saída</t>
        </is>
      </c>
      <c r="E337" s="102" t="inlineStr">
        <is>
          <t>Etiquetas</t>
        </is>
      </c>
      <c r="F337" s="103" t="n">
        <v>3627.3</v>
      </c>
      <c r="G337" s="104" t="inlineStr">
        <is>
          <t>09/2025</t>
        </is>
      </c>
      <c r="H337" s="104" t="inlineStr">
        <is>
          <t>CODI</t>
        </is>
      </c>
    </row>
    <row r="338" ht="15" customHeight="1" s="86">
      <c r="B338" s="101" t="n">
        <v>45901</v>
      </c>
      <c r="C338" s="102" t="inlineStr">
        <is>
          <t>Facção - 09/2025</t>
        </is>
      </c>
      <c r="D338" s="102" t="inlineStr">
        <is>
          <t>Saída</t>
        </is>
      </c>
      <c r="E338" s="102" t="inlineStr">
        <is>
          <t>Facção</t>
        </is>
      </c>
      <c r="F338" s="103" t="n">
        <v>87423.5</v>
      </c>
      <c r="G338" s="104" t="inlineStr">
        <is>
          <t>09/2025</t>
        </is>
      </c>
      <c r="H338" s="104" t="inlineStr">
        <is>
          <t>CODI</t>
        </is>
      </c>
    </row>
    <row r="339" ht="15" customHeight="1" s="86">
      <c r="B339" s="101" t="n">
        <v>45901</v>
      </c>
      <c r="C339" s="102" t="inlineStr">
        <is>
          <t>Frete e Transporte de Mercadorias - 09/2025</t>
        </is>
      </c>
      <c r="D339" s="102" t="inlineStr">
        <is>
          <t>Saída</t>
        </is>
      </c>
      <c r="E339" s="102" t="inlineStr">
        <is>
          <t>Frete e Transporte de Mercadorias</t>
        </is>
      </c>
      <c r="F339" s="103" t="n">
        <v>8254.24</v>
      </c>
      <c r="G339" s="104" t="inlineStr">
        <is>
          <t>09/2025</t>
        </is>
      </c>
      <c r="H339" s="104" t="inlineStr">
        <is>
          <t>CODI</t>
        </is>
      </c>
    </row>
    <row r="340" ht="15" customHeight="1" s="86">
      <c r="B340" s="101" t="n">
        <v>45901</v>
      </c>
      <c r="C340" s="102" t="inlineStr">
        <is>
          <t>Lavanderia - 09/2025</t>
        </is>
      </c>
      <c r="D340" s="102" t="inlineStr">
        <is>
          <t>Saída</t>
        </is>
      </c>
      <c r="E340" s="102" t="inlineStr">
        <is>
          <t>Lavanderia</t>
        </is>
      </c>
      <c r="F340" s="103" t="n">
        <v>33667</v>
      </c>
      <c r="G340" s="104" t="inlineStr">
        <is>
          <t>09/2025</t>
        </is>
      </c>
      <c r="H340" s="104" t="inlineStr">
        <is>
          <t>CODI</t>
        </is>
      </c>
    </row>
    <row r="341" ht="15" customHeight="1" s="86">
      <c r="B341" s="101" t="n">
        <v>45901</v>
      </c>
      <c r="C341" s="102" t="inlineStr">
        <is>
          <t>Material de Limpeza e Higiene - 09/2025</t>
        </is>
      </c>
      <c r="D341" s="102" t="inlineStr">
        <is>
          <t>Saída</t>
        </is>
      </c>
      <c r="E341" s="102" t="inlineStr">
        <is>
          <t>Material de Limpeza e Higiene</t>
        </is>
      </c>
      <c r="F341" s="103" t="n">
        <v>29.79</v>
      </c>
      <c r="G341" s="104" t="inlineStr">
        <is>
          <t>09/2025</t>
        </is>
      </c>
      <c r="H341" s="104" t="inlineStr">
        <is>
          <t>CODI</t>
        </is>
      </c>
    </row>
    <row r="342" ht="15" customHeight="1" s="86">
      <c r="B342" s="101" t="n">
        <v>45901</v>
      </c>
      <c r="C342" s="102" t="inlineStr">
        <is>
          <t>Publicidade - 09/2025</t>
        </is>
      </c>
      <c r="D342" s="102" t="inlineStr">
        <is>
          <t>Saída</t>
        </is>
      </c>
      <c r="E342" s="102" t="inlineStr">
        <is>
          <t>Publicidade</t>
        </is>
      </c>
      <c r="F342" s="103" t="n">
        <v>2520</v>
      </c>
      <c r="G342" s="104" t="inlineStr">
        <is>
          <t>09/2025</t>
        </is>
      </c>
      <c r="H342" s="104" t="inlineStr">
        <is>
          <t>CODI</t>
        </is>
      </c>
    </row>
    <row r="343" ht="15" customHeight="1" s="86">
      <c r="B343" s="101" t="n">
        <v>45901</v>
      </c>
      <c r="C343" s="102" t="inlineStr">
        <is>
          <t>Salário e Ordenados - 09/2025</t>
        </is>
      </c>
      <c r="D343" s="102" t="inlineStr">
        <is>
          <t>Saída</t>
        </is>
      </c>
      <c r="E343" s="102" t="inlineStr">
        <is>
          <t>Salário e Ordenados</t>
        </is>
      </c>
      <c r="F343" s="103" t="n">
        <v>25627.32</v>
      </c>
      <c r="G343" s="104" t="inlineStr">
        <is>
          <t>09/2025</t>
        </is>
      </c>
      <c r="H343" s="104" t="inlineStr">
        <is>
          <t>CODI</t>
        </is>
      </c>
    </row>
    <row r="344" ht="15" customHeight="1" s="86">
      <c r="B344" s="101" t="n">
        <v>45901</v>
      </c>
      <c r="C344" s="102" t="inlineStr">
        <is>
          <t>Segurança e Monitoramento - 09/2025</t>
        </is>
      </c>
      <c r="D344" s="102" t="inlineStr">
        <is>
          <t>Saída</t>
        </is>
      </c>
      <c r="E344" s="102" t="inlineStr">
        <is>
          <t>Segurança e Monitoramento</t>
        </is>
      </c>
      <c r="F344" s="103" t="n">
        <v>140</v>
      </c>
      <c r="G344" s="104" t="inlineStr">
        <is>
          <t>09/2025</t>
        </is>
      </c>
      <c r="H344" s="104" t="inlineStr">
        <is>
          <t>CODI</t>
        </is>
      </c>
    </row>
    <row r="345" ht="15" customHeight="1" s="86">
      <c r="B345" s="101" t="n">
        <v>45901</v>
      </c>
      <c r="C345" s="102" t="inlineStr">
        <is>
          <t>Seguros - 09/2025</t>
        </is>
      </c>
      <c r="D345" s="102" t="inlineStr">
        <is>
          <t>Saída</t>
        </is>
      </c>
      <c r="E345" s="102" t="inlineStr">
        <is>
          <t>Seguros</t>
        </is>
      </c>
      <c r="F345" s="103" t="n">
        <v>269.82</v>
      </c>
      <c r="G345" s="104" t="inlineStr">
        <is>
          <t>09/2025</t>
        </is>
      </c>
      <c r="H345" s="104" t="inlineStr">
        <is>
          <t>CODI</t>
        </is>
      </c>
    </row>
    <row r="346" ht="15" customHeight="1" s="86">
      <c r="B346" s="101" t="n">
        <v>45901</v>
      </c>
      <c r="C346" s="102" t="inlineStr">
        <is>
          <t>Simples Nacional - 09/2025</t>
        </is>
      </c>
      <c r="D346" s="102" t="inlineStr">
        <is>
          <t>Saída</t>
        </is>
      </c>
      <c r="E346" s="102" t="inlineStr">
        <is>
          <t>Simples Nacional</t>
        </is>
      </c>
      <c r="F346" s="103" t="n">
        <v>17568.9</v>
      </c>
      <c r="G346" s="104" t="inlineStr">
        <is>
          <t>09/2025</t>
        </is>
      </c>
      <c r="H346" s="104" t="inlineStr">
        <is>
          <t>CODI</t>
        </is>
      </c>
    </row>
    <row r="347" ht="15" customHeight="1" s="86">
      <c r="B347" s="101" t="n">
        <v>45901</v>
      </c>
      <c r="C347" s="102" t="inlineStr">
        <is>
          <t>Tecidos - 09/2025</t>
        </is>
      </c>
      <c r="D347" s="102" t="inlineStr">
        <is>
          <t>Saída</t>
        </is>
      </c>
      <c r="E347" s="102" t="inlineStr">
        <is>
          <t>Tecidos</t>
        </is>
      </c>
      <c r="F347" s="103" t="n">
        <v>317071.73</v>
      </c>
      <c r="G347" s="104" t="inlineStr">
        <is>
          <t>09/2025</t>
        </is>
      </c>
      <c r="H347" s="104" t="inlineStr">
        <is>
          <t>CODI</t>
        </is>
      </c>
    </row>
    <row r="348" ht="15" customHeight="1" s="86">
      <c r="B348" s="101" t="n">
        <v>45901</v>
      </c>
      <c r="C348" s="102" t="inlineStr">
        <is>
          <t>Telefonia Fixa e Internet - 09/2025</t>
        </is>
      </c>
      <c r="D348" s="102" t="inlineStr">
        <is>
          <t>Saída</t>
        </is>
      </c>
      <c r="E348" s="102" t="inlineStr">
        <is>
          <t>Telefonia Fixa e Internet</t>
        </is>
      </c>
      <c r="F348" s="103" t="n">
        <v>256.67</v>
      </c>
      <c r="G348" s="104" t="inlineStr">
        <is>
          <t>09/2025</t>
        </is>
      </c>
      <c r="H348" s="104" t="inlineStr">
        <is>
          <t>CODI</t>
        </is>
      </c>
    </row>
    <row r="349" ht="15" customHeight="1" s="86">
      <c r="B349" s="101" t="n">
        <v>45901</v>
      </c>
      <c r="C349" s="102" t="inlineStr">
        <is>
          <t>Travete - 09/2025</t>
        </is>
      </c>
      <c r="D349" s="102" t="inlineStr">
        <is>
          <t>Saída</t>
        </is>
      </c>
      <c r="E349" s="102" t="inlineStr">
        <is>
          <t>Travete</t>
        </is>
      </c>
      <c r="F349" s="103" t="n">
        <v>7889.9</v>
      </c>
      <c r="G349" s="104" t="inlineStr">
        <is>
          <t>09/2025</t>
        </is>
      </c>
      <c r="H349" s="104" t="inlineStr">
        <is>
          <t>CODI</t>
        </is>
      </c>
    </row>
    <row r="350" ht="15" customHeight="1" s="86">
      <c r="B350" s="101" t="n">
        <v>45901</v>
      </c>
      <c r="C350" s="102" t="inlineStr">
        <is>
          <t>Títulos de Capitalização - 09/2025</t>
        </is>
      </c>
      <c r="D350" s="102" t="inlineStr">
        <is>
          <t>Saída</t>
        </is>
      </c>
      <c r="E350" s="102" t="inlineStr">
        <is>
          <t>Títulos de Capitalização</t>
        </is>
      </c>
      <c r="F350" s="103" t="n">
        <v>12013.66</v>
      </c>
      <c r="G350" s="104" t="inlineStr">
        <is>
          <t>09/2025</t>
        </is>
      </c>
      <c r="H350" s="104" t="inlineStr">
        <is>
          <t>CODI</t>
        </is>
      </c>
    </row>
    <row r="351" ht="15" customHeight="1" s="86">
      <c r="B351" s="101" t="n">
        <v>45901</v>
      </c>
      <c r="C351" s="102" t="inlineStr">
        <is>
          <t>Vales e Adiantamentos - 09/2025</t>
        </is>
      </c>
      <c r="D351" s="102" t="inlineStr">
        <is>
          <t>Saída</t>
        </is>
      </c>
      <c r="E351" s="102" t="inlineStr">
        <is>
          <t>Vales e Adiantamentos</t>
        </is>
      </c>
      <c r="F351" s="103" t="n">
        <v>3450</v>
      </c>
      <c r="G351" s="104" t="inlineStr">
        <is>
          <t>09/2025</t>
        </is>
      </c>
      <c r="H351" s="104" t="inlineStr">
        <is>
          <t>CODI</t>
        </is>
      </c>
    </row>
    <row r="352" ht="15" customHeight="1" s="86">
      <c r="B352" s="101" t="n">
        <v>45901</v>
      </c>
      <c r="C352" s="102" t="inlineStr">
        <is>
          <t>Web Site e Sistema ERP - 09/2025</t>
        </is>
      </c>
      <c r="D352" s="102" t="inlineStr">
        <is>
          <t>Saída</t>
        </is>
      </c>
      <c r="E352" s="102" t="inlineStr">
        <is>
          <t>Web Site e Sistema ERP</t>
        </is>
      </c>
      <c r="F352" s="103" t="n">
        <v>957</v>
      </c>
      <c r="G352" s="104" t="inlineStr">
        <is>
          <t>09/2025</t>
        </is>
      </c>
      <c r="H352" s="104" t="inlineStr">
        <is>
          <t>CODI</t>
        </is>
      </c>
    </row>
    <row r="353" ht="15" customHeight="1" s="86">
      <c r="B353" s="101" t="n">
        <v>45901</v>
      </c>
      <c r="C353" s="102" t="inlineStr">
        <is>
          <t>Acabamento Externo - 09/2025</t>
        </is>
      </c>
      <c r="D353" s="102" t="inlineStr">
        <is>
          <t>Saída</t>
        </is>
      </c>
      <c r="E353" s="102" t="inlineStr">
        <is>
          <t>Acabamento Externo</t>
        </is>
      </c>
      <c r="F353" s="103" t="n">
        <v>20419.5</v>
      </c>
      <c r="G353" s="104" t="inlineStr">
        <is>
          <t>09/2025</t>
        </is>
      </c>
      <c r="H353" s="104" t="inlineStr">
        <is>
          <t>CODI</t>
        </is>
      </c>
    </row>
    <row r="354" ht="15" customHeight="1" s="86">
      <c r="B354" s="101" t="n">
        <v>45901</v>
      </c>
      <c r="C354" s="102" t="inlineStr">
        <is>
          <t>Alimentação - 09/2025</t>
        </is>
      </c>
      <c r="D354" s="102" t="inlineStr">
        <is>
          <t>Saída</t>
        </is>
      </c>
      <c r="E354" s="102" t="inlineStr">
        <is>
          <t>Alimentação</t>
        </is>
      </c>
      <c r="F354" s="103" t="n">
        <v>128.16</v>
      </c>
      <c r="G354" s="104" t="inlineStr">
        <is>
          <t>09/2025</t>
        </is>
      </c>
      <c r="H354" s="104" t="inlineStr">
        <is>
          <t>CODI</t>
        </is>
      </c>
    </row>
    <row r="355" ht="15" customHeight="1" s="86">
      <c r="B355" s="101" t="n">
        <v>45901</v>
      </c>
      <c r="C355" s="102" t="inlineStr">
        <is>
          <t>Combustíveis - 09/2025</t>
        </is>
      </c>
      <c r="D355" s="102" t="inlineStr">
        <is>
          <t>Saída</t>
        </is>
      </c>
      <c r="E355" s="102" t="inlineStr">
        <is>
          <t>Combustíveis</t>
        </is>
      </c>
      <c r="F355" s="103" t="n">
        <v>1158.4</v>
      </c>
      <c r="G355" s="104" t="inlineStr">
        <is>
          <t>09/2025</t>
        </is>
      </c>
      <c r="H355" s="104" t="inlineStr">
        <is>
          <t>CODI</t>
        </is>
      </c>
    </row>
    <row r="356" ht="15" customHeight="1" s="86">
      <c r="B356" s="101" t="n">
        <v>45901</v>
      </c>
      <c r="C356" s="102" t="inlineStr">
        <is>
          <t>Criação de Modelos - 09/2025</t>
        </is>
      </c>
      <c r="D356" s="102" t="inlineStr">
        <is>
          <t>Saída</t>
        </is>
      </c>
      <c r="E356" s="102" t="inlineStr">
        <is>
          <t>Criação de Modelos</t>
        </is>
      </c>
      <c r="F356" s="103" t="n">
        <v>5360</v>
      </c>
      <c r="G356" s="104" t="inlineStr">
        <is>
          <t>09/2025</t>
        </is>
      </c>
      <c r="H356" s="104" t="inlineStr">
        <is>
          <t>CODI</t>
        </is>
      </c>
    </row>
    <row r="357" ht="15" customHeight="1" s="86">
      <c r="B357" s="101" t="n">
        <v>45901</v>
      </c>
      <c r="C357" s="102" t="inlineStr">
        <is>
          <t>Darf - 09/2025</t>
        </is>
      </c>
      <c r="D357" s="102" t="inlineStr">
        <is>
          <t>Saída</t>
        </is>
      </c>
      <c r="E357" s="102" t="inlineStr">
        <is>
          <t>Darf</t>
        </is>
      </c>
      <c r="F357" s="103" t="n">
        <v>4655.22</v>
      </c>
      <c r="G357" s="104" t="inlineStr">
        <is>
          <t>09/2025</t>
        </is>
      </c>
      <c r="H357" s="104" t="inlineStr">
        <is>
          <t>CODI</t>
        </is>
      </c>
    </row>
    <row r="358" ht="15" customHeight="1" s="86">
      <c r="B358" s="101" t="n">
        <v>45901</v>
      </c>
      <c r="C358" s="102" t="inlineStr">
        <is>
          <t>Embalagens - 09/2025</t>
        </is>
      </c>
      <c r="D358" s="102" t="inlineStr">
        <is>
          <t>Saída</t>
        </is>
      </c>
      <c r="E358" s="102" t="inlineStr">
        <is>
          <t>Embalagens</t>
        </is>
      </c>
      <c r="F358" s="103" t="n">
        <v>640</v>
      </c>
      <c r="G358" s="104" t="inlineStr">
        <is>
          <t>09/2025</t>
        </is>
      </c>
      <c r="H358" s="104" t="inlineStr">
        <is>
          <t>CODI</t>
        </is>
      </c>
    </row>
    <row r="359" ht="15" customHeight="1" s="86">
      <c r="B359" s="101" t="n">
        <v>45901</v>
      </c>
      <c r="C359" s="102" t="inlineStr">
        <is>
          <t>Exame Adminissional/Demissional - 09/2025</t>
        </is>
      </c>
      <c r="D359" s="102" t="inlineStr">
        <is>
          <t>Saída</t>
        </is>
      </c>
      <c r="E359" s="102" t="inlineStr">
        <is>
          <t>Exame Adminissional/Demissional</t>
        </is>
      </c>
      <c r="F359" s="103" t="n">
        <v>30</v>
      </c>
      <c r="G359" s="104" t="inlineStr">
        <is>
          <t>09/2025</t>
        </is>
      </c>
      <c r="H359" s="104" t="inlineStr">
        <is>
          <t>CODI</t>
        </is>
      </c>
    </row>
    <row r="360" ht="15" customHeight="1" s="86">
      <c r="B360" s="101" t="n">
        <v>45901</v>
      </c>
      <c r="C360" s="102" t="inlineStr">
        <is>
          <t>Bordado Industrial - 09/2025</t>
        </is>
      </c>
      <c r="D360" s="102" t="inlineStr">
        <is>
          <t>Saída</t>
        </is>
      </c>
      <c r="E360" s="102" t="inlineStr">
        <is>
          <t>Bordado Industrial</t>
        </is>
      </c>
      <c r="F360" s="103" t="n">
        <v>3185</v>
      </c>
      <c r="G360" s="104" t="inlineStr">
        <is>
          <t>09/2025</t>
        </is>
      </c>
      <c r="H360" s="104" t="inlineStr">
        <is>
          <t>CODI</t>
        </is>
      </c>
    </row>
    <row r="361" ht="15" customHeight="1" s="86">
      <c r="B361" s="101" t="n">
        <v>45901</v>
      </c>
      <c r="C361" s="102" t="inlineStr">
        <is>
          <t>Comissão de vendedores - 09/2025</t>
        </is>
      </c>
      <c r="D361" s="102" t="inlineStr">
        <is>
          <t>Saída</t>
        </is>
      </c>
      <c r="E361" s="102" t="inlineStr">
        <is>
          <t>Comissão de vendedores</t>
        </is>
      </c>
      <c r="F361" s="103" t="n">
        <v>8519.42</v>
      </c>
      <c r="G361" s="104" t="inlineStr">
        <is>
          <t>09/2025</t>
        </is>
      </c>
      <c r="H361" s="104" t="inlineStr">
        <is>
          <t>CODI</t>
        </is>
      </c>
    </row>
    <row r="362" ht="15" customHeight="1" s="86">
      <c r="B362" s="101" t="n">
        <v>45901</v>
      </c>
      <c r="C362" s="102" t="inlineStr">
        <is>
          <t>Consulta de Crédito Cliente - 09/2025</t>
        </is>
      </c>
      <c r="D362" s="102" t="inlineStr">
        <is>
          <t>Saída</t>
        </is>
      </c>
      <c r="E362" s="102" t="inlineStr">
        <is>
          <t>Consulta de Crédito Cliente</t>
        </is>
      </c>
      <c r="F362" s="103" t="n">
        <v>328.05</v>
      </c>
      <c r="G362" s="104" t="inlineStr">
        <is>
          <t>09/2025</t>
        </is>
      </c>
      <c r="H362" s="104" t="inlineStr">
        <is>
          <t>CODI</t>
        </is>
      </c>
    </row>
    <row r="363" ht="15" customHeight="1" s="86">
      <c r="B363" s="101" t="n">
        <v>45901</v>
      </c>
      <c r="C363" s="102" t="inlineStr">
        <is>
          <t>Despesa com Sindicatos - 09/2025</t>
        </is>
      </c>
      <c r="D363" s="102" t="inlineStr">
        <is>
          <t>Saída</t>
        </is>
      </c>
      <c r="E363" s="102" t="inlineStr">
        <is>
          <t>Despesa com Sindicatos</t>
        </is>
      </c>
      <c r="F363" s="103" t="n">
        <v>49.9</v>
      </c>
      <c r="G363" s="104" t="inlineStr">
        <is>
          <t>09/2025</t>
        </is>
      </c>
      <c r="H363" s="104" t="inlineStr">
        <is>
          <t>CODI</t>
        </is>
      </c>
    </row>
    <row r="364" ht="15" customHeight="1" s="86">
      <c r="B364" s="101" t="n">
        <v>45901</v>
      </c>
      <c r="C364" s="102" t="inlineStr">
        <is>
          <t>Manutenção de Veiculos e Estacionamento - 09/2025</t>
        </is>
      </c>
      <c r="D364" s="102" t="inlineStr">
        <is>
          <t>Saída</t>
        </is>
      </c>
      <c r="E364" s="102" t="inlineStr">
        <is>
          <t>Manutenção de Veiculos e Estacionamento</t>
        </is>
      </c>
      <c r="F364" s="103" t="n">
        <v>302</v>
      </c>
      <c r="G364" s="104" t="inlineStr">
        <is>
          <t>09/2025</t>
        </is>
      </c>
      <c r="H364" s="104" t="inlineStr">
        <is>
          <t>CODI</t>
        </is>
      </c>
    </row>
    <row r="365" ht="15" customHeight="1" s="86">
      <c r="B365" s="101" t="n">
        <v>45901</v>
      </c>
      <c r="C365" s="102" t="inlineStr">
        <is>
          <t>Multas e Juros por Atraso - 09/2025</t>
        </is>
      </c>
      <c r="D365" s="102" t="inlineStr">
        <is>
          <t>Saída</t>
        </is>
      </c>
      <c r="E365" s="102" t="inlineStr">
        <is>
          <t>Multas e Juros por Atraso</t>
        </is>
      </c>
      <c r="F365" s="103" t="n">
        <v>4500</v>
      </c>
      <c r="G365" s="104" t="inlineStr">
        <is>
          <t>09/2025</t>
        </is>
      </c>
      <c r="H365" s="104" t="inlineStr">
        <is>
          <t>CODI</t>
        </is>
      </c>
    </row>
    <row r="366" ht="15" customHeight="1" s="86">
      <c r="B366" s="101" t="n">
        <v>45901</v>
      </c>
      <c r="C366" s="102" t="inlineStr">
        <is>
          <t>Tarifas e Custos de Op. Bancárias - 09/2025</t>
        </is>
      </c>
      <c r="D366" s="102" t="inlineStr">
        <is>
          <t>Saída</t>
        </is>
      </c>
      <c r="E366" s="102" t="inlineStr">
        <is>
          <t>Tarifas e Custos de Op. Bancárias</t>
        </is>
      </c>
      <c r="F366" s="103" t="n">
        <v>6650</v>
      </c>
      <c r="G366" s="104" t="inlineStr">
        <is>
          <t>09/2025</t>
        </is>
      </c>
      <c r="H366" s="104" t="inlineStr">
        <is>
          <t>CODI</t>
        </is>
      </c>
    </row>
    <row r="367" ht="15" customHeight="1" s="86">
      <c r="B367" s="101" t="n">
        <v>45901</v>
      </c>
      <c r="C367" s="102" t="inlineStr">
        <is>
          <t>Telefonia Móvel - 09/2025</t>
        </is>
      </c>
      <c r="D367" s="102" t="inlineStr">
        <is>
          <t>Saída</t>
        </is>
      </c>
      <c r="E367" s="102" t="inlineStr">
        <is>
          <t>Telefonia Móvel</t>
        </is>
      </c>
      <c r="F367" s="103" t="n">
        <v>60</v>
      </c>
      <c r="G367" s="104" t="inlineStr">
        <is>
          <t>09/2025</t>
        </is>
      </c>
      <c r="H367" s="104" t="inlineStr">
        <is>
          <t>CODI</t>
        </is>
      </c>
    </row>
    <row r="368" ht="15" customHeight="1" s="86">
      <c r="B368" s="101" t="n">
        <v>45901</v>
      </c>
      <c r="C368" s="102" t="inlineStr">
        <is>
          <t>Material de Escritório - 09/2025</t>
        </is>
      </c>
      <c r="D368" s="102" t="inlineStr">
        <is>
          <t>Saída</t>
        </is>
      </c>
      <c r="E368" s="102" t="inlineStr">
        <is>
          <t>Material de Escritório</t>
        </is>
      </c>
      <c r="F368" s="103" t="n">
        <v>319.92</v>
      </c>
      <c r="G368" s="104" t="inlineStr">
        <is>
          <t>09/2025</t>
        </is>
      </c>
      <c r="H368" s="104" t="inlineStr">
        <is>
          <t>CODI</t>
        </is>
      </c>
    </row>
    <row r="369" ht="15" customHeight="1" s="86">
      <c r="B369" s="101" t="n">
        <v>45901</v>
      </c>
      <c r="C369" s="102" t="inlineStr">
        <is>
          <t>Viagens e estadas - 09/2025</t>
        </is>
      </c>
      <c r="D369" s="102" t="inlineStr">
        <is>
          <t>Saída</t>
        </is>
      </c>
      <c r="E369" s="102" t="inlineStr">
        <is>
          <t>Viagens e estadas</t>
        </is>
      </c>
      <c r="F369" s="103" t="n">
        <v>220.95</v>
      </c>
      <c r="G369" s="104" t="inlineStr">
        <is>
          <t>09/2025</t>
        </is>
      </c>
      <c r="H369" s="104" t="inlineStr">
        <is>
          <t>CODI</t>
        </is>
      </c>
    </row>
    <row r="370" ht="15" customHeight="1" s="86">
      <c r="B370" s="101" t="n">
        <v>45901</v>
      </c>
      <c r="C370" s="102" t="inlineStr">
        <is>
          <t>Comissão de Assessores - 09/2025</t>
        </is>
      </c>
      <c r="D370" s="102" t="inlineStr">
        <is>
          <t>Saída</t>
        </is>
      </c>
      <c r="E370" s="102" t="inlineStr">
        <is>
          <t>Comissão de Assessores</t>
        </is>
      </c>
      <c r="F370" s="103" t="n">
        <v>698.1900000000001</v>
      </c>
      <c r="G370" s="104" t="inlineStr">
        <is>
          <t>09/2025</t>
        </is>
      </c>
      <c r="H370" s="104" t="inlineStr">
        <is>
          <t>CODI</t>
        </is>
      </c>
    </row>
    <row r="371" ht="15" customHeight="1" s="86">
      <c r="B371" s="101" t="n">
        <v>45901</v>
      </c>
      <c r="C371" s="102" t="inlineStr">
        <is>
          <t>Juros de Empréstimos - 09/2025</t>
        </is>
      </c>
      <c r="D371" s="102" t="inlineStr">
        <is>
          <t>Saída</t>
        </is>
      </c>
      <c r="E371" s="102" t="inlineStr">
        <is>
          <t>Juros de Empréstimos</t>
        </is>
      </c>
      <c r="F371" s="103" t="n">
        <v>8705</v>
      </c>
      <c r="G371" s="104" t="inlineStr">
        <is>
          <t>09/2025</t>
        </is>
      </c>
      <c r="H371" s="104" t="inlineStr">
        <is>
          <t>CODI</t>
        </is>
      </c>
    </row>
    <row r="372" ht="15" customHeight="1" s="86">
      <c r="B372" s="101" t="n">
        <v>45931</v>
      </c>
      <c r="C372" s="102" t="inlineStr">
        <is>
          <t>Vendas - 10/2025</t>
        </is>
      </c>
      <c r="D372" s="102" t="inlineStr">
        <is>
          <t>Entrada</t>
        </is>
      </c>
      <c r="E372" s="102" t="inlineStr">
        <is>
          <t>Vendas</t>
        </is>
      </c>
      <c r="F372" s="103" t="n">
        <v>696917.65</v>
      </c>
      <c r="G372" s="104" t="inlineStr">
        <is>
          <t>10/2025</t>
        </is>
      </c>
      <c r="H372" s="104" t="inlineStr">
        <is>
          <t>CODI</t>
        </is>
      </c>
    </row>
    <row r="373" ht="15" customHeight="1" s="86">
      <c r="B373" s="101" t="n">
        <v>45931</v>
      </c>
      <c r="C373" s="102" t="inlineStr">
        <is>
          <t>Aluguéis e Condomínios - 10/2025</t>
        </is>
      </c>
      <c r="D373" s="102" t="inlineStr">
        <is>
          <t>Saída</t>
        </is>
      </c>
      <c r="E373" s="102" t="inlineStr">
        <is>
          <t>Aluguéis e Condomínios</t>
        </is>
      </c>
      <c r="F373" s="103" t="n">
        <v>10116.52</v>
      </c>
      <c r="G373" s="104" t="inlineStr">
        <is>
          <t>10/2025</t>
        </is>
      </c>
      <c r="H373" s="104" t="inlineStr">
        <is>
          <t>CODI</t>
        </is>
      </c>
    </row>
    <row r="374" ht="15" customHeight="1" s="86">
      <c r="B374" s="101" t="n">
        <v>45931</v>
      </c>
      <c r="C374" s="102" t="inlineStr">
        <is>
          <t>Aviamento - 10/2025</t>
        </is>
      </c>
      <c r="D374" s="102" t="inlineStr">
        <is>
          <t>Saída</t>
        </is>
      </c>
      <c r="E374" s="102" t="inlineStr">
        <is>
          <t>Aviamento</t>
        </is>
      </c>
      <c r="F374" s="103" t="n">
        <v>9672.35</v>
      </c>
      <c r="G374" s="104" t="inlineStr">
        <is>
          <t>10/2025</t>
        </is>
      </c>
      <c r="H374" s="104" t="inlineStr">
        <is>
          <t>CODI</t>
        </is>
      </c>
    </row>
    <row r="375" ht="15" customHeight="1" s="86">
      <c r="B375" s="101" t="n">
        <v>45931</v>
      </c>
      <c r="C375" s="102" t="inlineStr">
        <is>
          <t>Despesa não Identificada - 10/2025</t>
        </is>
      </c>
      <c r="D375" s="102" t="inlineStr">
        <is>
          <t>Saída</t>
        </is>
      </c>
      <c r="E375" s="102" t="inlineStr">
        <is>
          <t>Despesa não Identificada</t>
        </is>
      </c>
      <c r="F375" s="103" t="n">
        <v>34142.04</v>
      </c>
      <c r="G375" s="104" t="inlineStr">
        <is>
          <t>10/2025</t>
        </is>
      </c>
      <c r="H375" s="104" t="inlineStr">
        <is>
          <t>CODI</t>
        </is>
      </c>
    </row>
    <row r="376" ht="15" customHeight="1" s="86">
      <c r="B376" s="101" t="n">
        <v>45931</v>
      </c>
      <c r="C376" s="102" t="inlineStr">
        <is>
          <t>Energia Elétrica - 10/2025</t>
        </is>
      </c>
      <c r="D376" s="102" t="inlineStr">
        <is>
          <t>Saída</t>
        </is>
      </c>
      <c r="E376" s="102" t="inlineStr">
        <is>
          <t>Energia Elétrica</t>
        </is>
      </c>
      <c r="F376" s="103" t="n">
        <v>555.66</v>
      </c>
      <c r="G376" s="104" t="inlineStr">
        <is>
          <t>10/2025</t>
        </is>
      </c>
      <c r="H376" s="104" t="inlineStr">
        <is>
          <t>CODI</t>
        </is>
      </c>
    </row>
    <row r="377" ht="15" customHeight="1" s="86">
      <c r="B377" s="101" t="n">
        <v>45931</v>
      </c>
      <c r="C377" s="102" t="inlineStr">
        <is>
          <t>Etiquetas - 10/2025</t>
        </is>
      </c>
      <c r="D377" s="102" t="inlineStr">
        <is>
          <t>Saída</t>
        </is>
      </c>
      <c r="E377" s="102" t="inlineStr">
        <is>
          <t>Etiquetas</t>
        </is>
      </c>
      <c r="F377" s="103" t="n">
        <v>5083.36</v>
      </c>
      <c r="G377" s="104" t="inlineStr">
        <is>
          <t>10/2025</t>
        </is>
      </c>
      <c r="H377" s="104" t="inlineStr">
        <is>
          <t>CODI</t>
        </is>
      </c>
    </row>
    <row r="378" ht="15" customHeight="1" s="86">
      <c r="B378" s="101" t="n">
        <v>45931</v>
      </c>
      <c r="C378" s="102" t="inlineStr">
        <is>
          <t>Facção - 10/2025</t>
        </is>
      </c>
      <c r="D378" s="102" t="inlineStr">
        <is>
          <t>Saída</t>
        </is>
      </c>
      <c r="E378" s="102" t="inlineStr">
        <is>
          <t>Facção</t>
        </is>
      </c>
      <c r="F378" s="103" t="n">
        <v>91843</v>
      </c>
      <c r="G378" s="104" t="inlineStr">
        <is>
          <t>10/2025</t>
        </is>
      </c>
      <c r="H378" s="104" t="inlineStr">
        <is>
          <t>CODI</t>
        </is>
      </c>
    </row>
    <row r="379" ht="15" customHeight="1" s="86">
      <c r="B379" s="101" t="n">
        <v>45931</v>
      </c>
      <c r="C379" s="102" t="inlineStr">
        <is>
          <t>Frete e Transporte de Mercadorias - 10/2025</t>
        </is>
      </c>
      <c r="D379" s="102" t="inlineStr">
        <is>
          <t>Saída</t>
        </is>
      </c>
      <c r="E379" s="102" t="inlineStr">
        <is>
          <t>Frete e Transporte de Mercadorias</t>
        </is>
      </c>
      <c r="F379" s="103" t="n">
        <v>6404.98</v>
      </c>
      <c r="G379" s="104" t="inlineStr">
        <is>
          <t>10/2025</t>
        </is>
      </c>
      <c r="H379" s="104" t="inlineStr">
        <is>
          <t>CODI</t>
        </is>
      </c>
    </row>
    <row r="380" ht="15" customHeight="1" s="86">
      <c r="B380" s="101" t="n">
        <v>45931</v>
      </c>
      <c r="C380" s="102" t="inlineStr">
        <is>
          <t>Honorários Contábeis (Contabilidade) - 10/2025</t>
        </is>
      </c>
      <c r="D380" s="102" t="inlineStr">
        <is>
          <t>Saída</t>
        </is>
      </c>
      <c r="E380" s="102" t="inlineStr">
        <is>
          <t>Honorários Contábeis (Contabilidade)</t>
        </is>
      </c>
      <c r="F380" s="103" t="n">
        <v>1100</v>
      </c>
      <c r="G380" s="104" t="inlineStr">
        <is>
          <t>10/2025</t>
        </is>
      </c>
      <c r="H380" s="104" t="inlineStr">
        <is>
          <t>CODI</t>
        </is>
      </c>
    </row>
    <row r="381" ht="15" customHeight="1" s="86">
      <c r="B381" s="101" t="n">
        <v>45931</v>
      </c>
      <c r="C381" s="102" t="inlineStr">
        <is>
          <t>Lavanderia - 10/2025</t>
        </is>
      </c>
      <c r="D381" s="102" t="inlineStr">
        <is>
          <t>Saída</t>
        </is>
      </c>
      <c r="E381" s="102" t="inlineStr">
        <is>
          <t>Lavanderia</t>
        </is>
      </c>
      <c r="F381" s="103" t="n">
        <v>30866</v>
      </c>
      <c r="G381" s="104" t="inlineStr">
        <is>
          <t>10/2025</t>
        </is>
      </c>
      <c r="H381" s="104" t="inlineStr">
        <is>
          <t>CODI</t>
        </is>
      </c>
    </row>
    <row r="382" ht="15" customHeight="1" s="86">
      <c r="B382" s="101" t="n">
        <v>45931</v>
      </c>
      <c r="C382" s="102" t="inlineStr">
        <is>
          <t>Material de Limpeza e Higiene - 10/2025</t>
        </is>
      </c>
      <c r="D382" s="102" t="inlineStr">
        <is>
          <t>Saída</t>
        </is>
      </c>
      <c r="E382" s="102" t="inlineStr">
        <is>
          <t>Material de Limpeza e Higiene</t>
        </is>
      </c>
      <c r="F382" s="103" t="n">
        <v>88.45999999999999</v>
      </c>
      <c r="G382" s="104" t="inlineStr">
        <is>
          <t>10/2025</t>
        </is>
      </c>
      <c r="H382" s="104" t="inlineStr">
        <is>
          <t>CODI</t>
        </is>
      </c>
    </row>
    <row r="383" ht="15" customHeight="1" s="86">
      <c r="B383" s="101" t="n">
        <v>45931</v>
      </c>
      <c r="C383" s="102" t="inlineStr">
        <is>
          <t>Outros Insumos - 10/2025</t>
        </is>
      </c>
      <c r="D383" s="102" t="inlineStr">
        <is>
          <t>Saída</t>
        </is>
      </c>
      <c r="E383" s="102" t="inlineStr">
        <is>
          <t>Outros Insumos</t>
        </is>
      </c>
      <c r="F383" s="103" t="n">
        <v>165.17</v>
      </c>
      <c r="G383" s="104" t="inlineStr">
        <is>
          <t>10/2025</t>
        </is>
      </c>
      <c r="H383" s="104" t="inlineStr">
        <is>
          <t>CODI</t>
        </is>
      </c>
    </row>
    <row r="384" ht="15" customHeight="1" s="86">
      <c r="B384" s="101" t="n">
        <v>45931</v>
      </c>
      <c r="C384" s="102" t="inlineStr">
        <is>
          <t>Publicidade - 10/2025</t>
        </is>
      </c>
      <c r="D384" s="102" t="inlineStr">
        <is>
          <t>Saída</t>
        </is>
      </c>
      <c r="E384" s="102" t="inlineStr">
        <is>
          <t>Publicidade</t>
        </is>
      </c>
      <c r="F384" s="103" t="n">
        <v>5643.32</v>
      </c>
      <c r="G384" s="104" t="inlineStr">
        <is>
          <t>10/2025</t>
        </is>
      </c>
      <c r="H384" s="104" t="inlineStr">
        <is>
          <t>CODI</t>
        </is>
      </c>
    </row>
    <row r="385" ht="15" customHeight="1" s="86">
      <c r="B385" s="101" t="n">
        <v>45931</v>
      </c>
      <c r="C385" s="102" t="inlineStr">
        <is>
          <t>Salário e Ordenados - 10/2025</t>
        </is>
      </c>
      <c r="D385" s="102" t="inlineStr">
        <is>
          <t>Saída</t>
        </is>
      </c>
      <c r="E385" s="102" t="inlineStr">
        <is>
          <t>Salário e Ordenados</t>
        </is>
      </c>
      <c r="F385" s="103" t="n">
        <v>23109.91</v>
      </c>
      <c r="G385" s="104" t="inlineStr">
        <is>
          <t>10/2025</t>
        </is>
      </c>
      <c r="H385" s="104" t="inlineStr">
        <is>
          <t>CODI</t>
        </is>
      </c>
    </row>
    <row r="386" ht="15" customHeight="1" s="86">
      <c r="B386" s="101" t="n">
        <v>45931</v>
      </c>
      <c r="C386" s="102" t="inlineStr">
        <is>
          <t>Segurança e Monitoramento - 10/2025</t>
        </is>
      </c>
      <c r="D386" s="102" t="inlineStr">
        <is>
          <t>Saída</t>
        </is>
      </c>
      <c r="E386" s="102" t="inlineStr">
        <is>
          <t>Segurança e Monitoramento</t>
        </is>
      </c>
      <c r="F386" s="103" t="n">
        <v>140</v>
      </c>
      <c r="G386" s="104" t="inlineStr">
        <is>
          <t>10/2025</t>
        </is>
      </c>
      <c r="H386" s="104" t="inlineStr">
        <is>
          <t>CODI</t>
        </is>
      </c>
    </row>
    <row r="387" ht="15" customHeight="1" s="86">
      <c r="B387" s="101" t="n">
        <v>45931</v>
      </c>
      <c r="C387" s="102" t="inlineStr">
        <is>
          <t>Seguros - 10/2025</t>
        </is>
      </c>
      <c r="D387" s="102" t="inlineStr">
        <is>
          <t>Saída</t>
        </is>
      </c>
      <c r="E387" s="102" t="inlineStr">
        <is>
          <t>Seguros</t>
        </is>
      </c>
      <c r="F387" s="103" t="n">
        <v>269.82</v>
      </c>
      <c r="G387" s="104" t="inlineStr">
        <is>
          <t>10/2025</t>
        </is>
      </c>
      <c r="H387" s="104" t="inlineStr">
        <is>
          <t>CODI</t>
        </is>
      </c>
    </row>
    <row r="388" ht="15" customHeight="1" s="86">
      <c r="B388" s="101" t="n">
        <v>45931</v>
      </c>
      <c r="C388" s="102" t="inlineStr">
        <is>
          <t>Simples Nacional - 10/2025</t>
        </is>
      </c>
      <c r="D388" s="102" t="inlineStr">
        <is>
          <t>Saída</t>
        </is>
      </c>
      <c r="E388" s="102" t="inlineStr">
        <is>
          <t>Simples Nacional</t>
        </is>
      </c>
      <c r="F388" s="103" t="n">
        <v>16131.52</v>
      </c>
      <c r="G388" s="104" t="inlineStr">
        <is>
          <t>10/2025</t>
        </is>
      </c>
      <c r="H388" s="104" t="inlineStr">
        <is>
          <t>CODI</t>
        </is>
      </c>
    </row>
    <row r="389" ht="15" customHeight="1" s="86">
      <c r="B389" s="101" t="n">
        <v>45931</v>
      </c>
      <c r="C389" s="102" t="inlineStr">
        <is>
          <t>Tecidos - 10/2025</t>
        </is>
      </c>
      <c r="D389" s="102" t="inlineStr">
        <is>
          <t>Saída</t>
        </is>
      </c>
      <c r="E389" s="102" t="inlineStr">
        <is>
          <t>Tecidos</t>
        </is>
      </c>
      <c r="F389" s="103" t="n">
        <v>201186.07</v>
      </c>
      <c r="G389" s="104" t="inlineStr">
        <is>
          <t>10/2025</t>
        </is>
      </c>
      <c r="H389" s="104" t="inlineStr">
        <is>
          <t>CODI</t>
        </is>
      </c>
    </row>
    <row r="390" ht="15" customHeight="1" s="86">
      <c r="B390" s="101" t="n">
        <v>45931</v>
      </c>
      <c r="C390" s="102" t="inlineStr">
        <is>
          <t>Telefonia Fixa e Internet - 10/2025</t>
        </is>
      </c>
      <c r="D390" s="102" t="inlineStr">
        <is>
          <t>Saída</t>
        </is>
      </c>
      <c r="E390" s="102" t="inlineStr">
        <is>
          <t>Telefonia Fixa e Internet</t>
        </is>
      </c>
      <c r="F390" s="103" t="n">
        <v>120.01</v>
      </c>
      <c r="G390" s="104" t="inlineStr">
        <is>
          <t>10/2025</t>
        </is>
      </c>
      <c r="H390" s="104" t="inlineStr">
        <is>
          <t>CODI</t>
        </is>
      </c>
    </row>
    <row r="391" ht="15" customHeight="1" s="86">
      <c r="B391" s="101" t="n">
        <v>45931</v>
      </c>
      <c r="C391" s="102" t="inlineStr">
        <is>
          <t>Travete - 10/2025</t>
        </is>
      </c>
      <c r="D391" s="102" t="inlineStr">
        <is>
          <t>Saída</t>
        </is>
      </c>
      <c r="E391" s="102" t="inlineStr">
        <is>
          <t>Travete</t>
        </is>
      </c>
      <c r="F391" s="103" t="n">
        <v>6669.4</v>
      </c>
      <c r="G391" s="104" t="inlineStr">
        <is>
          <t>10/2025</t>
        </is>
      </c>
      <c r="H391" s="104" t="inlineStr">
        <is>
          <t>CODI</t>
        </is>
      </c>
    </row>
    <row r="392" ht="15" customHeight="1" s="86">
      <c r="B392" s="101" t="n">
        <v>45931</v>
      </c>
      <c r="C392" s="102" t="inlineStr">
        <is>
          <t>Vales e Adiantamentos - 10/2025</t>
        </is>
      </c>
      <c r="D392" s="102" t="inlineStr">
        <is>
          <t>Saída</t>
        </is>
      </c>
      <c r="E392" s="102" t="inlineStr">
        <is>
          <t>Vales e Adiantamentos</t>
        </is>
      </c>
      <c r="F392" s="103" t="n">
        <v>3450.01</v>
      </c>
      <c r="G392" s="104" t="inlineStr">
        <is>
          <t>10/2025</t>
        </is>
      </c>
      <c r="H392" s="104" t="inlineStr">
        <is>
          <t>CODI</t>
        </is>
      </c>
    </row>
    <row r="393" ht="15" customHeight="1" s="86">
      <c r="B393" s="101" t="n">
        <v>45931</v>
      </c>
      <c r="C393" s="102" t="inlineStr">
        <is>
          <t>Web Site e Sistema ERP - 10/2025</t>
        </is>
      </c>
      <c r="D393" s="102" t="inlineStr">
        <is>
          <t>Saída</t>
        </is>
      </c>
      <c r="E393" s="102" t="inlineStr">
        <is>
          <t>Web Site e Sistema ERP</t>
        </is>
      </c>
      <c r="F393" s="103" t="n">
        <v>957</v>
      </c>
      <c r="G393" s="104" t="inlineStr">
        <is>
          <t>10/2025</t>
        </is>
      </c>
      <c r="H393" s="104" t="inlineStr">
        <is>
          <t>CODI</t>
        </is>
      </c>
    </row>
    <row r="394" ht="15" customHeight="1" s="86">
      <c r="B394" s="101" t="n">
        <v>45931</v>
      </c>
      <c r="C394" s="102" t="inlineStr">
        <is>
          <t>Água - 10/2025</t>
        </is>
      </c>
      <c r="D394" s="102" t="inlineStr">
        <is>
          <t>Saída</t>
        </is>
      </c>
      <c r="E394" s="102" t="inlineStr">
        <is>
          <t>Água</t>
        </is>
      </c>
      <c r="F394" s="103" t="n">
        <v>606.52</v>
      </c>
      <c r="G394" s="104" t="inlineStr">
        <is>
          <t>10/2025</t>
        </is>
      </c>
      <c r="H394" s="104" t="inlineStr">
        <is>
          <t>CODI</t>
        </is>
      </c>
    </row>
    <row r="395" ht="15" customHeight="1" s="86">
      <c r="B395" s="101" t="n">
        <v>45931</v>
      </c>
      <c r="C395" s="102" t="inlineStr">
        <is>
          <t>Acabamento Externo - 10/2025</t>
        </is>
      </c>
      <c r="D395" s="102" t="inlineStr">
        <is>
          <t>Saída</t>
        </is>
      </c>
      <c r="E395" s="102" t="inlineStr">
        <is>
          <t>Acabamento Externo</t>
        </is>
      </c>
      <c r="F395" s="103" t="n">
        <v>17322.1</v>
      </c>
      <c r="G395" s="104" t="inlineStr">
        <is>
          <t>10/2025</t>
        </is>
      </c>
      <c r="H395" s="104" t="inlineStr">
        <is>
          <t>CODI</t>
        </is>
      </c>
    </row>
    <row r="396" ht="15" customHeight="1" s="86">
      <c r="B396" s="101" t="n">
        <v>45931</v>
      </c>
      <c r="C396" s="102" t="inlineStr">
        <is>
          <t>Alimentação - 10/2025</t>
        </is>
      </c>
      <c r="D396" s="102" t="inlineStr">
        <is>
          <t>Saída</t>
        </is>
      </c>
      <c r="E396" s="102" t="inlineStr">
        <is>
          <t>Alimentação</t>
        </is>
      </c>
      <c r="F396" s="103" t="n">
        <v>92.90000000000001</v>
      </c>
      <c r="G396" s="104" t="inlineStr">
        <is>
          <t>10/2025</t>
        </is>
      </c>
      <c r="H396" s="104" t="inlineStr">
        <is>
          <t>CODI</t>
        </is>
      </c>
    </row>
    <row r="397" ht="15" customHeight="1" s="86">
      <c r="B397" s="101" t="n">
        <v>45931</v>
      </c>
      <c r="C397" s="102" t="inlineStr">
        <is>
          <t>Combustíveis - 10/2025</t>
        </is>
      </c>
      <c r="D397" s="102" t="inlineStr">
        <is>
          <t>Saída</t>
        </is>
      </c>
      <c r="E397" s="102" t="inlineStr">
        <is>
          <t>Combustíveis</t>
        </is>
      </c>
      <c r="F397" s="103" t="n">
        <v>1537.99</v>
      </c>
      <c r="G397" s="104" t="inlineStr">
        <is>
          <t>10/2025</t>
        </is>
      </c>
      <c r="H397" s="104" t="inlineStr">
        <is>
          <t>CODI</t>
        </is>
      </c>
    </row>
    <row r="398" ht="15" customHeight="1" s="86">
      <c r="B398" s="101" t="n">
        <v>45931</v>
      </c>
      <c r="C398" s="102" t="inlineStr">
        <is>
          <t>Criação de Modelos - 10/2025</t>
        </is>
      </c>
      <c r="D398" s="102" t="inlineStr">
        <is>
          <t>Saída</t>
        </is>
      </c>
      <c r="E398" s="102" t="inlineStr">
        <is>
          <t>Criação de Modelos</t>
        </is>
      </c>
      <c r="F398" s="103" t="n">
        <v>11130</v>
      </c>
      <c r="G398" s="104" t="inlineStr">
        <is>
          <t>10/2025</t>
        </is>
      </c>
      <c r="H398" s="104" t="inlineStr">
        <is>
          <t>CODI</t>
        </is>
      </c>
    </row>
    <row r="399" ht="15" customHeight="1" s="86">
      <c r="B399" s="101" t="n">
        <v>45931</v>
      </c>
      <c r="C399" s="102" t="inlineStr">
        <is>
          <t>Darf - 10/2025</t>
        </is>
      </c>
      <c r="D399" s="102" t="inlineStr">
        <is>
          <t>Saída</t>
        </is>
      </c>
      <c r="E399" s="102" t="inlineStr">
        <is>
          <t>Darf</t>
        </is>
      </c>
      <c r="F399" s="103" t="n">
        <v>882.6</v>
      </c>
      <c r="G399" s="104" t="inlineStr">
        <is>
          <t>10/2025</t>
        </is>
      </c>
      <c r="H399" s="104" t="inlineStr">
        <is>
          <t>CODI</t>
        </is>
      </c>
    </row>
    <row r="400" ht="15" customHeight="1" s="86">
      <c r="B400" s="101" t="n">
        <v>45931</v>
      </c>
      <c r="C400" s="102" t="inlineStr">
        <is>
          <t>Embalagens - 10/2025</t>
        </is>
      </c>
      <c r="D400" s="102" t="inlineStr">
        <is>
          <t>Saída</t>
        </is>
      </c>
      <c r="E400" s="102" t="inlineStr">
        <is>
          <t>Embalagens</t>
        </is>
      </c>
      <c r="F400" s="103" t="n">
        <v>427</v>
      </c>
      <c r="G400" s="104" t="inlineStr">
        <is>
          <t>10/2025</t>
        </is>
      </c>
      <c r="H400" s="104" t="inlineStr">
        <is>
          <t>CODI</t>
        </is>
      </c>
    </row>
    <row r="401" ht="15" customHeight="1" s="86">
      <c r="B401" s="101" t="n">
        <v>45931</v>
      </c>
      <c r="C401" s="102" t="inlineStr">
        <is>
          <t>Multas - 10/2025</t>
        </is>
      </c>
      <c r="D401" s="102" t="inlineStr">
        <is>
          <t>Saída</t>
        </is>
      </c>
      <c r="E401" s="102" t="inlineStr">
        <is>
          <t>Multas</t>
        </is>
      </c>
      <c r="F401" s="103" t="n">
        <v>104.13</v>
      </c>
      <c r="G401" s="104" t="inlineStr">
        <is>
          <t>10/2025</t>
        </is>
      </c>
      <c r="H401" s="104" t="inlineStr">
        <is>
          <t>CODI</t>
        </is>
      </c>
    </row>
    <row r="402" ht="15" customHeight="1" s="86">
      <c r="B402" s="101" t="n">
        <v>45931</v>
      </c>
      <c r="C402" s="102" t="inlineStr">
        <is>
          <t>Bordado Industrial - 10/2025</t>
        </is>
      </c>
      <c r="D402" s="102" t="inlineStr">
        <is>
          <t>Saída</t>
        </is>
      </c>
      <c r="E402" s="102" t="inlineStr">
        <is>
          <t>Bordado Industrial</t>
        </is>
      </c>
      <c r="F402" s="103" t="n">
        <v>5349</v>
      </c>
      <c r="G402" s="104" t="inlineStr">
        <is>
          <t>10/2025</t>
        </is>
      </c>
      <c r="H402" s="104" t="inlineStr">
        <is>
          <t>CODI</t>
        </is>
      </c>
    </row>
    <row r="403" ht="15" customHeight="1" s="86">
      <c r="B403" s="101" t="n">
        <v>45931</v>
      </c>
      <c r="C403" s="102" t="inlineStr">
        <is>
          <t>Comissão de vendedores - 10/2025</t>
        </is>
      </c>
      <c r="D403" s="102" t="inlineStr">
        <is>
          <t>Saída</t>
        </is>
      </c>
      <c r="E403" s="102" t="inlineStr">
        <is>
          <t>Comissão de vendedores</t>
        </is>
      </c>
      <c r="F403" s="103" t="n">
        <v>6249.57</v>
      </c>
      <c r="G403" s="104" t="inlineStr">
        <is>
          <t>10/2025</t>
        </is>
      </c>
      <c r="H403" s="104" t="inlineStr">
        <is>
          <t>CODI</t>
        </is>
      </c>
    </row>
    <row r="404" ht="15" customHeight="1" s="86">
      <c r="B404" s="101" t="n">
        <v>45931</v>
      </c>
      <c r="C404" s="102" t="inlineStr">
        <is>
          <t>Consulta de Crédito Cliente - 10/2025</t>
        </is>
      </c>
      <c r="D404" s="102" t="inlineStr">
        <is>
          <t>Saída</t>
        </is>
      </c>
      <c r="E404" s="102" t="inlineStr">
        <is>
          <t>Consulta de Crédito Cliente</t>
        </is>
      </c>
      <c r="F404" s="103" t="n">
        <v>327.05</v>
      </c>
      <c r="G404" s="104" t="inlineStr">
        <is>
          <t>10/2025</t>
        </is>
      </c>
      <c r="H404" s="104" t="inlineStr">
        <is>
          <t>CODI</t>
        </is>
      </c>
    </row>
    <row r="405" ht="15" customHeight="1" s="86">
      <c r="B405" s="101" t="n">
        <v>45931</v>
      </c>
      <c r="C405" s="102" t="inlineStr">
        <is>
          <t>Despesa com Sindicatos - 10/2025</t>
        </is>
      </c>
      <c r="D405" s="102" t="inlineStr">
        <is>
          <t>Saída</t>
        </is>
      </c>
      <c r="E405" s="102" t="inlineStr">
        <is>
          <t>Despesa com Sindicatos</t>
        </is>
      </c>
      <c r="F405" s="103" t="n">
        <v>49.9</v>
      </c>
      <c r="G405" s="104" t="inlineStr">
        <is>
          <t>10/2025</t>
        </is>
      </c>
      <c r="H405" s="104" t="inlineStr">
        <is>
          <t>CODI</t>
        </is>
      </c>
    </row>
    <row r="406" ht="15" customHeight="1" s="86">
      <c r="B406" s="101" t="n">
        <v>45931</v>
      </c>
      <c r="C406" s="102" t="inlineStr">
        <is>
          <t>Multas e Juros por Atraso - 10/2025</t>
        </is>
      </c>
      <c r="D406" s="102" t="inlineStr">
        <is>
          <t>Saída</t>
        </is>
      </c>
      <c r="E406" s="102" t="inlineStr">
        <is>
          <t>Multas e Juros por Atraso</t>
        </is>
      </c>
      <c r="F406" s="103" t="n">
        <v>4910.24</v>
      </c>
      <c r="G406" s="104" t="inlineStr">
        <is>
          <t>10/2025</t>
        </is>
      </c>
      <c r="H406" s="104" t="inlineStr">
        <is>
          <t>CODI</t>
        </is>
      </c>
    </row>
    <row r="407" ht="15" customHeight="1" s="86">
      <c r="B407" s="101" t="n">
        <v>45931</v>
      </c>
      <c r="C407" s="102" t="inlineStr">
        <is>
          <t>Premiações e Abonos - 10/2025</t>
        </is>
      </c>
      <c r="D407" s="102" t="inlineStr">
        <is>
          <t>Saída</t>
        </is>
      </c>
      <c r="E407" s="102" t="inlineStr">
        <is>
          <t>Premiações e Abonos</t>
        </is>
      </c>
      <c r="F407" s="103" t="n">
        <v>650</v>
      </c>
      <c r="G407" s="104" t="inlineStr">
        <is>
          <t>10/2025</t>
        </is>
      </c>
      <c r="H407" s="104" t="inlineStr">
        <is>
          <t>CODI</t>
        </is>
      </c>
    </row>
    <row r="408" ht="15" customHeight="1" s="86">
      <c r="B408" s="101" t="n">
        <v>45931</v>
      </c>
      <c r="C408" s="102" t="inlineStr">
        <is>
          <t>Material de Escritório - 10/2025</t>
        </is>
      </c>
      <c r="D408" s="102" t="inlineStr">
        <is>
          <t>Saída</t>
        </is>
      </c>
      <c r="E408" s="102" t="inlineStr">
        <is>
          <t>Material de Escritório</t>
        </is>
      </c>
      <c r="F408" s="103" t="n">
        <v>70</v>
      </c>
      <c r="G408" s="104" t="inlineStr">
        <is>
          <t>10/2025</t>
        </is>
      </c>
      <c r="H408" s="104" t="inlineStr">
        <is>
          <t>CODI</t>
        </is>
      </c>
    </row>
    <row r="409" ht="15" customHeight="1" s="86">
      <c r="B409" s="101" t="n">
        <v>45931</v>
      </c>
      <c r="C409" s="102" t="inlineStr">
        <is>
          <t>Viagens e estadas - 10/2025</t>
        </is>
      </c>
      <c r="D409" s="102" t="inlineStr">
        <is>
          <t>Saída</t>
        </is>
      </c>
      <c r="E409" s="102" t="inlineStr">
        <is>
          <t>Viagens e estadas</t>
        </is>
      </c>
      <c r="F409" s="103" t="n">
        <v>46.2</v>
      </c>
      <c r="G409" s="104" t="inlineStr">
        <is>
          <t>10/2025</t>
        </is>
      </c>
      <c r="H409" s="104" t="inlineStr">
        <is>
          <t>CODI</t>
        </is>
      </c>
    </row>
    <row r="410" ht="15" customHeight="1" s="86">
      <c r="B410" s="101" t="n">
        <v>45931</v>
      </c>
      <c r="C410" s="102" t="inlineStr">
        <is>
          <t>Comissão de Assessores - 10/2025</t>
        </is>
      </c>
      <c r="D410" s="102" t="inlineStr">
        <is>
          <t>Saída</t>
        </is>
      </c>
      <c r="E410" s="102" t="inlineStr">
        <is>
          <t>Comissão de Assessores</t>
        </is>
      </c>
      <c r="F410" s="103" t="n">
        <v>366.6</v>
      </c>
      <c r="G410" s="104" t="inlineStr">
        <is>
          <t>10/2025</t>
        </is>
      </c>
      <c r="H410" s="104" t="inlineStr">
        <is>
          <t>CODI</t>
        </is>
      </c>
    </row>
    <row r="411" ht="15" customHeight="1" s="86">
      <c r="B411" s="101" t="n">
        <v>45931</v>
      </c>
      <c r="C411" s="102" t="inlineStr">
        <is>
          <t>Fgts, Gps e Pis - 10/2025</t>
        </is>
      </c>
      <c r="D411" s="102" t="inlineStr">
        <is>
          <t>Saída</t>
        </is>
      </c>
      <c r="E411" s="102" t="inlineStr">
        <is>
          <t>Fgts, Gps e Pis</t>
        </is>
      </c>
      <c r="F411" s="103" t="n">
        <v>3989.34</v>
      </c>
      <c r="G411" s="104" t="inlineStr">
        <is>
          <t>10/2025</t>
        </is>
      </c>
      <c r="H411" s="104" t="inlineStr">
        <is>
          <t>CODI</t>
        </is>
      </c>
    </row>
    <row r="412" ht="15" customHeight="1" s="86">
      <c r="B412" s="101" t="n">
        <v>45931</v>
      </c>
      <c r="C412" s="102" t="inlineStr">
        <is>
          <t>Bordado Manual - 10/2025</t>
        </is>
      </c>
      <c r="D412" s="102" t="inlineStr">
        <is>
          <t>Saída</t>
        </is>
      </c>
      <c r="E412" s="102" t="inlineStr">
        <is>
          <t>Bordado Manual</t>
        </is>
      </c>
      <c r="F412" s="103" t="n">
        <v>2464</v>
      </c>
      <c r="G412" s="104" t="inlineStr">
        <is>
          <t>10/2025</t>
        </is>
      </c>
      <c r="H412" s="104" t="inlineStr">
        <is>
          <t>CODI</t>
        </is>
      </c>
    </row>
    <row r="413" ht="15" customHeight="1" s="86">
      <c r="B413" s="101" t="n">
        <v>45931</v>
      </c>
      <c r="C413" s="102" t="inlineStr">
        <is>
          <t>Ipva - 10/2025</t>
        </is>
      </c>
      <c r="D413" s="102" t="inlineStr">
        <is>
          <t>Saída</t>
        </is>
      </c>
      <c r="E413" s="102" t="inlineStr">
        <is>
          <t>Ipva</t>
        </is>
      </c>
      <c r="F413" s="103" t="n">
        <v>681.34</v>
      </c>
      <c r="G413" s="104" t="inlineStr">
        <is>
          <t>10/2025</t>
        </is>
      </c>
      <c r="H413" s="104" t="inlineStr">
        <is>
          <t>CODI</t>
        </is>
      </c>
    </row>
    <row r="414" ht="15" customHeight="1" s="86">
      <c r="B414" s="101" t="n">
        <v>45931</v>
      </c>
      <c r="C414" s="102" t="inlineStr">
        <is>
          <t>Juros de Empréstimos - 10/2025</t>
        </is>
      </c>
      <c r="D414" s="102" t="inlineStr">
        <is>
          <t>Saída</t>
        </is>
      </c>
      <c r="E414" s="102" t="inlineStr">
        <is>
          <t>Juros de Empréstimos</t>
        </is>
      </c>
      <c r="F414" s="103" t="n">
        <v>7750</v>
      </c>
      <c r="G414" s="104" t="inlineStr">
        <is>
          <t>10/2025</t>
        </is>
      </c>
      <c r="H414" s="104" t="inlineStr">
        <is>
          <t>CODI</t>
        </is>
      </c>
    </row>
    <row r="415" ht="15" customHeight="1" s="86">
      <c r="B415" s="101" t="n">
        <v>45931</v>
      </c>
      <c r="C415" s="102" t="inlineStr">
        <is>
          <t>Material de Copa e Cozinha - 10/2025</t>
        </is>
      </c>
      <c r="D415" s="102" t="inlineStr">
        <is>
          <t>Saída</t>
        </is>
      </c>
      <c r="E415" s="102" t="inlineStr">
        <is>
          <t>Material de Copa e Cozinha</t>
        </is>
      </c>
      <c r="F415" s="103" t="n">
        <v>235.65</v>
      </c>
      <c r="G415" s="104" t="inlineStr">
        <is>
          <t>10/2025</t>
        </is>
      </c>
      <c r="H415" s="104" t="inlineStr">
        <is>
          <t>CODI</t>
        </is>
      </c>
    </row>
    <row r="416" ht="15" customHeight="1" s="86">
      <c r="B416" s="101" t="n">
        <v>45931</v>
      </c>
      <c r="C416" s="102" t="inlineStr">
        <is>
          <t>Assessoria Técnica Profissional - 10/2025</t>
        </is>
      </c>
      <c r="D416" s="102" t="inlineStr">
        <is>
          <t>Saída</t>
        </is>
      </c>
      <c r="E416" s="102" t="inlineStr">
        <is>
          <t>Assessoria Técnica Profissional</t>
        </is>
      </c>
      <c r="F416" s="103" t="n">
        <v>5000</v>
      </c>
      <c r="G416" s="104" t="inlineStr">
        <is>
          <t>10/2025</t>
        </is>
      </c>
      <c r="H416" s="104" t="inlineStr">
        <is>
          <t>CODI</t>
        </is>
      </c>
    </row>
    <row r="417" ht="15" customHeight="1" s="86">
      <c r="B417" s="101" t="n">
        <v>45931</v>
      </c>
      <c r="C417" s="102" t="inlineStr">
        <is>
          <t>Outros Tributos - 10/2025</t>
        </is>
      </c>
      <c r="D417" s="102" t="inlineStr">
        <is>
          <t>Saída</t>
        </is>
      </c>
      <c r="E417" s="102" t="inlineStr">
        <is>
          <t>Outros Tributos</t>
        </is>
      </c>
      <c r="F417" s="103" t="n">
        <v>2360.04</v>
      </c>
      <c r="G417" s="104" t="inlineStr">
        <is>
          <t>10/2025</t>
        </is>
      </c>
      <c r="H417" s="104" t="inlineStr">
        <is>
          <t>CODI</t>
        </is>
      </c>
    </row>
    <row r="418" ht="15" customHeight="1" s="86">
      <c r="B418" s="101" t="n">
        <v>45962</v>
      </c>
      <c r="C418" s="102" t="inlineStr">
        <is>
          <t>Vendas - 11/2025</t>
        </is>
      </c>
      <c r="D418" s="102" t="inlineStr">
        <is>
          <t>Entrada</t>
        </is>
      </c>
      <c r="E418" s="102" t="inlineStr">
        <is>
          <t>Vendas</t>
        </is>
      </c>
      <c r="F418" s="103" t="n">
        <v>420192.87</v>
      </c>
      <c r="G418" s="104" t="inlineStr">
        <is>
          <t>11/2025</t>
        </is>
      </c>
      <c r="H418" s="104" t="inlineStr">
        <is>
          <t>CODI</t>
        </is>
      </c>
    </row>
    <row r="419" ht="15" customHeight="1" s="86">
      <c r="B419" s="101" t="n">
        <v>45962</v>
      </c>
      <c r="C419" s="102" t="inlineStr">
        <is>
          <t>Acertos e Recisões - 11/2025</t>
        </is>
      </c>
      <c r="D419" s="102" t="inlineStr">
        <is>
          <t>Saída</t>
        </is>
      </c>
      <c r="E419" s="102" t="inlineStr">
        <is>
          <t>Acertos e Recisões</t>
        </is>
      </c>
      <c r="F419" s="103" t="n">
        <v>2071.71</v>
      </c>
      <c r="G419" s="104" t="inlineStr">
        <is>
          <t>11/2025</t>
        </is>
      </c>
      <c r="H419" s="104" t="inlineStr">
        <is>
          <t>CODI</t>
        </is>
      </c>
    </row>
    <row r="420" ht="15" customHeight="1" s="86">
      <c r="B420" s="101" t="n">
        <v>45962</v>
      </c>
      <c r="C420" s="102" t="inlineStr">
        <is>
          <t>Aluguéis e Condomínios - 11/2025</t>
        </is>
      </c>
      <c r="D420" s="102" t="inlineStr">
        <is>
          <t>Saída</t>
        </is>
      </c>
      <c r="E420" s="102" t="inlineStr">
        <is>
          <t>Aluguéis e Condomínios</t>
        </is>
      </c>
      <c r="F420" s="103" t="n">
        <v>1803.81</v>
      </c>
      <c r="G420" s="104" t="inlineStr">
        <is>
          <t>11/2025</t>
        </is>
      </c>
      <c r="H420" s="104" t="inlineStr">
        <is>
          <t>CODI</t>
        </is>
      </c>
    </row>
    <row r="421" ht="15" customHeight="1" s="86">
      <c r="B421" s="101" t="n">
        <v>45962</v>
      </c>
      <c r="C421" s="102" t="inlineStr">
        <is>
          <t>Aviamento - 11/2025</t>
        </is>
      </c>
      <c r="D421" s="102" t="inlineStr">
        <is>
          <t>Saída</t>
        </is>
      </c>
      <c r="E421" s="102" t="inlineStr">
        <is>
          <t>Aviamento</t>
        </is>
      </c>
      <c r="F421" s="103" t="n">
        <v>9833.190000000001</v>
      </c>
      <c r="G421" s="104" t="inlineStr">
        <is>
          <t>11/2025</t>
        </is>
      </c>
      <c r="H421" s="104" t="inlineStr">
        <is>
          <t>CODI</t>
        </is>
      </c>
    </row>
    <row r="422" ht="15" customHeight="1" s="86">
      <c r="B422" s="101" t="n">
        <v>45962</v>
      </c>
      <c r="C422" s="102" t="inlineStr">
        <is>
          <t>Despesa não Identificada - 11/2025</t>
        </is>
      </c>
      <c r="D422" s="102" t="inlineStr">
        <is>
          <t>Saída</t>
        </is>
      </c>
      <c r="E422" s="102" t="inlineStr">
        <is>
          <t>Despesa não Identificada</t>
        </is>
      </c>
      <c r="F422" s="103" t="n">
        <v>40297.6</v>
      </c>
      <c r="G422" s="104" t="inlineStr">
        <is>
          <t>11/2025</t>
        </is>
      </c>
      <c r="H422" s="104" t="inlineStr">
        <is>
          <t>CODI</t>
        </is>
      </c>
    </row>
    <row r="423" ht="15" customHeight="1" s="86">
      <c r="B423" s="101" t="n">
        <v>45962</v>
      </c>
      <c r="C423" s="102" t="inlineStr">
        <is>
          <t>Etiquetas - 11/2025</t>
        </is>
      </c>
      <c r="D423" s="102" t="inlineStr">
        <is>
          <t>Saída</t>
        </is>
      </c>
      <c r="E423" s="102" t="inlineStr">
        <is>
          <t>Etiquetas</t>
        </is>
      </c>
      <c r="F423" s="103" t="n">
        <v>796.33</v>
      </c>
      <c r="G423" s="104" t="inlineStr">
        <is>
          <t>11/2025</t>
        </is>
      </c>
      <c r="H423" s="104" t="inlineStr">
        <is>
          <t>CODI</t>
        </is>
      </c>
    </row>
    <row r="424" ht="15" customHeight="1" s="86">
      <c r="B424" s="101" t="n">
        <v>45962</v>
      </c>
      <c r="C424" s="102" t="inlineStr">
        <is>
          <t>Facção - 11/2025</t>
        </is>
      </c>
      <c r="D424" s="102" t="inlineStr">
        <is>
          <t>Saída</t>
        </is>
      </c>
      <c r="E424" s="102" t="inlineStr">
        <is>
          <t>Facção</t>
        </is>
      </c>
      <c r="F424" s="103" t="n">
        <v>74932</v>
      </c>
      <c r="G424" s="104" t="inlineStr">
        <is>
          <t>11/2025</t>
        </is>
      </c>
      <c r="H424" s="104" t="inlineStr">
        <is>
          <t>CODI</t>
        </is>
      </c>
    </row>
    <row r="425" ht="15" customHeight="1" s="86">
      <c r="B425" s="101" t="n">
        <v>45962</v>
      </c>
      <c r="C425" s="102" t="inlineStr">
        <is>
          <t>Frete e Transporte de Mercadorias - 11/2025</t>
        </is>
      </c>
      <c r="D425" s="102" t="inlineStr">
        <is>
          <t>Saída</t>
        </is>
      </c>
      <c r="E425" s="102" t="inlineStr">
        <is>
          <t>Frete e Transporte de Mercadorias</t>
        </is>
      </c>
      <c r="F425" s="103" t="n">
        <v>6818.81</v>
      </c>
      <c r="G425" s="104" t="inlineStr">
        <is>
          <t>11/2025</t>
        </is>
      </c>
      <c r="H425" s="104" t="inlineStr">
        <is>
          <t>CODI</t>
        </is>
      </c>
    </row>
    <row r="426" ht="15" customHeight="1" s="86">
      <c r="B426" s="101" t="n">
        <v>45962</v>
      </c>
      <c r="C426" s="102" t="inlineStr">
        <is>
          <t>Honorários Contábeis (Contabilidade) - 11/2025</t>
        </is>
      </c>
      <c r="D426" s="102" t="inlineStr">
        <is>
          <t>Saída</t>
        </is>
      </c>
      <c r="E426" s="102" t="inlineStr">
        <is>
          <t>Honorários Contábeis (Contabilidade)</t>
        </is>
      </c>
      <c r="F426" s="103" t="n">
        <v>1100</v>
      </c>
      <c r="G426" s="104" t="inlineStr">
        <is>
          <t>11/2025</t>
        </is>
      </c>
      <c r="H426" s="104" t="inlineStr">
        <is>
          <t>CODI</t>
        </is>
      </c>
    </row>
    <row r="427" ht="15" customHeight="1" s="86">
      <c r="B427" s="101" t="n">
        <v>45962</v>
      </c>
      <c r="C427" s="102" t="inlineStr">
        <is>
          <t>Lavanderia - 11/2025</t>
        </is>
      </c>
      <c r="D427" s="102" t="inlineStr">
        <is>
          <t>Saída</t>
        </is>
      </c>
      <c r="E427" s="102" t="inlineStr">
        <is>
          <t>Lavanderia</t>
        </is>
      </c>
      <c r="F427" s="103" t="n">
        <v>23648</v>
      </c>
      <c r="G427" s="104" t="inlineStr">
        <is>
          <t>11/2025</t>
        </is>
      </c>
      <c r="H427" s="104" t="inlineStr">
        <is>
          <t>CODI</t>
        </is>
      </c>
    </row>
    <row r="428" ht="15" customHeight="1" s="86">
      <c r="B428" s="101" t="n">
        <v>45962</v>
      </c>
      <c r="C428" s="102" t="inlineStr">
        <is>
          <t>Material de Limpeza e Higiene - 11/2025</t>
        </is>
      </c>
      <c r="D428" s="102" t="inlineStr">
        <is>
          <t>Saída</t>
        </is>
      </c>
      <c r="E428" s="102" t="inlineStr">
        <is>
          <t>Material de Limpeza e Higiene</t>
        </is>
      </c>
      <c r="F428" s="103" t="n">
        <v>175.59</v>
      </c>
      <c r="G428" s="104" t="inlineStr">
        <is>
          <t>11/2025</t>
        </is>
      </c>
      <c r="H428" s="104" t="inlineStr">
        <is>
          <t>CODI</t>
        </is>
      </c>
    </row>
    <row r="429" ht="15" customHeight="1" s="86">
      <c r="B429" s="101" t="n">
        <v>45962</v>
      </c>
      <c r="C429" s="102" t="inlineStr">
        <is>
          <t>Outros Insumos - 11/2025</t>
        </is>
      </c>
      <c r="D429" s="102" t="inlineStr">
        <is>
          <t>Saída</t>
        </is>
      </c>
      <c r="E429" s="102" t="inlineStr">
        <is>
          <t>Outros Insumos</t>
        </is>
      </c>
      <c r="F429" s="103" t="n">
        <v>1012</v>
      </c>
      <c r="G429" s="104" t="inlineStr">
        <is>
          <t>11/2025</t>
        </is>
      </c>
      <c r="H429" s="104" t="inlineStr">
        <is>
          <t>CODI</t>
        </is>
      </c>
    </row>
    <row r="430" ht="15" customHeight="1" s="86">
      <c r="B430" s="101" t="n">
        <v>45962</v>
      </c>
      <c r="C430" s="102" t="inlineStr">
        <is>
          <t>Publicidade - 11/2025</t>
        </is>
      </c>
      <c r="D430" s="102" t="inlineStr">
        <is>
          <t>Saída</t>
        </is>
      </c>
      <c r="E430" s="102" t="inlineStr">
        <is>
          <t>Publicidade</t>
        </is>
      </c>
      <c r="F430" s="103" t="n">
        <v>5352</v>
      </c>
      <c r="G430" s="104" t="inlineStr">
        <is>
          <t>11/2025</t>
        </is>
      </c>
      <c r="H430" s="104" t="inlineStr">
        <is>
          <t>CODI</t>
        </is>
      </c>
    </row>
    <row r="431" ht="15" customHeight="1" s="86">
      <c r="B431" s="101" t="n">
        <v>45962</v>
      </c>
      <c r="C431" s="102" t="inlineStr">
        <is>
          <t>Salário e Ordenados - 11/2025</t>
        </is>
      </c>
      <c r="D431" s="102" t="inlineStr">
        <is>
          <t>Saída</t>
        </is>
      </c>
      <c r="E431" s="102" t="inlineStr">
        <is>
          <t>Salário e Ordenados</t>
        </is>
      </c>
      <c r="F431" s="103" t="n">
        <v>22206.35</v>
      </c>
      <c r="G431" s="104" t="inlineStr">
        <is>
          <t>11/2025</t>
        </is>
      </c>
      <c r="H431" s="104" t="inlineStr">
        <is>
          <t>CODI</t>
        </is>
      </c>
    </row>
    <row r="432" ht="15" customHeight="1" s="86">
      <c r="B432" s="101" t="n">
        <v>45962</v>
      </c>
      <c r="C432" s="102" t="inlineStr">
        <is>
          <t>Segurança e Monitoramento - 11/2025</t>
        </is>
      </c>
      <c r="D432" s="102" t="inlineStr">
        <is>
          <t>Saída</t>
        </is>
      </c>
      <c r="E432" s="102" t="inlineStr">
        <is>
          <t>Segurança e Monitoramento</t>
        </is>
      </c>
      <c r="F432" s="103" t="n">
        <v>940</v>
      </c>
      <c r="G432" s="104" t="inlineStr">
        <is>
          <t>11/2025</t>
        </is>
      </c>
      <c r="H432" s="104" t="inlineStr">
        <is>
          <t>CODI</t>
        </is>
      </c>
    </row>
    <row r="433" ht="15" customHeight="1" s="86">
      <c r="B433" s="101" t="n">
        <v>45962</v>
      </c>
      <c r="C433" s="102" t="inlineStr">
        <is>
          <t>Seguros - 11/2025</t>
        </is>
      </c>
      <c r="D433" s="102" t="inlineStr">
        <is>
          <t>Saída</t>
        </is>
      </c>
      <c r="E433" s="102" t="inlineStr">
        <is>
          <t>Seguros</t>
        </is>
      </c>
      <c r="F433" s="103" t="n">
        <v>269.82</v>
      </c>
      <c r="G433" s="104" t="inlineStr">
        <is>
          <t>11/2025</t>
        </is>
      </c>
      <c r="H433" s="104" t="inlineStr">
        <is>
          <t>CODI</t>
        </is>
      </c>
    </row>
    <row r="434" ht="15" customHeight="1" s="86">
      <c r="B434" s="101" t="n">
        <v>45962</v>
      </c>
      <c r="C434" s="102" t="inlineStr">
        <is>
          <t>Simples Nacional - 11/2025</t>
        </is>
      </c>
      <c r="D434" s="102" t="inlineStr">
        <is>
          <t>Saída</t>
        </is>
      </c>
      <c r="E434" s="102" t="inlineStr">
        <is>
          <t>Simples Nacional</t>
        </is>
      </c>
      <c r="F434" s="103" t="n">
        <v>4638.45</v>
      </c>
      <c r="G434" s="104" t="inlineStr">
        <is>
          <t>11/2025</t>
        </is>
      </c>
      <c r="H434" s="104" t="inlineStr">
        <is>
          <t>CODI</t>
        </is>
      </c>
    </row>
    <row r="435" ht="15" customHeight="1" s="86">
      <c r="B435" s="101" t="n">
        <v>45962</v>
      </c>
      <c r="C435" s="102" t="inlineStr">
        <is>
          <t>Tecidos - 11/2025</t>
        </is>
      </c>
      <c r="D435" s="102" t="inlineStr">
        <is>
          <t>Saída</t>
        </is>
      </c>
      <c r="E435" s="102" t="inlineStr">
        <is>
          <t>Tecidos</t>
        </is>
      </c>
      <c r="F435" s="103" t="n">
        <v>204730.95</v>
      </c>
      <c r="G435" s="104" t="inlineStr">
        <is>
          <t>11/2025</t>
        </is>
      </c>
      <c r="H435" s="104" t="inlineStr">
        <is>
          <t>CODI</t>
        </is>
      </c>
    </row>
    <row r="436" ht="15" customHeight="1" s="86">
      <c r="B436" s="101" t="n">
        <v>45962</v>
      </c>
      <c r="C436" s="102" t="inlineStr">
        <is>
          <t>Travete - 11/2025</t>
        </is>
      </c>
      <c r="D436" s="102" t="inlineStr">
        <is>
          <t>Saída</t>
        </is>
      </c>
      <c r="E436" s="102" t="inlineStr">
        <is>
          <t>Travete</t>
        </is>
      </c>
      <c r="F436" s="103" t="n">
        <v>8937.15</v>
      </c>
      <c r="G436" s="104" t="inlineStr">
        <is>
          <t>11/2025</t>
        </is>
      </c>
      <c r="H436" s="104" t="inlineStr">
        <is>
          <t>CODI</t>
        </is>
      </c>
    </row>
    <row r="437" ht="15" customHeight="1" s="86">
      <c r="B437" s="101" t="n">
        <v>45962</v>
      </c>
      <c r="C437" s="102" t="inlineStr">
        <is>
          <t>Vales e Adiantamentos - 11/2025</t>
        </is>
      </c>
      <c r="D437" s="102" t="inlineStr">
        <is>
          <t>Saída</t>
        </is>
      </c>
      <c r="E437" s="102" t="inlineStr">
        <is>
          <t>Vales e Adiantamentos</t>
        </is>
      </c>
      <c r="F437" s="103" t="n">
        <v>3750</v>
      </c>
      <c r="G437" s="104" t="inlineStr">
        <is>
          <t>11/2025</t>
        </is>
      </c>
      <c r="H437" s="104" t="inlineStr">
        <is>
          <t>CODI</t>
        </is>
      </c>
    </row>
    <row r="438" ht="15" customHeight="1" s="86">
      <c r="B438" s="101" t="n">
        <v>45962</v>
      </c>
      <c r="C438" s="102" t="inlineStr">
        <is>
          <t>Web Site e Sistema ERP - 11/2025</t>
        </is>
      </c>
      <c r="D438" s="102" t="inlineStr">
        <is>
          <t>Saída</t>
        </is>
      </c>
      <c r="E438" s="102" t="inlineStr">
        <is>
          <t>Web Site e Sistema ERP</t>
        </is>
      </c>
      <c r="F438" s="103" t="n">
        <v>957</v>
      </c>
      <c r="G438" s="104" t="inlineStr">
        <is>
          <t>11/2025</t>
        </is>
      </c>
      <c r="H438" s="104" t="inlineStr">
        <is>
          <t>CODI</t>
        </is>
      </c>
    </row>
    <row r="439" ht="15" customHeight="1" s="86">
      <c r="B439" s="101" t="n">
        <v>45962</v>
      </c>
      <c r="C439" s="102" t="inlineStr">
        <is>
          <t>Acabamento Externo - 11/2025</t>
        </is>
      </c>
      <c r="D439" s="102" t="inlineStr">
        <is>
          <t>Saída</t>
        </is>
      </c>
      <c r="E439" s="102" t="inlineStr">
        <is>
          <t>Acabamento Externo</t>
        </is>
      </c>
      <c r="F439" s="103" t="n">
        <v>21192.7</v>
      </c>
      <c r="G439" s="104" t="inlineStr">
        <is>
          <t>11/2025</t>
        </is>
      </c>
      <c r="H439" s="104" t="inlineStr">
        <is>
          <t>CODI</t>
        </is>
      </c>
    </row>
    <row r="440" ht="15" customHeight="1" s="86">
      <c r="B440" s="101" t="n">
        <v>45962</v>
      </c>
      <c r="C440" s="102" t="inlineStr">
        <is>
          <t>Alimentação - 11/2025</t>
        </is>
      </c>
      <c r="D440" s="102" t="inlineStr">
        <is>
          <t>Saída</t>
        </is>
      </c>
      <c r="E440" s="102" t="inlineStr">
        <is>
          <t>Alimentação</t>
        </is>
      </c>
      <c r="F440" s="103" t="n">
        <v>221.52</v>
      </c>
      <c r="G440" s="104" t="inlineStr">
        <is>
          <t>11/2025</t>
        </is>
      </c>
      <c r="H440" s="104" t="inlineStr">
        <is>
          <t>CODI</t>
        </is>
      </c>
    </row>
    <row r="441" ht="15" customHeight="1" s="86">
      <c r="B441" s="101" t="n">
        <v>45962</v>
      </c>
      <c r="C441" s="102" t="inlineStr">
        <is>
          <t>Combustíveis - 11/2025</t>
        </is>
      </c>
      <c r="D441" s="102" t="inlineStr">
        <is>
          <t>Saída</t>
        </is>
      </c>
      <c r="E441" s="102" t="inlineStr">
        <is>
          <t>Combustíveis</t>
        </is>
      </c>
      <c r="F441" s="103" t="n">
        <v>1556.81</v>
      </c>
      <c r="G441" s="104" t="inlineStr">
        <is>
          <t>11/2025</t>
        </is>
      </c>
      <c r="H441" s="104" t="inlineStr">
        <is>
          <t>CODI</t>
        </is>
      </c>
    </row>
    <row r="442" ht="15" customHeight="1" s="86">
      <c r="B442" s="101" t="n">
        <v>45962</v>
      </c>
      <c r="C442" s="102" t="inlineStr">
        <is>
          <t>Criação de Modelos - 11/2025</t>
        </is>
      </c>
      <c r="D442" s="102" t="inlineStr">
        <is>
          <t>Saída</t>
        </is>
      </c>
      <c r="E442" s="102" t="inlineStr">
        <is>
          <t>Criação de Modelos</t>
        </is>
      </c>
      <c r="F442" s="103" t="n">
        <v>8020</v>
      </c>
      <c r="G442" s="104" t="inlineStr">
        <is>
          <t>11/2025</t>
        </is>
      </c>
      <c r="H442" s="104" t="inlineStr">
        <is>
          <t>CODI</t>
        </is>
      </c>
    </row>
    <row r="443" ht="15" customHeight="1" s="86">
      <c r="B443" s="101" t="n">
        <v>45962</v>
      </c>
      <c r="C443" s="102" t="inlineStr">
        <is>
          <t>Embalagens - 11/2025</t>
        </is>
      </c>
      <c r="D443" s="102" t="inlineStr">
        <is>
          <t>Saída</t>
        </is>
      </c>
      <c r="E443" s="102" t="inlineStr">
        <is>
          <t>Embalagens</t>
        </is>
      </c>
      <c r="F443" s="103" t="n">
        <v>586.79</v>
      </c>
      <c r="G443" s="104" t="inlineStr">
        <is>
          <t>11/2025</t>
        </is>
      </c>
      <c r="H443" s="104" t="inlineStr">
        <is>
          <t>CODI</t>
        </is>
      </c>
    </row>
    <row r="444" ht="15" customHeight="1" s="86">
      <c r="B444" s="101" t="n">
        <v>45962</v>
      </c>
      <c r="C444" s="102" t="inlineStr">
        <is>
          <t>Multas - 11/2025</t>
        </is>
      </c>
      <c r="D444" s="102" t="inlineStr">
        <is>
          <t>Saída</t>
        </is>
      </c>
      <c r="E444" s="102" t="inlineStr">
        <is>
          <t>Multas</t>
        </is>
      </c>
      <c r="F444" s="103" t="n">
        <v>2734.2</v>
      </c>
      <c r="G444" s="104" t="inlineStr">
        <is>
          <t>11/2025</t>
        </is>
      </c>
      <c r="H444" s="104" t="inlineStr">
        <is>
          <t>CODI</t>
        </is>
      </c>
    </row>
    <row r="445" ht="15" customHeight="1" s="86">
      <c r="B445" s="101" t="n">
        <v>45962</v>
      </c>
      <c r="C445" s="102" t="inlineStr">
        <is>
          <t>Comissão de vendedores - 11/2025</t>
        </is>
      </c>
      <c r="D445" s="102" t="inlineStr">
        <is>
          <t>Saída</t>
        </is>
      </c>
      <c r="E445" s="102" t="inlineStr">
        <is>
          <t>Comissão de vendedores</t>
        </is>
      </c>
      <c r="F445" s="103" t="n">
        <v>6995.77</v>
      </c>
      <c r="G445" s="104" t="inlineStr">
        <is>
          <t>11/2025</t>
        </is>
      </c>
      <c r="H445" s="104" t="inlineStr">
        <is>
          <t>CODI</t>
        </is>
      </c>
    </row>
    <row r="446" ht="15" customHeight="1" s="86">
      <c r="B446" s="101" t="n">
        <v>45962</v>
      </c>
      <c r="C446" s="102" t="inlineStr">
        <is>
          <t>Consulta de Crédito Cliente - 11/2025</t>
        </is>
      </c>
      <c r="D446" s="102" t="inlineStr">
        <is>
          <t>Saída</t>
        </is>
      </c>
      <c r="E446" s="102" t="inlineStr">
        <is>
          <t>Consulta de Crédito Cliente</t>
        </is>
      </c>
      <c r="F446" s="103" t="n">
        <v>334.03</v>
      </c>
      <c r="G446" s="104" t="inlineStr">
        <is>
          <t>11/2025</t>
        </is>
      </c>
      <c r="H446" s="104" t="inlineStr">
        <is>
          <t>CODI</t>
        </is>
      </c>
    </row>
    <row r="447" ht="15" customHeight="1" s="86">
      <c r="B447" s="101" t="n">
        <v>45962</v>
      </c>
      <c r="C447" s="102" t="inlineStr">
        <is>
          <t>Despesa com Sindicatos - 11/2025</t>
        </is>
      </c>
      <c r="D447" s="102" t="inlineStr">
        <is>
          <t>Saída</t>
        </is>
      </c>
      <c r="E447" s="102" t="inlineStr">
        <is>
          <t>Despesa com Sindicatos</t>
        </is>
      </c>
      <c r="F447" s="103" t="n">
        <v>49.9</v>
      </c>
      <c r="G447" s="104" t="inlineStr">
        <is>
          <t>11/2025</t>
        </is>
      </c>
      <c r="H447" s="104" t="inlineStr">
        <is>
          <t>CODI</t>
        </is>
      </c>
    </row>
    <row r="448" ht="15" customHeight="1" s="86">
      <c r="B448" s="101" t="n">
        <v>45962</v>
      </c>
      <c r="C448" s="102" t="inlineStr">
        <is>
          <t>Viagens e estadas - 11/2025</t>
        </is>
      </c>
      <c r="D448" s="102" t="inlineStr">
        <is>
          <t>Saída</t>
        </is>
      </c>
      <c r="E448" s="102" t="inlineStr">
        <is>
          <t>Viagens e estadas</t>
        </is>
      </c>
      <c r="F448" s="103" t="n">
        <v>31.2</v>
      </c>
      <c r="G448" s="104" t="inlineStr">
        <is>
          <t>11/2025</t>
        </is>
      </c>
      <c r="H448" s="104" t="inlineStr">
        <is>
          <t>CODI</t>
        </is>
      </c>
    </row>
    <row r="449" ht="15" customHeight="1" s="86">
      <c r="B449" s="101" t="n">
        <v>45962</v>
      </c>
      <c r="C449" s="102" t="inlineStr">
        <is>
          <t>Comissão de Assessores - 11/2025</t>
        </is>
      </c>
      <c r="D449" s="102" t="inlineStr">
        <is>
          <t>Saída</t>
        </is>
      </c>
      <c r="E449" s="102" t="inlineStr">
        <is>
          <t>Comissão de Assessores</t>
        </is>
      </c>
      <c r="F449" s="103" t="n">
        <v>1152.31</v>
      </c>
      <c r="G449" s="104" t="inlineStr">
        <is>
          <t>11/2025</t>
        </is>
      </c>
      <c r="H449" s="104" t="inlineStr">
        <is>
          <t>CODI</t>
        </is>
      </c>
    </row>
    <row r="450" ht="15" customHeight="1" s="86">
      <c r="B450" s="101" t="n">
        <v>45962</v>
      </c>
      <c r="C450" s="102" t="inlineStr">
        <is>
          <t>Fgts, Gps e Pis - 11/2025</t>
        </is>
      </c>
      <c r="D450" s="102" t="inlineStr">
        <is>
          <t>Saída</t>
        </is>
      </c>
      <c r="E450" s="102" t="inlineStr">
        <is>
          <t>Fgts, Gps e Pis</t>
        </is>
      </c>
      <c r="F450" s="103" t="n">
        <v>4696.9</v>
      </c>
      <c r="G450" s="104" t="inlineStr">
        <is>
          <t>11/2025</t>
        </is>
      </c>
      <c r="H450" s="104" t="inlineStr">
        <is>
          <t>CODI</t>
        </is>
      </c>
    </row>
    <row r="451" ht="15" customHeight="1" s="86">
      <c r="B451" s="101" t="n">
        <v>45962</v>
      </c>
      <c r="C451" s="102" t="inlineStr">
        <is>
          <t>Compra de Computadores e Eletrônicos - 11/2025</t>
        </is>
      </c>
      <c r="D451" s="102" t="inlineStr">
        <is>
          <t>Saída</t>
        </is>
      </c>
      <c r="E451" s="102" t="inlineStr">
        <is>
          <t>Compra de Computadores e Eletrônicos</t>
        </is>
      </c>
      <c r="F451" s="103" t="n">
        <v>900</v>
      </c>
      <c r="G451" s="104" t="inlineStr">
        <is>
          <t>11/2025</t>
        </is>
      </c>
      <c r="H451" s="104" t="inlineStr">
        <is>
          <t>CODI</t>
        </is>
      </c>
    </row>
    <row r="452" ht="15" customHeight="1" s="86">
      <c r="B452" s="101" t="n">
        <v>45962</v>
      </c>
      <c r="C452" s="102" t="inlineStr">
        <is>
          <t>Produção Externa - 11/2025</t>
        </is>
      </c>
      <c r="D452" s="102" t="inlineStr">
        <is>
          <t>Saída</t>
        </is>
      </c>
      <c r="E452" s="102" t="inlineStr">
        <is>
          <t>Produção Externa</t>
        </is>
      </c>
      <c r="F452" s="103" t="n">
        <v>19101</v>
      </c>
      <c r="G452" s="104" t="inlineStr">
        <is>
          <t>11/2025</t>
        </is>
      </c>
      <c r="H452" s="104" t="inlineStr">
        <is>
          <t>CODI</t>
        </is>
      </c>
    </row>
    <row r="453" ht="15" customHeight="1" s="86">
      <c r="B453" s="101" t="n">
        <v>45962</v>
      </c>
      <c r="C453" s="102" t="inlineStr">
        <is>
          <t>Juros de Empréstimos - 11/2025</t>
        </is>
      </c>
      <c r="D453" s="102" t="inlineStr">
        <is>
          <t>Saída</t>
        </is>
      </c>
      <c r="E453" s="102" t="inlineStr">
        <is>
          <t>Juros de Empréstimos</t>
        </is>
      </c>
      <c r="F453" s="103" t="n">
        <v>7750</v>
      </c>
      <c r="G453" s="104" t="inlineStr">
        <is>
          <t>11/2025</t>
        </is>
      </c>
      <c r="H453" s="104" t="inlineStr">
        <is>
          <t>CODI</t>
        </is>
      </c>
    </row>
    <row r="454" ht="15" customHeight="1" s="86">
      <c r="B454" s="101" t="n">
        <v>45962</v>
      </c>
      <c r="C454" s="102" t="inlineStr">
        <is>
          <t>Material de Copa e Cozinha - 11/2025</t>
        </is>
      </c>
      <c r="D454" s="102" t="inlineStr">
        <is>
          <t>Saída</t>
        </is>
      </c>
      <c r="E454" s="102" t="inlineStr">
        <is>
          <t>Material de Copa e Cozinha</t>
        </is>
      </c>
      <c r="F454" s="103" t="n">
        <v>92.03</v>
      </c>
      <c r="G454" s="104" t="inlineStr">
        <is>
          <t>11/2025</t>
        </is>
      </c>
      <c r="H454" s="104" t="inlineStr">
        <is>
          <t>CODI</t>
        </is>
      </c>
    </row>
    <row r="455" ht="15" customHeight="1" s="86">
      <c r="B455" s="101" t="n">
        <v>45962</v>
      </c>
      <c r="C455" s="102" t="inlineStr">
        <is>
          <t>Outros Tributos - 11/2025</t>
        </is>
      </c>
      <c r="D455" s="102" t="inlineStr">
        <is>
          <t>Saída</t>
        </is>
      </c>
      <c r="E455" s="102" t="inlineStr">
        <is>
          <t>Outros Tributos</t>
        </is>
      </c>
      <c r="F455" s="103" t="n">
        <v>2929.54</v>
      </c>
      <c r="G455" s="104" t="inlineStr">
        <is>
          <t>11/2025</t>
        </is>
      </c>
      <c r="H455" s="104" t="inlineStr">
        <is>
          <t>CODI</t>
        </is>
      </c>
    </row>
    <row r="456" ht="15" customHeight="1" s="86">
      <c r="B456" s="101" t="n">
        <v>45962</v>
      </c>
      <c r="C456" s="102" t="inlineStr">
        <is>
          <t>13º Salário - 11/2025</t>
        </is>
      </c>
      <c r="D456" s="102" t="inlineStr">
        <is>
          <t>Saída</t>
        </is>
      </c>
      <c r="E456" s="102" t="inlineStr">
        <is>
          <t>13º Salário</t>
        </is>
      </c>
      <c r="F456" s="103" t="n">
        <v>10540.63</v>
      </c>
      <c r="G456" s="104" t="inlineStr">
        <is>
          <t>11/2025</t>
        </is>
      </c>
      <c r="H456" s="104" t="inlineStr">
        <is>
          <t>CODI</t>
        </is>
      </c>
    </row>
    <row r="457" ht="15" customHeight="1" s="86">
      <c r="B457" s="101" t="n">
        <v>45962</v>
      </c>
      <c r="C457" s="102" t="inlineStr">
        <is>
          <t>Advogados - Honorários - 11/2025</t>
        </is>
      </c>
      <c r="D457" s="102" t="inlineStr">
        <is>
          <t>Saída</t>
        </is>
      </c>
      <c r="E457" s="102" t="inlineStr">
        <is>
          <t>Advogados - Honorários</t>
        </is>
      </c>
      <c r="F457" s="103" t="n">
        <v>2500</v>
      </c>
      <c r="G457" s="104" t="inlineStr">
        <is>
          <t>11/2025</t>
        </is>
      </c>
      <c r="H457" s="104" t="inlineStr">
        <is>
          <t>CODI</t>
        </is>
      </c>
    </row>
    <row r="458" ht="15" customHeight="1" s="86">
      <c r="B458" s="101" t="n">
        <v>45962</v>
      </c>
      <c r="C458" s="102" t="inlineStr">
        <is>
          <t>Consórcio - 11/2025</t>
        </is>
      </c>
      <c r="D458" s="102" t="inlineStr">
        <is>
          <t>Saída</t>
        </is>
      </c>
      <c r="E458" s="102" t="inlineStr">
        <is>
          <t>Consórcio</t>
        </is>
      </c>
      <c r="F458" s="103" t="n">
        <v>2055.6</v>
      </c>
      <c r="G458" s="104" t="inlineStr">
        <is>
          <t>11/2025</t>
        </is>
      </c>
      <c r="H458" s="104" t="inlineStr">
        <is>
          <t>CODI</t>
        </is>
      </c>
    </row>
    <row r="459" ht="15" customHeight="1" s="86">
      <c r="B459" s="101" t="n">
        <v>45992</v>
      </c>
      <c r="C459" s="102" t="inlineStr">
        <is>
          <t>Vendas - 12/2025</t>
        </is>
      </c>
      <c r="D459" s="102" t="inlineStr">
        <is>
          <t>Entrada</t>
        </is>
      </c>
      <c r="E459" s="102" t="inlineStr">
        <is>
          <t>Vendas</t>
        </is>
      </c>
      <c r="F459" s="103" t="n">
        <v>913033.5699999999</v>
      </c>
      <c r="G459" s="104" t="inlineStr">
        <is>
          <t>12/2025</t>
        </is>
      </c>
      <c r="H459" s="104" t="inlineStr">
        <is>
          <t>CODI</t>
        </is>
      </c>
    </row>
    <row r="460" ht="15" customHeight="1" s="86">
      <c r="B460" s="101" t="n">
        <v>45992</v>
      </c>
      <c r="C460" s="102" t="inlineStr">
        <is>
          <t>Acertos e Recisões - 12/2025</t>
        </is>
      </c>
      <c r="D460" s="102" t="inlineStr">
        <is>
          <t>Saída</t>
        </is>
      </c>
      <c r="E460" s="102" t="inlineStr">
        <is>
          <t>Acertos e Recisões</t>
        </is>
      </c>
      <c r="F460" s="103" t="n">
        <v>3434.87</v>
      </c>
      <c r="G460" s="104" t="inlineStr">
        <is>
          <t>12/2025</t>
        </is>
      </c>
      <c r="H460" s="104" t="inlineStr">
        <is>
          <t>CODI</t>
        </is>
      </c>
    </row>
    <row r="461" ht="15" customHeight="1" s="86">
      <c r="B461" s="101" t="n">
        <v>45992</v>
      </c>
      <c r="C461" s="102" t="inlineStr">
        <is>
          <t>Aviamento - 12/2025</t>
        </is>
      </c>
      <c r="D461" s="102" t="inlineStr">
        <is>
          <t>Saída</t>
        </is>
      </c>
      <c r="E461" s="102" t="inlineStr">
        <is>
          <t>Aviamento</t>
        </is>
      </c>
      <c r="F461" s="103" t="n">
        <v>34482.44</v>
      </c>
      <c r="G461" s="104" t="inlineStr">
        <is>
          <t>12/2025</t>
        </is>
      </c>
      <c r="H461" s="104" t="inlineStr">
        <is>
          <t>CODI</t>
        </is>
      </c>
    </row>
    <row r="462" ht="15" customHeight="1" s="86">
      <c r="B462" s="101" t="n">
        <v>45992</v>
      </c>
      <c r="C462" s="102" t="inlineStr">
        <is>
          <t>Despesa não Identificada - 12/2025</t>
        </is>
      </c>
      <c r="D462" s="102" t="inlineStr">
        <is>
          <t>Saída</t>
        </is>
      </c>
      <c r="E462" s="102" t="inlineStr">
        <is>
          <t>Despesa não Identificada</t>
        </is>
      </c>
      <c r="F462" s="103" t="n">
        <v>39507.45</v>
      </c>
      <c r="G462" s="104" t="inlineStr">
        <is>
          <t>12/2025</t>
        </is>
      </c>
      <c r="H462" s="104" t="inlineStr">
        <is>
          <t>CODI</t>
        </is>
      </c>
    </row>
    <row r="463" ht="15" customHeight="1" s="86">
      <c r="B463" s="101" t="n">
        <v>45992</v>
      </c>
      <c r="C463" s="102" t="inlineStr">
        <is>
          <t>Energia Elétrica - 12/2025</t>
        </is>
      </c>
      <c r="D463" s="102" t="inlineStr">
        <is>
          <t>Saída</t>
        </is>
      </c>
      <c r="E463" s="102" t="inlineStr">
        <is>
          <t>Energia Elétrica</t>
        </is>
      </c>
      <c r="F463" s="103" t="n">
        <v>790.16</v>
      </c>
      <c r="G463" s="104" t="inlineStr">
        <is>
          <t>12/2025</t>
        </is>
      </c>
      <c r="H463" s="104" t="inlineStr">
        <is>
          <t>CODI</t>
        </is>
      </c>
    </row>
    <row r="464" ht="15" customHeight="1" s="86">
      <c r="B464" s="101" t="n">
        <v>45992</v>
      </c>
      <c r="C464" s="102" t="inlineStr">
        <is>
          <t>Etiquetas - 12/2025</t>
        </is>
      </c>
      <c r="D464" s="102" t="inlineStr">
        <is>
          <t>Saída</t>
        </is>
      </c>
      <c r="E464" s="102" t="inlineStr">
        <is>
          <t>Etiquetas</t>
        </is>
      </c>
      <c r="F464" s="103" t="n">
        <v>796.33</v>
      </c>
      <c r="G464" s="104" t="inlineStr">
        <is>
          <t>12/2025</t>
        </is>
      </c>
      <c r="H464" s="104" t="inlineStr">
        <is>
          <t>CODI</t>
        </is>
      </c>
    </row>
    <row r="465" ht="15" customHeight="1" s="86">
      <c r="B465" s="101" t="n">
        <v>45992</v>
      </c>
      <c r="C465" s="102" t="inlineStr">
        <is>
          <t>Facção - 12/2025</t>
        </is>
      </c>
      <c r="D465" s="102" t="inlineStr">
        <is>
          <t>Saída</t>
        </is>
      </c>
      <c r="E465" s="102" t="inlineStr">
        <is>
          <t>Facção</t>
        </is>
      </c>
      <c r="F465" s="103" t="n">
        <v>58963</v>
      </c>
      <c r="G465" s="104" t="inlineStr">
        <is>
          <t>12/2025</t>
        </is>
      </c>
      <c r="H465" s="104" t="inlineStr">
        <is>
          <t>CODI</t>
        </is>
      </c>
    </row>
    <row r="466" ht="15" customHeight="1" s="86">
      <c r="B466" s="101" t="n">
        <v>45992</v>
      </c>
      <c r="C466" s="102" t="inlineStr">
        <is>
          <t>Frete e Transporte de Mercadorias - 12/2025</t>
        </is>
      </c>
      <c r="D466" s="102" t="inlineStr">
        <is>
          <t>Saída</t>
        </is>
      </c>
      <c r="E466" s="102" t="inlineStr">
        <is>
          <t>Frete e Transporte de Mercadorias</t>
        </is>
      </c>
      <c r="F466" s="103" t="n">
        <v>7966.01</v>
      </c>
      <c r="G466" s="104" t="inlineStr">
        <is>
          <t>12/2025</t>
        </is>
      </c>
      <c r="H466" s="104" t="inlineStr">
        <is>
          <t>CODI</t>
        </is>
      </c>
    </row>
    <row r="467" ht="15" customHeight="1" s="86">
      <c r="B467" s="101" t="n">
        <v>45992</v>
      </c>
      <c r="C467" s="102" t="inlineStr">
        <is>
          <t>Férias - 12/2025</t>
        </is>
      </c>
      <c r="D467" s="102" t="inlineStr">
        <is>
          <t>Saída</t>
        </is>
      </c>
      <c r="E467" s="102" t="inlineStr">
        <is>
          <t>Férias</t>
        </is>
      </c>
      <c r="F467" s="103" t="n">
        <v>8096</v>
      </c>
      <c r="G467" s="104" t="inlineStr">
        <is>
          <t>12/2025</t>
        </is>
      </c>
      <c r="H467" s="104" t="inlineStr">
        <is>
          <t>CODI</t>
        </is>
      </c>
    </row>
    <row r="468" ht="15" customHeight="1" s="86">
      <c r="B468" s="101" t="n">
        <v>45992</v>
      </c>
      <c r="C468" s="102" t="inlineStr">
        <is>
          <t>Honorários Contábeis (Contabilidade) - 12/2025</t>
        </is>
      </c>
      <c r="D468" s="102" t="inlineStr">
        <is>
          <t>Saída</t>
        </is>
      </c>
      <c r="E468" s="102" t="inlineStr">
        <is>
          <t>Honorários Contábeis (Contabilidade)</t>
        </is>
      </c>
      <c r="F468" s="103" t="n">
        <v>1100</v>
      </c>
      <c r="G468" s="104" t="inlineStr">
        <is>
          <t>12/2025</t>
        </is>
      </c>
      <c r="H468" s="104" t="inlineStr">
        <is>
          <t>CODI</t>
        </is>
      </c>
    </row>
    <row r="469" ht="15" customHeight="1" s="86">
      <c r="B469" s="101" t="n">
        <v>45992</v>
      </c>
      <c r="C469" s="102" t="inlineStr">
        <is>
          <t>Lavanderia - 12/2025</t>
        </is>
      </c>
      <c r="D469" s="102" t="inlineStr">
        <is>
          <t>Saída</t>
        </is>
      </c>
      <c r="E469" s="102" t="inlineStr">
        <is>
          <t>Lavanderia</t>
        </is>
      </c>
      <c r="F469" s="103" t="n">
        <v>32946</v>
      </c>
      <c r="G469" s="104" t="inlineStr">
        <is>
          <t>12/2025</t>
        </is>
      </c>
      <c r="H469" s="104" t="inlineStr">
        <is>
          <t>CODI</t>
        </is>
      </c>
    </row>
    <row r="470" ht="15" customHeight="1" s="86">
      <c r="B470" s="101" t="n">
        <v>45992</v>
      </c>
      <c r="C470" s="102" t="inlineStr">
        <is>
          <t>Outros Insumos - 12/2025</t>
        </is>
      </c>
      <c r="D470" s="102" t="inlineStr">
        <is>
          <t>Saída</t>
        </is>
      </c>
      <c r="E470" s="102" t="inlineStr">
        <is>
          <t>Outros Insumos</t>
        </is>
      </c>
      <c r="F470" s="103" t="n">
        <v>43</v>
      </c>
      <c r="G470" s="104" t="inlineStr">
        <is>
          <t>12/2025</t>
        </is>
      </c>
      <c r="H470" s="104" t="inlineStr">
        <is>
          <t>CODI</t>
        </is>
      </c>
    </row>
    <row r="471" ht="15" customHeight="1" s="86">
      <c r="B471" s="101" t="n">
        <v>45992</v>
      </c>
      <c r="C471" s="102" t="inlineStr">
        <is>
          <t>Publicidade - 12/2025</t>
        </is>
      </c>
      <c r="D471" s="102" t="inlineStr">
        <is>
          <t>Saída</t>
        </is>
      </c>
      <c r="E471" s="102" t="inlineStr">
        <is>
          <t>Publicidade</t>
        </is>
      </c>
      <c r="F471" s="103" t="n">
        <v>3990</v>
      </c>
      <c r="G471" s="104" t="inlineStr">
        <is>
          <t>12/2025</t>
        </is>
      </c>
      <c r="H471" s="104" t="inlineStr">
        <is>
          <t>CODI</t>
        </is>
      </c>
    </row>
    <row r="472" ht="15" customHeight="1" s="86">
      <c r="B472" s="101" t="n">
        <v>45992</v>
      </c>
      <c r="C472" s="102" t="inlineStr">
        <is>
          <t>Salário e Ordenados - 12/2025</t>
        </is>
      </c>
      <c r="D472" s="102" t="inlineStr">
        <is>
          <t>Saída</t>
        </is>
      </c>
      <c r="E472" s="102" t="inlineStr">
        <is>
          <t>Salário e Ordenados</t>
        </is>
      </c>
      <c r="F472" s="103" t="n">
        <v>25582.28</v>
      </c>
      <c r="G472" s="104" t="inlineStr">
        <is>
          <t>12/2025</t>
        </is>
      </c>
      <c r="H472" s="104" t="inlineStr">
        <is>
          <t>CODI</t>
        </is>
      </c>
    </row>
    <row r="473" ht="15" customHeight="1" s="86">
      <c r="B473" s="101" t="n">
        <v>45992</v>
      </c>
      <c r="C473" s="102" t="inlineStr">
        <is>
          <t>Segurança e Monitoramento - 12/2025</t>
        </is>
      </c>
      <c r="D473" s="102" t="inlineStr">
        <is>
          <t>Saída</t>
        </is>
      </c>
      <c r="E473" s="102" t="inlineStr">
        <is>
          <t>Segurança e Monitoramento</t>
        </is>
      </c>
      <c r="F473" s="103" t="n">
        <v>140</v>
      </c>
      <c r="G473" s="104" t="inlineStr">
        <is>
          <t>12/2025</t>
        </is>
      </c>
      <c r="H473" s="104" t="inlineStr">
        <is>
          <t>CODI</t>
        </is>
      </c>
    </row>
    <row r="474" ht="15" customHeight="1" s="86">
      <c r="B474" s="101" t="n">
        <v>45992</v>
      </c>
      <c r="C474" s="102" t="inlineStr">
        <is>
          <t>Seguros - 12/2025</t>
        </is>
      </c>
      <c r="D474" s="102" t="inlineStr">
        <is>
          <t>Saída</t>
        </is>
      </c>
      <c r="E474" s="102" t="inlineStr">
        <is>
          <t>Seguros</t>
        </is>
      </c>
      <c r="F474" s="103" t="n">
        <v>269.82</v>
      </c>
      <c r="G474" s="104" t="inlineStr">
        <is>
          <t>12/2025</t>
        </is>
      </c>
      <c r="H474" s="104" t="inlineStr">
        <is>
          <t>CODI</t>
        </is>
      </c>
    </row>
    <row r="475" ht="15" customHeight="1" s="86">
      <c r="B475" s="101" t="n">
        <v>45992</v>
      </c>
      <c r="C475" s="102" t="inlineStr">
        <is>
          <t>Simples Nacional - 12/2025</t>
        </is>
      </c>
      <c r="D475" s="102" t="inlineStr">
        <is>
          <t>Saída</t>
        </is>
      </c>
      <c r="E475" s="102" t="inlineStr">
        <is>
          <t>Simples Nacional</t>
        </is>
      </c>
      <c r="F475" s="103" t="n">
        <v>2312.65</v>
      </c>
      <c r="G475" s="104" t="inlineStr">
        <is>
          <t>12/2025</t>
        </is>
      </c>
      <c r="H475" s="104" t="inlineStr">
        <is>
          <t>CODI</t>
        </is>
      </c>
    </row>
    <row r="476" ht="15" customHeight="1" s="86">
      <c r="B476" s="101" t="n">
        <v>45992</v>
      </c>
      <c r="C476" s="102" t="inlineStr">
        <is>
          <t>Tecidos - 12/2025</t>
        </is>
      </c>
      <c r="D476" s="102" t="inlineStr">
        <is>
          <t>Saída</t>
        </is>
      </c>
      <c r="E476" s="102" t="inlineStr">
        <is>
          <t>Tecidos</t>
        </is>
      </c>
      <c r="F476" s="103" t="n">
        <v>123269.74</v>
      </c>
      <c r="G476" s="104" t="inlineStr">
        <is>
          <t>12/2025</t>
        </is>
      </c>
      <c r="H476" s="104" t="inlineStr">
        <is>
          <t>CODI</t>
        </is>
      </c>
    </row>
    <row r="477" ht="15" customHeight="1" s="86">
      <c r="B477" s="101" t="n">
        <v>45992</v>
      </c>
      <c r="C477" s="102" t="inlineStr">
        <is>
          <t>Telefonia Fixa e Internet - 12/2025</t>
        </is>
      </c>
      <c r="D477" s="102" t="inlineStr">
        <is>
          <t>Saída</t>
        </is>
      </c>
      <c r="E477" s="102" t="inlineStr">
        <is>
          <t>Telefonia Fixa e Internet</t>
        </is>
      </c>
      <c r="F477" s="103" t="n">
        <v>126.87</v>
      </c>
      <c r="G477" s="104" t="inlineStr">
        <is>
          <t>12/2025</t>
        </is>
      </c>
      <c r="H477" s="104" t="inlineStr">
        <is>
          <t>CODI</t>
        </is>
      </c>
    </row>
    <row r="478" ht="15" customHeight="1" s="86">
      <c r="B478" s="101" t="n">
        <v>45992</v>
      </c>
      <c r="C478" s="102" t="inlineStr">
        <is>
          <t>Travete - 12/2025</t>
        </is>
      </c>
      <c r="D478" s="102" t="inlineStr">
        <is>
          <t>Saída</t>
        </is>
      </c>
      <c r="E478" s="102" t="inlineStr">
        <is>
          <t>Travete</t>
        </is>
      </c>
      <c r="F478" s="103" t="n">
        <v>8091.1</v>
      </c>
      <c r="G478" s="104" t="inlineStr">
        <is>
          <t>12/2025</t>
        </is>
      </c>
      <c r="H478" s="104" t="inlineStr">
        <is>
          <t>CODI</t>
        </is>
      </c>
    </row>
    <row r="479" ht="15" customHeight="1" s="86">
      <c r="B479" s="101" t="n">
        <v>45992</v>
      </c>
      <c r="C479" s="102" t="inlineStr">
        <is>
          <t>Vale Transporte - 12/2025</t>
        </is>
      </c>
      <c r="D479" s="102" t="inlineStr">
        <is>
          <t>Saída</t>
        </is>
      </c>
      <c r="E479" s="102" t="inlineStr">
        <is>
          <t>Vale Transporte</t>
        </is>
      </c>
      <c r="F479" s="103" t="n">
        <v>700</v>
      </c>
      <c r="G479" s="104" t="inlineStr">
        <is>
          <t>12/2025</t>
        </is>
      </c>
      <c r="H479" s="104" t="inlineStr">
        <is>
          <t>CODI</t>
        </is>
      </c>
    </row>
    <row r="480" ht="15" customHeight="1" s="86">
      <c r="B480" s="101" t="n">
        <v>45992</v>
      </c>
      <c r="C480" s="102" t="inlineStr">
        <is>
          <t>Vales e Adiantamentos - 12/2025</t>
        </is>
      </c>
      <c r="D480" s="102" t="inlineStr">
        <is>
          <t>Saída</t>
        </is>
      </c>
      <c r="E480" s="102" t="inlineStr">
        <is>
          <t>Vales e Adiantamentos</t>
        </is>
      </c>
      <c r="F480" s="103" t="n">
        <v>3850</v>
      </c>
      <c r="G480" s="104" t="inlineStr">
        <is>
          <t>12/2025</t>
        </is>
      </c>
      <c r="H480" s="104" t="inlineStr">
        <is>
          <t>CODI</t>
        </is>
      </c>
    </row>
    <row r="481" ht="15" customHeight="1" s="86">
      <c r="B481" s="101" t="n">
        <v>45992</v>
      </c>
      <c r="C481" s="102" t="inlineStr">
        <is>
          <t>Web Site e Sistema ERP - 12/2025</t>
        </is>
      </c>
      <c r="D481" s="102" t="inlineStr">
        <is>
          <t>Saída</t>
        </is>
      </c>
      <c r="E481" s="102" t="inlineStr">
        <is>
          <t>Web Site e Sistema ERP</t>
        </is>
      </c>
      <c r="F481" s="103" t="n">
        <v>957</v>
      </c>
      <c r="G481" s="104" t="inlineStr">
        <is>
          <t>12/2025</t>
        </is>
      </c>
      <c r="H481" s="104" t="inlineStr">
        <is>
          <t>CODI</t>
        </is>
      </c>
    </row>
    <row r="482" ht="15" customHeight="1" s="86">
      <c r="B482" s="101" t="n">
        <v>45992</v>
      </c>
      <c r="C482" s="102" t="inlineStr">
        <is>
          <t>Água - 12/2025</t>
        </is>
      </c>
      <c r="D482" s="102" t="inlineStr">
        <is>
          <t>Saída</t>
        </is>
      </c>
      <c r="E482" s="102" t="inlineStr">
        <is>
          <t>Água</t>
        </is>
      </c>
      <c r="F482" s="103" t="n">
        <v>552.26</v>
      </c>
      <c r="G482" s="104" t="inlineStr">
        <is>
          <t>12/2025</t>
        </is>
      </c>
      <c r="H482" s="104" t="inlineStr">
        <is>
          <t>CODI</t>
        </is>
      </c>
    </row>
    <row r="483" ht="15" customHeight="1" s="86">
      <c r="B483" s="101" t="n">
        <v>45992</v>
      </c>
      <c r="C483" s="102" t="inlineStr">
        <is>
          <t>Acabamento Externo - 12/2025</t>
        </is>
      </c>
      <c r="D483" s="102" t="inlineStr">
        <is>
          <t>Saída</t>
        </is>
      </c>
      <c r="E483" s="102" t="inlineStr">
        <is>
          <t>Acabamento Externo</t>
        </is>
      </c>
      <c r="F483" s="103" t="n">
        <v>17990.3</v>
      </c>
      <c r="G483" s="104" t="inlineStr">
        <is>
          <t>12/2025</t>
        </is>
      </c>
      <c r="H483" s="104" t="inlineStr">
        <is>
          <t>CODI</t>
        </is>
      </c>
    </row>
    <row r="484" ht="15" customHeight="1" s="86">
      <c r="B484" s="101" t="n">
        <v>45992</v>
      </c>
      <c r="C484" s="102" t="inlineStr">
        <is>
          <t>Alimentação - 12/2025</t>
        </is>
      </c>
      <c r="D484" s="102" t="inlineStr">
        <is>
          <t>Saída</t>
        </is>
      </c>
      <c r="E484" s="102" t="inlineStr">
        <is>
          <t>Alimentação</t>
        </is>
      </c>
      <c r="F484" s="103" t="n">
        <v>700</v>
      </c>
      <c r="G484" s="104" t="inlineStr">
        <is>
          <t>12/2025</t>
        </is>
      </c>
      <c r="H484" s="104" t="inlineStr">
        <is>
          <t>CODI</t>
        </is>
      </c>
    </row>
    <row r="485" ht="15" customHeight="1" s="86">
      <c r="B485" s="101" t="n">
        <v>45992</v>
      </c>
      <c r="C485" s="102" t="inlineStr">
        <is>
          <t>Combustíveis - 12/2025</t>
        </is>
      </c>
      <c r="D485" s="102" t="inlineStr">
        <is>
          <t>Saída</t>
        </is>
      </c>
      <c r="E485" s="102" t="inlineStr">
        <is>
          <t>Combustíveis</t>
        </is>
      </c>
      <c r="F485" s="103" t="n">
        <v>1470.3</v>
      </c>
      <c r="G485" s="104" t="inlineStr">
        <is>
          <t>12/2025</t>
        </is>
      </c>
      <c r="H485" s="104" t="inlineStr">
        <is>
          <t>CODI</t>
        </is>
      </c>
    </row>
    <row r="486" ht="15" customHeight="1" s="86">
      <c r="B486" s="101" t="n">
        <v>45992</v>
      </c>
      <c r="C486" s="102" t="inlineStr">
        <is>
          <t>Criação de Modelos - 12/2025</t>
        </is>
      </c>
      <c r="D486" s="102" t="inlineStr">
        <is>
          <t>Saída</t>
        </is>
      </c>
      <c r="E486" s="102" t="inlineStr">
        <is>
          <t>Criação de Modelos</t>
        </is>
      </c>
      <c r="F486" s="103" t="n">
        <v>3700</v>
      </c>
      <c r="G486" s="104" t="inlineStr">
        <is>
          <t>12/2025</t>
        </is>
      </c>
      <c r="H486" s="104" t="inlineStr">
        <is>
          <t>CODI</t>
        </is>
      </c>
    </row>
    <row r="487" ht="15" customHeight="1" s="86">
      <c r="B487" s="101" t="n">
        <v>45992</v>
      </c>
      <c r="C487" s="102" t="inlineStr">
        <is>
          <t>Darf - 12/2025</t>
        </is>
      </c>
      <c r="D487" s="102" t="inlineStr">
        <is>
          <t>Saída</t>
        </is>
      </c>
      <c r="E487" s="102" t="inlineStr">
        <is>
          <t>Darf</t>
        </is>
      </c>
      <c r="F487" s="103" t="n">
        <v>4439.64</v>
      </c>
      <c r="G487" s="104" t="inlineStr">
        <is>
          <t>12/2025</t>
        </is>
      </c>
      <c r="H487" s="104" t="inlineStr">
        <is>
          <t>CODI</t>
        </is>
      </c>
    </row>
    <row r="488" ht="15" customHeight="1" s="86">
      <c r="B488" s="101" t="n">
        <v>45992</v>
      </c>
      <c r="C488" s="102" t="inlineStr">
        <is>
          <t>Embalagens - 12/2025</t>
        </is>
      </c>
      <c r="D488" s="102" t="inlineStr">
        <is>
          <t>Saída</t>
        </is>
      </c>
      <c r="E488" s="102" t="inlineStr">
        <is>
          <t>Embalagens</t>
        </is>
      </c>
      <c r="F488" s="103" t="n">
        <v>744.9299999999999</v>
      </c>
      <c r="G488" s="104" t="inlineStr">
        <is>
          <t>12/2025</t>
        </is>
      </c>
      <c r="H488" s="104" t="inlineStr">
        <is>
          <t>CODI</t>
        </is>
      </c>
    </row>
    <row r="489" ht="15" customHeight="1" s="86">
      <c r="B489" s="101" t="n">
        <v>45992</v>
      </c>
      <c r="C489" s="102" t="inlineStr">
        <is>
          <t>Manutenção de Máquinas e Peças - 12/2025</t>
        </is>
      </c>
      <c r="D489" s="102" t="inlineStr">
        <is>
          <t>Saída</t>
        </is>
      </c>
      <c r="E489" s="102" t="inlineStr">
        <is>
          <t>Manutenção de Máquinas e Peças</t>
        </is>
      </c>
      <c r="F489" s="103" t="n">
        <v>110</v>
      </c>
      <c r="G489" s="104" t="inlineStr">
        <is>
          <t>12/2025</t>
        </is>
      </c>
      <c r="H489" s="104" t="inlineStr">
        <is>
          <t>CODI</t>
        </is>
      </c>
    </row>
    <row r="490" ht="15" customHeight="1" s="86">
      <c r="B490" s="101" t="n">
        <v>45992</v>
      </c>
      <c r="C490" s="102" t="inlineStr">
        <is>
          <t>Bordado Industrial - 12/2025</t>
        </is>
      </c>
      <c r="D490" s="102" t="inlineStr">
        <is>
          <t>Saída</t>
        </is>
      </c>
      <c r="E490" s="102" t="inlineStr">
        <is>
          <t>Bordado Industrial</t>
        </is>
      </c>
      <c r="F490" s="103" t="n">
        <v>796.37</v>
      </c>
      <c r="G490" s="104" t="inlineStr">
        <is>
          <t>12/2025</t>
        </is>
      </c>
      <c r="H490" s="104" t="inlineStr">
        <is>
          <t>CODI</t>
        </is>
      </c>
    </row>
    <row r="491" ht="15" customHeight="1" s="86">
      <c r="B491" s="101" t="n">
        <v>45992</v>
      </c>
      <c r="C491" s="102" t="inlineStr">
        <is>
          <t>Comissão de vendedores - 12/2025</t>
        </is>
      </c>
      <c r="D491" s="102" t="inlineStr">
        <is>
          <t>Saída</t>
        </is>
      </c>
      <c r="E491" s="102" t="inlineStr">
        <is>
          <t>Comissão de vendedores</t>
        </is>
      </c>
      <c r="F491" s="103" t="n">
        <v>12928.16</v>
      </c>
      <c r="G491" s="104" t="inlineStr">
        <is>
          <t>12/2025</t>
        </is>
      </c>
      <c r="H491" s="104" t="inlineStr">
        <is>
          <t>CODI</t>
        </is>
      </c>
    </row>
    <row r="492" ht="15" customHeight="1" s="86">
      <c r="B492" s="101" t="n">
        <v>45992</v>
      </c>
      <c r="C492" s="102" t="inlineStr">
        <is>
          <t>Consulta de Crédito Cliente - 12/2025</t>
        </is>
      </c>
      <c r="D492" s="102" t="inlineStr">
        <is>
          <t>Saída</t>
        </is>
      </c>
      <c r="E492" s="102" t="inlineStr">
        <is>
          <t>Consulta de Crédito Cliente</t>
        </is>
      </c>
      <c r="F492" s="103" t="n">
        <v>465.7</v>
      </c>
      <c r="G492" s="104" t="inlineStr">
        <is>
          <t>12/2025</t>
        </is>
      </c>
      <c r="H492" s="104" t="inlineStr">
        <is>
          <t>CODI</t>
        </is>
      </c>
    </row>
    <row r="493" ht="15" customHeight="1" s="86">
      <c r="B493" s="101" t="n">
        <v>45992</v>
      </c>
      <c r="C493" s="102" t="inlineStr">
        <is>
          <t>Despesa com Sindicatos - 12/2025</t>
        </is>
      </c>
      <c r="D493" s="102" t="inlineStr">
        <is>
          <t>Saída</t>
        </is>
      </c>
      <c r="E493" s="102" t="inlineStr">
        <is>
          <t>Despesa com Sindicatos</t>
        </is>
      </c>
      <c r="F493" s="103" t="n">
        <v>67.40000000000001</v>
      </c>
      <c r="G493" s="104" t="inlineStr">
        <is>
          <t>12/2025</t>
        </is>
      </c>
      <c r="H493" s="104" t="inlineStr">
        <is>
          <t>CODI</t>
        </is>
      </c>
    </row>
    <row r="494" ht="15" customHeight="1" s="86">
      <c r="B494" s="101" t="n">
        <v>45992</v>
      </c>
      <c r="C494" s="102" t="inlineStr">
        <is>
          <t>Manutenção de Veiculos e Estacionamento - 12/2025</t>
        </is>
      </c>
      <c r="D494" s="102" t="inlineStr">
        <is>
          <t>Saída</t>
        </is>
      </c>
      <c r="E494" s="102" t="inlineStr">
        <is>
          <t>Manutenção de Veiculos e Estacionamento</t>
        </is>
      </c>
      <c r="F494" s="103" t="n">
        <v>122</v>
      </c>
      <c r="G494" s="104" t="inlineStr">
        <is>
          <t>12/2025</t>
        </is>
      </c>
      <c r="H494" s="104" t="inlineStr">
        <is>
          <t>CODI</t>
        </is>
      </c>
    </row>
    <row r="495" ht="15" customHeight="1" s="86">
      <c r="B495" s="101" t="n">
        <v>45992</v>
      </c>
      <c r="C495" s="102" t="inlineStr">
        <is>
          <t>Comissão de Assessores - 12/2025</t>
        </is>
      </c>
      <c r="D495" s="102" t="inlineStr">
        <is>
          <t>Saída</t>
        </is>
      </c>
      <c r="E495" s="102" t="inlineStr">
        <is>
          <t>Comissão de Assessores</t>
        </is>
      </c>
      <c r="F495" s="103" t="n">
        <v>108</v>
      </c>
      <c r="G495" s="104" t="inlineStr">
        <is>
          <t>12/2025</t>
        </is>
      </c>
      <c r="H495" s="104" t="inlineStr">
        <is>
          <t>CODI</t>
        </is>
      </c>
    </row>
    <row r="496" ht="15" customHeight="1" s="86">
      <c r="B496" s="101" t="n">
        <v>45992</v>
      </c>
      <c r="C496" s="102" t="inlineStr">
        <is>
          <t>Fgts, Gps e Pis - 12/2025</t>
        </is>
      </c>
      <c r="D496" s="102" t="inlineStr">
        <is>
          <t>Saída</t>
        </is>
      </c>
      <c r="E496" s="102" t="inlineStr">
        <is>
          <t>Fgts, Gps e Pis</t>
        </is>
      </c>
      <c r="F496" s="103" t="n">
        <v>6062.08</v>
      </c>
      <c r="G496" s="104" t="inlineStr">
        <is>
          <t>12/2025</t>
        </is>
      </c>
      <c r="H496" s="104" t="inlineStr">
        <is>
          <t>CODI</t>
        </is>
      </c>
    </row>
    <row r="497" ht="15" customHeight="1" s="86">
      <c r="B497" s="101" t="n">
        <v>45992</v>
      </c>
      <c r="C497" s="102" t="inlineStr">
        <is>
          <t>Bordado Manual - 12/2025</t>
        </is>
      </c>
      <c r="D497" s="102" t="inlineStr">
        <is>
          <t>Saída</t>
        </is>
      </c>
      <c r="E497" s="102" t="inlineStr">
        <is>
          <t>Bordado Manual</t>
        </is>
      </c>
      <c r="F497" s="103" t="n">
        <v>880</v>
      </c>
      <c r="G497" s="104" t="inlineStr">
        <is>
          <t>12/2025</t>
        </is>
      </c>
      <c r="H497" s="104" t="inlineStr">
        <is>
          <t>CODI</t>
        </is>
      </c>
    </row>
    <row r="498" ht="15" customHeight="1" s="86">
      <c r="B498" s="101" t="n">
        <v>45992</v>
      </c>
      <c r="C498" s="102" t="inlineStr">
        <is>
          <t>Juros de Empréstimos - 12/2025</t>
        </is>
      </c>
      <c r="D498" s="102" t="inlineStr">
        <is>
          <t>Saída</t>
        </is>
      </c>
      <c r="E498" s="102" t="inlineStr">
        <is>
          <t>Juros de Empréstimos</t>
        </is>
      </c>
      <c r="F498" s="103" t="n">
        <v>7750</v>
      </c>
      <c r="G498" s="104" t="inlineStr">
        <is>
          <t>12/2025</t>
        </is>
      </c>
      <c r="H498" s="104" t="inlineStr">
        <is>
          <t>CODI</t>
        </is>
      </c>
    </row>
    <row r="499" ht="15" customHeight="1" s="86">
      <c r="B499" s="101" t="n">
        <v>45992</v>
      </c>
      <c r="C499" s="102" t="inlineStr">
        <is>
          <t>Patrocínio - 12/2025</t>
        </is>
      </c>
      <c r="D499" s="102" t="inlineStr">
        <is>
          <t>Saída</t>
        </is>
      </c>
      <c r="E499" s="102" t="inlineStr">
        <is>
          <t>Patrocínio</t>
        </is>
      </c>
      <c r="F499" s="103" t="n">
        <v>683.9</v>
      </c>
      <c r="G499" s="104" t="inlineStr">
        <is>
          <t>12/2025</t>
        </is>
      </c>
      <c r="H499" s="104" t="inlineStr">
        <is>
          <t>CODI</t>
        </is>
      </c>
    </row>
    <row r="500" ht="15" customHeight="1" s="86">
      <c r="B500" s="101" t="n">
        <v>45992</v>
      </c>
      <c r="C500" s="102" t="inlineStr">
        <is>
          <t>13º Salário - 12/2025</t>
        </is>
      </c>
      <c r="D500" s="102" t="inlineStr">
        <is>
          <t>Saída</t>
        </is>
      </c>
      <c r="E500" s="102" t="inlineStr">
        <is>
          <t>13º Salário</t>
        </is>
      </c>
      <c r="F500" s="103" t="n">
        <v>15120.67</v>
      </c>
      <c r="G500" s="104" t="inlineStr">
        <is>
          <t>12/2025</t>
        </is>
      </c>
      <c r="H500" s="104" t="inlineStr">
        <is>
          <t>CODI</t>
        </is>
      </c>
    </row>
    <row r="501" ht="15" customHeight="1" s="86">
      <c r="B501" s="101" t="n">
        <v>46023</v>
      </c>
      <c r="C501" s="102" t="inlineStr">
        <is>
          <t>Vendas - 01/2026</t>
        </is>
      </c>
      <c r="D501" s="102" t="inlineStr">
        <is>
          <t>Entrada</t>
        </is>
      </c>
      <c r="E501" s="102" t="inlineStr">
        <is>
          <t>Vendas</t>
        </is>
      </c>
      <c r="F501" s="103" t="n">
        <v>253321.24</v>
      </c>
      <c r="G501" s="104" t="inlineStr">
        <is>
          <t>01/2026</t>
        </is>
      </c>
      <c r="H501" s="104" t="inlineStr">
        <is>
          <t>CODI</t>
        </is>
      </c>
    </row>
    <row r="502" ht="15" customHeight="1" s="86">
      <c r="B502" s="101" t="n">
        <v>46023</v>
      </c>
      <c r="C502" s="102" t="inlineStr">
        <is>
          <t>Acertos e Recisões - 01/2026</t>
        </is>
      </c>
      <c r="D502" s="102" t="inlineStr">
        <is>
          <t>Saída</t>
        </is>
      </c>
      <c r="E502" s="102" t="inlineStr">
        <is>
          <t>Acertos e Recisões</t>
        </is>
      </c>
      <c r="F502" s="103" t="n">
        <v>30769.48</v>
      </c>
      <c r="G502" s="104" t="inlineStr">
        <is>
          <t>01/2026</t>
        </is>
      </c>
      <c r="H502" s="104" t="inlineStr">
        <is>
          <t>CODI</t>
        </is>
      </c>
    </row>
    <row r="503" ht="15" customHeight="1" s="86">
      <c r="B503" s="101" t="n">
        <v>46023</v>
      </c>
      <c r="C503" s="102" t="inlineStr">
        <is>
          <t>Aluguéis e Condomínios - 01/2026</t>
        </is>
      </c>
      <c r="D503" s="102" t="inlineStr">
        <is>
          <t>Saída</t>
        </is>
      </c>
      <c r="E503" s="102" t="inlineStr">
        <is>
          <t>Aluguéis e Condomínios</t>
        </is>
      </c>
      <c r="F503" s="103" t="n">
        <v>7600</v>
      </c>
      <c r="G503" s="104" t="inlineStr">
        <is>
          <t>01/2026</t>
        </is>
      </c>
      <c r="H503" s="104" t="inlineStr">
        <is>
          <t>CODI</t>
        </is>
      </c>
    </row>
    <row r="504" ht="15" customHeight="1" s="86">
      <c r="B504" s="101" t="n">
        <v>46023</v>
      </c>
      <c r="C504" s="102" t="inlineStr">
        <is>
          <t>Aviamento - 01/2026</t>
        </is>
      </c>
      <c r="D504" s="102" t="inlineStr">
        <is>
          <t>Saída</t>
        </is>
      </c>
      <c r="E504" s="102" t="inlineStr">
        <is>
          <t>Aviamento</t>
        </is>
      </c>
      <c r="F504" s="103" t="n">
        <v>28500.91</v>
      </c>
      <c r="G504" s="104" t="inlineStr">
        <is>
          <t>01/2026</t>
        </is>
      </c>
      <c r="H504" s="104" t="inlineStr">
        <is>
          <t>CODI</t>
        </is>
      </c>
    </row>
    <row r="505" ht="15" customHeight="1" s="86">
      <c r="B505" s="101" t="n">
        <v>46023</v>
      </c>
      <c r="C505" s="102" t="inlineStr">
        <is>
          <t>Despesa não Identificada - 01/2026</t>
        </is>
      </c>
      <c r="D505" s="102" t="inlineStr">
        <is>
          <t>Saída</t>
        </is>
      </c>
      <c r="E505" s="102" t="inlineStr">
        <is>
          <t>Despesa não Identificada</t>
        </is>
      </c>
      <c r="F505" s="103" t="n">
        <v>25272.94</v>
      </c>
      <c r="G505" s="104" t="inlineStr">
        <is>
          <t>01/2026</t>
        </is>
      </c>
      <c r="H505" s="104" t="inlineStr">
        <is>
          <t>CODI</t>
        </is>
      </c>
    </row>
    <row r="506" ht="15" customHeight="1" s="86">
      <c r="B506" s="101" t="n">
        <v>46023</v>
      </c>
      <c r="C506" s="102" t="inlineStr">
        <is>
          <t>Energia Elétrica - 01/2026</t>
        </is>
      </c>
      <c r="D506" s="102" t="inlineStr">
        <is>
          <t>Saída</t>
        </is>
      </c>
      <c r="E506" s="102" t="inlineStr">
        <is>
          <t>Energia Elétrica</t>
        </is>
      </c>
      <c r="F506" s="103" t="n">
        <v>88</v>
      </c>
      <c r="G506" s="104" t="inlineStr">
        <is>
          <t>01/2026</t>
        </is>
      </c>
      <c r="H506" s="104" t="inlineStr">
        <is>
          <t>CODI</t>
        </is>
      </c>
    </row>
    <row r="507" ht="15" customHeight="1" s="86">
      <c r="B507" s="101" t="n">
        <v>46023</v>
      </c>
      <c r="C507" s="102" t="inlineStr">
        <is>
          <t>Etiquetas - 01/2026</t>
        </is>
      </c>
      <c r="D507" s="102" t="inlineStr">
        <is>
          <t>Saída</t>
        </is>
      </c>
      <c r="E507" s="102" t="inlineStr">
        <is>
          <t>Etiquetas</t>
        </is>
      </c>
      <c r="F507" s="103" t="n">
        <v>3761.35</v>
      </c>
      <c r="G507" s="104" t="inlineStr">
        <is>
          <t>01/2026</t>
        </is>
      </c>
      <c r="H507" s="104" t="inlineStr">
        <is>
          <t>CODI</t>
        </is>
      </c>
    </row>
    <row r="508" ht="15" customHeight="1" s="86">
      <c r="B508" s="101" t="n">
        <v>46023</v>
      </c>
      <c r="C508" s="102" t="inlineStr">
        <is>
          <t>Facção - 01/2026</t>
        </is>
      </c>
      <c r="D508" s="102" t="inlineStr">
        <is>
          <t>Saída</t>
        </is>
      </c>
      <c r="E508" s="102" t="inlineStr">
        <is>
          <t>Facção</t>
        </is>
      </c>
      <c r="F508" s="103" t="n">
        <v>40109</v>
      </c>
      <c r="G508" s="104" t="inlineStr">
        <is>
          <t>01/2026</t>
        </is>
      </c>
      <c r="H508" s="104" t="inlineStr">
        <is>
          <t>CODI</t>
        </is>
      </c>
    </row>
    <row r="509" ht="15" customHeight="1" s="86">
      <c r="B509" s="101" t="n">
        <v>46023</v>
      </c>
      <c r="C509" s="102" t="inlineStr">
        <is>
          <t>Frete e Transporte de Mercadorias - 01/2026</t>
        </is>
      </c>
      <c r="D509" s="102" t="inlineStr">
        <is>
          <t>Saída</t>
        </is>
      </c>
      <c r="E509" s="102" t="inlineStr">
        <is>
          <t>Frete e Transporte de Mercadorias</t>
        </is>
      </c>
      <c r="F509" s="103" t="n">
        <v>1635.49</v>
      </c>
      <c r="G509" s="104" t="inlineStr">
        <is>
          <t>01/2026</t>
        </is>
      </c>
      <c r="H509" s="104" t="inlineStr">
        <is>
          <t>CODI</t>
        </is>
      </c>
    </row>
    <row r="510" ht="15" customHeight="1" s="86">
      <c r="B510" s="101" t="n">
        <v>46023</v>
      </c>
      <c r="C510" s="102" t="inlineStr">
        <is>
          <t>Lavanderia - 01/2026</t>
        </is>
      </c>
      <c r="D510" s="102" t="inlineStr">
        <is>
          <t>Saída</t>
        </is>
      </c>
      <c r="E510" s="102" t="inlineStr">
        <is>
          <t>Lavanderia</t>
        </is>
      </c>
      <c r="F510" s="103" t="n">
        <v>28554</v>
      </c>
      <c r="G510" s="104" t="inlineStr">
        <is>
          <t>01/2026</t>
        </is>
      </c>
      <c r="H510" s="104" t="inlineStr">
        <is>
          <t>CODI</t>
        </is>
      </c>
    </row>
    <row r="511" ht="15" customHeight="1" s="86">
      <c r="B511" s="101" t="n">
        <v>46023</v>
      </c>
      <c r="C511" s="102" t="inlineStr">
        <is>
          <t>Outros Insumos - 01/2026</t>
        </is>
      </c>
      <c r="D511" s="102" t="inlineStr">
        <is>
          <t>Saída</t>
        </is>
      </c>
      <c r="E511" s="102" t="inlineStr">
        <is>
          <t>Outros Insumos</t>
        </is>
      </c>
      <c r="F511" s="103" t="n">
        <v>76.75</v>
      </c>
      <c r="G511" s="104" t="inlineStr">
        <is>
          <t>01/2026</t>
        </is>
      </c>
      <c r="H511" s="104" t="inlineStr">
        <is>
          <t>CODI</t>
        </is>
      </c>
    </row>
    <row r="512" ht="15" customHeight="1" s="86">
      <c r="B512" s="101" t="n">
        <v>46023</v>
      </c>
      <c r="C512" s="102" t="inlineStr">
        <is>
          <t>Publicidade - 01/2026</t>
        </is>
      </c>
      <c r="D512" s="102" t="inlineStr">
        <is>
          <t>Saída</t>
        </is>
      </c>
      <c r="E512" s="102" t="inlineStr">
        <is>
          <t>Publicidade</t>
        </is>
      </c>
      <c r="F512" s="103" t="n">
        <v>920</v>
      </c>
      <c r="G512" s="104" t="inlineStr">
        <is>
          <t>01/2026</t>
        </is>
      </c>
      <c r="H512" s="104" t="inlineStr">
        <is>
          <t>CODI</t>
        </is>
      </c>
    </row>
    <row r="513" ht="15" customHeight="1" s="86">
      <c r="B513" s="101" t="n">
        <v>46023</v>
      </c>
      <c r="C513" s="102" t="inlineStr">
        <is>
          <t>Salário e Ordenados - 01/2026</t>
        </is>
      </c>
      <c r="D513" s="102" t="inlineStr">
        <is>
          <t>Saída</t>
        </is>
      </c>
      <c r="E513" s="102" t="inlineStr">
        <is>
          <t>Salário e Ordenados</t>
        </is>
      </c>
      <c r="F513" s="103" t="n">
        <v>29124.02</v>
      </c>
      <c r="G513" s="104" t="inlineStr">
        <is>
          <t>01/2026</t>
        </is>
      </c>
      <c r="H513" s="104" t="inlineStr">
        <is>
          <t>CODI</t>
        </is>
      </c>
    </row>
    <row r="514" ht="15" customHeight="1" s="86">
      <c r="B514" s="101" t="n">
        <v>46023</v>
      </c>
      <c r="C514" s="102" t="inlineStr">
        <is>
          <t>Seguros - 01/2026</t>
        </is>
      </c>
      <c r="D514" s="102" t="inlineStr">
        <is>
          <t>Saída</t>
        </is>
      </c>
      <c r="E514" s="102" t="inlineStr">
        <is>
          <t>Seguros</t>
        </is>
      </c>
      <c r="F514" s="103" t="n">
        <v>265.92</v>
      </c>
      <c r="G514" s="104" t="inlineStr">
        <is>
          <t>01/2026</t>
        </is>
      </c>
      <c r="H514" s="104" t="inlineStr">
        <is>
          <t>CODI</t>
        </is>
      </c>
    </row>
    <row r="515" ht="15" customHeight="1" s="86">
      <c r="B515" s="101" t="n">
        <v>46023</v>
      </c>
      <c r="C515" s="102" t="inlineStr">
        <is>
          <t>Simples Nacional - 01/2026</t>
        </is>
      </c>
      <c r="D515" s="102" t="inlineStr">
        <is>
          <t>Saída</t>
        </is>
      </c>
      <c r="E515" s="102" t="inlineStr">
        <is>
          <t>Simples Nacional</t>
        </is>
      </c>
      <c r="F515" s="103" t="n">
        <v>2447.08</v>
      </c>
      <c r="G515" s="104" t="inlineStr">
        <is>
          <t>01/2026</t>
        </is>
      </c>
      <c r="H515" s="104" t="inlineStr">
        <is>
          <t>CODI</t>
        </is>
      </c>
    </row>
    <row r="516" ht="15" customHeight="1" s="86">
      <c r="B516" s="101" t="n">
        <v>46023</v>
      </c>
      <c r="C516" s="102" t="inlineStr">
        <is>
          <t>Tecidos - 01/2026</t>
        </is>
      </c>
      <c r="D516" s="102" t="inlineStr">
        <is>
          <t>Saída</t>
        </is>
      </c>
      <c r="E516" s="102" t="inlineStr">
        <is>
          <t>Tecidos</t>
        </is>
      </c>
      <c r="F516" s="103" t="n">
        <v>23433.97</v>
      </c>
      <c r="G516" s="104" t="inlineStr">
        <is>
          <t>01/2026</t>
        </is>
      </c>
      <c r="H516" s="104" t="inlineStr">
        <is>
          <t>CODI</t>
        </is>
      </c>
    </row>
    <row r="517" ht="15" customHeight="1" s="86">
      <c r="B517" s="101" t="n">
        <v>46023</v>
      </c>
      <c r="C517" s="102" t="inlineStr">
        <is>
          <t>Telefonia Fixa e Internet - 01/2026</t>
        </is>
      </c>
      <c r="D517" s="102" t="inlineStr">
        <is>
          <t>Saída</t>
        </is>
      </c>
      <c r="E517" s="102" t="inlineStr">
        <is>
          <t>Telefonia Fixa e Internet</t>
        </is>
      </c>
      <c r="F517" s="103" t="n">
        <v>126.92</v>
      </c>
      <c r="G517" s="104" t="inlineStr">
        <is>
          <t>01/2026</t>
        </is>
      </c>
      <c r="H517" s="104" t="inlineStr">
        <is>
          <t>CODI</t>
        </is>
      </c>
    </row>
    <row r="518" ht="15" customHeight="1" s="86">
      <c r="B518" s="101" t="n">
        <v>46023</v>
      </c>
      <c r="C518" s="102" t="inlineStr">
        <is>
          <t>Travete - 01/2026</t>
        </is>
      </c>
      <c r="D518" s="102" t="inlineStr">
        <is>
          <t>Saída</t>
        </is>
      </c>
      <c r="E518" s="102" t="inlineStr">
        <is>
          <t>Travete</t>
        </is>
      </c>
      <c r="F518" s="103" t="n">
        <v>2801</v>
      </c>
      <c r="G518" s="104" t="inlineStr">
        <is>
          <t>01/2026</t>
        </is>
      </c>
      <c r="H518" s="104" t="inlineStr">
        <is>
          <t>CODI</t>
        </is>
      </c>
    </row>
    <row r="519" ht="15" customHeight="1" s="86">
      <c r="B519" s="101" t="n">
        <v>46023</v>
      </c>
      <c r="C519" s="102" t="inlineStr">
        <is>
          <t>Vale Transporte - 01/2026</t>
        </is>
      </c>
      <c r="D519" s="102" t="inlineStr">
        <is>
          <t>Saída</t>
        </is>
      </c>
      <c r="E519" s="102" t="inlineStr">
        <is>
          <t>Vale Transporte</t>
        </is>
      </c>
      <c r="F519" s="103" t="n">
        <v>1700</v>
      </c>
      <c r="G519" s="104" t="inlineStr">
        <is>
          <t>01/2026</t>
        </is>
      </c>
      <c r="H519" s="104" t="inlineStr">
        <is>
          <t>CODI</t>
        </is>
      </c>
    </row>
    <row r="520" ht="15" customHeight="1" s="86">
      <c r="B520" s="101" t="n">
        <v>46023</v>
      </c>
      <c r="C520" s="102" t="inlineStr">
        <is>
          <t>Vales e Adiantamentos - 01/2026</t>
        </is>
      </c>
      <c r="D520" s="102" t="inlineStr">
        <is>
          <t>Saída</t>
        </is>
      </c>
      <c r="E520" s="102" t="inlineStr">
        <is>
          <t>Vales e Adiantamentos</t>
        </is>
      </c>
      <c r="F520" s="103" t="n">
        <v>3120</v>
      </c>
      <c r="G520" s="104" t="inlineStr">
        <is>
          <t>01/2026</t>
        </is>
      </c>
      <c r="H520" s="104" t="inlineStr">
        <is>
          <t>CODI</t>
        </is>
      </c>
    </row>
    <row r="521" ht="15" customHeight="1" s="86">
      <c r="B521" s="101" t="n">
        <v>46023</v>
      </c>
      <c r="C521" s="102" t="inlineStr">
        <is>
          <t>Web Site e Sistema ERP - 01/2026</t>
        </is>
      </c>
      <c r="D521" s="102" t="inlineStr">
        <is>
          <t>Saída</t>
        </is>
      </c>
      <c r="E521" s="102" t="inlineStr">
        <is>
          <t>Web Site e Sistema ERP</t>
        </is>
      </c>
      <c r="F521" s="103" t="n">
        <v>957</v>
      </c>
      <c r="G521" s="104" t="inlineStr">
        <is>
          <t>01/2026</t>
        </is>
      </c>
      <c r="H521" s="104" t="inlineStr">
        <is>
          <t>CODI</t>
        </is>
      </c>
    </row>
    <row r="522" ht="15" customHeight="1" s="86">
      <c r="B522" s="101" t="n">
        <v>46023</v>
      </c>
      <c r="C522" s="102" t="inlineStr">
        <is>
          <t>Água - 01/2026</t>
        </is>
      </c>
      <c r="D522" s="102" t="inlineStr">
        <is>
          <t>Saída</t>
        </is>
      </c>
      <c r="E522" s="102" t="inlineStr">
        <is>
          <t>Água</t>
        </is>
      </c>
      <c r="F522" s="103" t="n">
        <v>227.27</v>
      </c>
      <c r="G522" s="104" t="inlineStr">
        <is>
          <t>01/2026</t>
        </is>
      </c>
      <c r="H522" s="104" t="inlineStr">
        <is>
          <t>CODI</t>
        </is>
      </c>
    </row>
    <row r="523" ht="15" customHeight="1" s="86">
      <c r="B523" s="101" t="n">
        <v>46023</v>
      </c>
      <c r="C523" s="102" t="inlineStr">
        <is>
          <t>Acabamento Externo - 01/2026</t>
        </is>
      </c>
      <c r="D523" s="102" t="inlineStr">
        <is>
          <t>Saída</t>
        </is>
      </c>
      <c r="E523" s="102" t="inlineStr">
        <is>
          <t>Acabamento Externo</t>
        </is>
      </c>
      <c r="F523" s="103" t="n">
        <v>10757.3</v>
      </c>
      <c r="G523" s="104" t="inlineStr">
        <is>
          <t>01/2026</t>
        </is>
      </c>
      <c r="H523" s="104" t="inlineStr">
        <is>
          <t>CODI</t>
        </is>
      </c>
    </row>
    <row r="524" ht="15" customHeight="1" s="86">
      <c r="B524" s="101" t="n">
        <v>46023</v>
      </c>
      <c r="C524" s="102" t="inlineStr">
        <is>
          <t>Alimentação - 01/2026</t>
        </is>
      </c>
      <c r="D524" s="102" t="inlineStr">
        <is>
          <t>Saída</t>
        </is>
      </c>
      <c r="E524" s="102" t="inlineStr">
        <is>
          <t>Alimentação</t>
        </is>
      </c>
      <c r="F524" s="103" t="n">
        <v>102.62</v>
      </c>
      <c r="G524" s="104" t="inlineStr">
        <is>
          <t>01/2026</t>
        </is>
      </c>
      <c r="H524" s="104" t="inlineStr">
        <is>
          <t>CODI</t>
        </is>
      </c>
    </row>
    <row r="525" ht="15" customHeight="1" s="86">
      <c r="B525" s="101" t="n">
        <v>46023</v>
      </c>
      <c r="C525" s="102" t="inlineStr">
        <is>
          <t>Combustíveis - 01/2026</t>
        </is>
      </c>
      <c r="D525" s="102" t="inlineStr">
        <is>
          <t>Saída</t>
        </is>
      </c>
      <c r="E525" s="102" t="inlineStr">
        <is>
          <t>Combustíveis</t>
        </is>
      </c>
      <c r="F525" s="103" t="n">
        <v>839.51</v>
      </c>
      <c r="G525" s="104" t="inlineStr">
        <is>
          <t>01/2026</t>
        </is>
      </c>
      <c r="H525" s="104" t="inlineStr">
        <is>
          <t>CODI</t>
        </is>
      </c>
    </row>
    <row r="526" ht="15" customHeight="1" s="86">
      <c r="B526" s="101" t="n">
        <v>46023</v>
      </c>
      <c r="C526" s="102" t="inlineStr">
        <is>
          <t>Criação de Modelos - 01/2026</t>
        </is>
      </c>
      <c r="D526" s="102" t="inlineStr">
        <is>
          <t>Saída</t>
        </is>
      </c>
      <c r="E526" s="102" t="inlineStr">
        <is>
          <t>Criação de Modelos</t>
        </is>
      </c>
      <c r="F526" s="103" t="n">
        <v>4462</v>
      </c>
      <c r="G526" s="104" t="inlineStr">
        <is>
          <t>01/2026</t>
        </is>
      </c>
      <c r="H526" s="104" t="inlineStr">
        <is>
          <t>CODI</t>
        </is>
      </c>
    </row>
    <row r="527" ht="15" customHeight="1" s="86">
      <c r="B527" s="101" t="n">
        <v>46023</v>
      </c>
      <c r="C527" s="102" t="inlineStr">
        <is>
          <t>Darf - 01/2026</t>
        </is>
      </c>
      <c r="D527" s="102" t="inlineStr">
        <is>
          <t>Saída</t>
        </is>
      </c>
      <c r="E527" s="102" t="inlineStr">
        <is>
          <t>Darf</t>
        </is>
      </c>
      <c r="F527" s="103" t="n">
        <v>2855.89</v>
      </c>
      <c r="G527" s="104" t="inlineStr">
        <is>
          <t>01/2026</t>
        </is>
      </c>
      <c r="H527" s="104" t="inlineStr">
        <is>
          <t>CODI</t>
        </is>
      </c>
    </row>
    <row r="528" ht="15" customHeight="1" s="86">
      <c r="B528" s="101" t="n">
        <v>46023</v>
      </c>
      <c r="C528" s="102" t="inlineStr">
        <is>
          <t>Embalagens - 01/2026</t>
        </is>
      </c>
      <c r="D528" s="102" t="inlineStr">
        <is>
          <t>Saída</t>
        </is>
      </c>
      <c r="E528" s="102" t="inlineStr">
        <is>
          <t>Embalagens</t>
        </is>
      </c>
      <c r="F528" s="103" t="n">
        <v>1193</v>
      </c>
      <c r="G528" s="104" t="inlineStr">
        <is>
          <t>01/2026</t>
        </is>
      </c>
      <c r="H528" s="104" t="inlineStr">
        <is>
          <t>CODI</t>
        </is>
      </c>
    </row>
    <row r="529" ht="15" customHeight="1" s="86">
      <c r="B529" s="101" t="n">
        <v>46023</v>
      </c>
      <c r="C529" s="102" t="inlineStr">
        <is>
          <t>Comissão de vendedores - 01/2026</t>
        </is>
      </c>
      <c r="D529" s="102" t="inlineStr">
        <is>
          <t>Saída</t>
        </is>
      </c>
      <c r="E529" s="102" t="inlineStr">
        <is>
          <t>Comissão de vendedores</t>
        </is>
      </c>
      <c r="F529" s="103" t="n">
        <v>7391.89</v>
      </c>
      <c r="G529" s="104" t="inlineStr">
        <is>
          <t>01/2026</t>
        </is>
      </c>
      <c r="H529" s="104" t="inlineStr">
        <is>
          <t>CODI</t>
        </is>
      </c>
    </row>
    <row r="530" ht="15" customHeight="1" s="86">
      <c r="B530" s="101" t="n">
        <v>46023</v>
      </c>
      <c r="C530" s="102" t="inlineStr">
        <is>
          <t>Consulta de Crédito Cliente - 01/2026</t>
        </is>
      </c>
      <c r="D530" s="102" t="inlineStr">
        <is>
          <t>Saída</t>
        </is>
      </c>
      <c r="E530" s="102" t="inlineStr">
        <is>
          <t>Consulta de Crédito Cliente</t>
        </is>
      </c>
      <c r="F530" s="103" t="n">
        <v>375.5</v>
      </c>
      <c r="G530" s="104" t="inlineStr">
        <is>
          <t>01/2026</t>
        </is>
      </c>
      <c r="H530" s="104" t="inlineStr">
        <is>
          <t>CODI</t>
        </is>
      </c>
    </row>
    <row r="531" ht="15" customHeight="1" s="86">
      <c r="B531" s="101" t="n">
        <v>46023</v>
      </c>
      <c r="C531" s="102" t="inlineStr">
        <is>
          <t>Despesa com Sindicatos - 01/2026</t>
        </is>
      </c>
      <c r="D531" s="102" t="inlineStr">
        <is>
          <t>Saída</t>
        </is>
      </c>
      <c r="E531" s="102" t="inlineStr">
        <is>
          <t>Despesa com Sindicatos</t>
        </is>
      </c>
      <c r="F531" s="103" t="n">
        <v>49.9</v>
      </c>
      <c r="G531" s="104" t="inlineStr">
        <is>
          <t>01/2026</t>
        </is>
      </c>
      <c r="H531" s="104" t="inlineStr">
        <is>
          <t>CODI</t>
        </is>
      </c>
    </row>
    <row r="532" ht="15" customHeight="1" s="86">
      <c r="B532" s="101" t="n">
        <v>46023</v>
      </c>
      <c r="C532" s="102" t="inlineStr">
        <is>
          <t>Manutenção de Veiculos e Estacionamento - 01/2026</t>
        </is>
      </c>
      <c r="D532" s="102" t="inlineStr">
        <is>
          <t>Saída</t>
        </is>
      </c>
      <c r="E532" s="102" t="inlineStr">
        <is>
          <t>Manutenção de Veiculos e Estacionamento</t>
        </is>
      </c>
      <c r="F532" s="103" t="n">
        <v>225</v>
      </c>
      <c r="G532" s="104" t="inlineStr">
        <is>
          <t>01/2026</t>
        </is>
      </c>
      <c r="H532" s="104" t="inlineStr">
        <is>
          <t>CODI</t>
        </is>
      </c>
    </row>
    <row r="533" ht="15" customHeight="1" s="86">
      <c r="B533" s="101" t="n">
        <v>46023</v>
      </c>
      <c r="C533" s="102" t="inlineStr">
        <is>
          <t>Telefonia Móvel - 01/2026</t>
        </is>
      </c>
      <c r="D533" s="102" t="inlineStr">
        <is>
          <t>Saída</t>
        </is>
      </c>
      <c r="E533" s="102" t="inlineStr">
        <is>
          <t>Telefonia Móvel</t>
        </is>
      </c>
      <c r="F533" s="103" t="n">
        <v>90</v>
      </c>
      <c r="G533" s="104" t="inlineStr">
        <is>
          <t>01/2026</t>
        </is>
      </c>
      <c r="H533" s="104" t="inlineStr">
        <is>
          <t>CODI</t>
        </is>
      </c>
    </row>
    <row r="534" ht="15" customHeight="1" s="86">
      <c r="B534" s="101" t="n">
        <v>46023</v>
      </c>
      <c r="C534" s="102" t="inlineStr">
        <is>
          <t>Material de Escritório - 01/2026</t>
        </is>
      </c>
      <c r="D534" s="102" t="inlineStr">
        <is>
          <t>Saída</t>
        </is>
      </c>
      <c r="E534" s="102" t="inlineStr">
        <is>
          <t>Material de Escritório</t>
        </is>
      </c>
      <c r="F534" s="103" t="n">
        <v>295.9</v>
      </c>
      <c r="G534" s="104" t="inlineStr">
        <is>
          <t>01/2026</t>
        </is>
      </c>
      <c r="H534" s="104" t="inlineStr">
        <is>
          <t>CODI</t>
        </is>
      </c>
    </row>
    <row r="535" ht="15" customHeight="1" s="86">
      <c r="B535" s="101" t="n">
        <v>46023</v>
      </c>
      <c r="C535" s="102" t="inlineStr">
        <is>
          <t>Viagens e estadas - 01/2026</t>
        </is>
      </c>
      <c r="D535" s="102" t="inlineStr">
        <is>
          <t>Saída</t>
        </is>
      </c>
      <c r="E535" s="102" t="inlineStr">
        <is>
          <t>Viagens e estadas</t>
        </is>
      </c>
      <c r="F535" s="103" t="n">
        <v>2611.53</v>
      </c>
      <c r="G535" s="104" t="inlineStr">
        <is>
          <t>01/2026</t>
        </is>
      </c>
      <c r="H535" s="104" t="inlineStr">
        <is>
          <t>CODI</t>
        </is>
      </c>
    </row>
    <row r="536" ht="15" customHeight="1" s="86">
      <c r="B536" s="101" t="n">
        <v>46023</v>
      </c>
      <c r="C536" s="102" t="inlineStr">
        <is>
          <t>Fgts, Gps e Pis - 01/2026</t>
        </is>
      </c>
      <c r="D536" s="102" t="inlineStr">
        <is>
          <t>Saída</t>
        </is>
      </c>
      <c r="E536" s="102" t="inlineStr">
        <is>
          <t>Fgts, Gps e Pis</t>
        </is>
      </c>
      <c r="F536" s="103" t="n">
        <v>4545.12</v>
      </c>
      <c r="G536" s="104" t="inlineStr">
        <is>
          <t>01/2026</t>
        </is>
      </c>
      <c r="H536" s="104" t="inlineStr">
        <is>
          <t>CODI</t>
        </is>
      </c>
    </row>
    <row r="537" ht="15" customHeight="1" s="86">
      <c r="B537" s="101" t="n">
        <v>46023</v>
      </c>
      <c r="C537" s="102" t="inlineStr">
        <is>
          <t>Manutenção de Imóveis - 01/2026</t>
        </is>
      </c>
      <c r="D537" s="102" t="inlineStr">
        <is>
          <t>Saída</t>
        </is>
      </c>
      <c r="E537" s="102" t="inlineStr">
        <is>
          <t>Manutenção de Imóveis</t>
        </is>
      </c>
      <c r="F537" s="103" t="n">
        <v>250</v>
      </c>
      <c r="G537" s="104" t="inlineStr">
        <is>
          <t>01/2026</t>
        </is>
      </c>
      <c r="H537" s="104" t="inlineStr">
        <is>
          <t>CODI</t>
        </is>
      </c>
    </row>
    <row r="538" ht="15" customHeight="1" s="86">
      <c r="B538" s="101" t="n">
        <v>46023</v>
      </c>
      <c r="C538" s="102" t="inlineStr">
        <is>
          <t>Juros de Empréstimos - 01/2026</t>
        </is>
      </c>
      <c r="D538" s="102" t="inlineStr">
        <is>
          <t>Saída</t>
        </is>
      </c>
      <c r="E538" s="102" t="inlineStr">
        <is>
          <t>Juros de Empréstimos</t>
        </is>
      </c>
      <c r="F538" s="103" t="n">
        <v>7750</v>
      </c>
      <c r="G538" s="104" t="inlineStr">
        <is>
          <t>01/2026</t>
        </is>
      </c>
      <c r="H538" s="104" t="inlineStr">
        <is>
          <t>CODI</t>
        </is>
      </c>
    </row>
    <row r="539" ht="15" customHeight="1" s="86">
      <c r="B539" s="101" t="n">
        <v>46023</v>
      </c>
      <c r="C539" s="102" t="inlineStr">
        <is>
          <t>Material de Copa e Cozinha - 01/2026</t>
        </is>
      </c>
      <c r="D539" s="102" t="inlineStr">
        <is>
          <t>Saída</t>
        </is>
      </c>
      <c r="E539" s="102" t="inlineStr">
        <is>
          <t>Material de Copa e Cozinha</t>
        </is>
      </c>
      <c r="F539" s="103" t="n">
        <v>243</v>
      </c>
      <c r="G539" s="104" t="inlineStr">
        <is>
          <t>01/2026</t>
        </is>
      </c>
      <c r="H539" s="104" t="inlineStr">
        <is>
          <t>CODI</t>
        </is>
      </c>
    </row>
    <row r="540" ht="15" customHeight="1" s="86">
      <c r="B540" s="101" t="n">
        <v>46023</v>
      </c>
      <c r="C540" s="102" t="inlineStr">
        <is>
          <t>Patrocínio - 01/2026</t>
        </is>
      </c>
      <c r="D540" s="102" t="inlineStr">
        <is>
          <t>Saída</t>
        </is>
      </c>
      <c r="E540" s="102" t="inlineStr">
        <is>
          <t>Patrocínio</t>
        </is>
      </c>
      <c r="F540" s="103" t="n">
        <v>882.21</v>
      </c>
      <c r="G540" s="104" t="inlineStr">
        <is>
          <t>01/2026</t>
        </is>
      </c>
      <c r="H540" s="104" t="inlineStr">
        <is>
          <t>CODI</t>
        </is>
      </c>
    </row>
    <row r="541" ht="15" customHeight="1" s="86">
      <c r="B541" s="101" t="n">
        <v>46023</v>
      </c>
      <c r="C541" s="102" t="inlineStr">
        <is>
          <t>Advogados - Honorários - 01/2026</t>
        </is>
      </c>
      <c r="D541" s="102" t="inlineStr">
        <is>
          <t>Saída</t>
        </is>
      </c>
      <c r="E541" s="102" t="inlineStr">
        <is>
          <t>Advogados - Honorários</t>
        </is>
      </c>
      <c r="F541" s="103" t="n">
        <v>2500</v>
      </c>
      <c r="G541" s="104" t="inlineStr">
        <is>
          <t>01/2026</t>
        </is>
      </c>
      <c r="H541" s="104" t="inlineStr">
        <is>
          <t>CODI</t>
        </is>
      </c>
    </row>
    <row r="542" ht="15" customHeight="1" s="86">
      <c r="B542" s="101" t="n">
        <v>46054</v>
      </c>
      <c r="C542" s="102" t="inlineStr">
        <is>
          <t>Vendas - 02/2026</t>
        </is>
      </c>
      <c r="D542" s="102" t="inlineStr">
        <is>
          <t>Entrada</t>
        </is>
      </c>
      <c r="E542" s="102" t="inlineStr">
        <is>
          <t>Vendas</t>
        </is>
      </c>
      <c r="F542" s="103" t="n">
        <v>427629.89</v>
      </c>
      <c r="G542" s="104" t="inlineStr">
        <is>
          <t>02/2026</t>
        </is>
      </c>
      <c r="H542" s="104" t="inlineStr">
        <is>
          <t>CODI</t>
        </is>
      </c>
    </row>
    <row r="543" ht="15" customHeight="1" s="86">
      <c r="B543" s="101" t="n">
        <v>46054</v>
      </c>
      <c r="C543" s="102" t="inlineStr">
        <is>
          <t>Aluguéis e Condomínios - 02/2026</t>
        </is>
      </c>
      <c r="D543" s="102" t="inlineStr">
        <is>
          <t>Saída</t>
        </is>
      </c>
      <c r="E543" s="102" t="inlineStr">
        <is>
          <t>Aluguéis e Condomínios</t>
        </is>
      </c>
      <c r="F543" s="103" t="n">
        <v>8100</v>
      </c>
      <c r="G543" s="104" t="inlineStr">
        <is>
          <t>02/2026</t>
        </is>
      </c>
      <c r="H543" s="104" t="inlineStr">
        <is>
          <t>CODI</t>
        </is>
      </c>
    </row>
    <row r="544" ht="15" customHeight="1" s="86">
      <c r="B544" s="101" t="n">
        <v>46054</v>
      </c>
      <c r="C544" s="102" t="inlineStr">
        <is>
          <t>Aviamento - 02/2026</t>
        </is>
      </c>
      <c r="D544" s="102" t="inlineStr">
        <is>
          <t>Saída</t>
        </is>
      </c>
      <c r="E544" s="102" t="inlineStr">
        <is>
          <t>Aviamento</t>
        </is>
      </c>
      <c r="F544" s="103" t="n">
        <v>26834.84</v>
      </c>
      <c r="G544" s="104" t="inlineStr">
        <is>
          <t>02/2026</t>
        </is>
      </c>
      <c r="H544" s="104" t="inlineStr">
        <is>
          <t>CODI</t>
        </is>
      </c>
    </row>
    <row r="545" ht="15" customHeight="1" s="86">
      <c r="B545" s="101" t="n">
        <v>46054</v>
      </c>
      <c r="C545" s="102" t="inlineStr">
        <is>
          <t>Despesa não Identificada - 02/2026</t>
        </is>
      </c>
      <c r="D545" s="102" t="inlineStr">
        <is>
          <t>Saída</t>
        </is>
      </c>
      <c r="E545" s="102" t="inlineStr">
        <is>
          <t>Despesa não Identificada</t>
        </is>
      </c>
      <c r="F545" s="103" t="n">
        <v>11340.61</v>
      </c>
      <c r="G545" s="104" t="inlineStr">
        <is>
          <t>02/2026</t>
        </is>
      </c>
      <c r="H545" s="104" t="inlineStr">
        <is>
          <t>CODI</t>
        </is>
      </c>
    </row>
    <row r="546" ht="15" customHeight="1" s="86">
      <c r="B546" s="101" t="n">
        <v>46054</v>
      </c>
      <c r="C546" s="102" t="inlineStr">
        <is>
          <t>Energia Elétrica - 02/2026</t>
        </is>
      </c>
      <c r="D546" s="102" t="inlineStr">
        <is>
          <t>Saída</t>
        </is>
      </c>
      <c r="E546" s="102" t="inlineStr">
        <is>
          <t>Energia Elétrica</t>
        </is>
      </c>
      <c r="F546" s="103" t="n">
        <v>130</v>
      </c>
      <c r="G546" s="104" t="inlineStr">
        <is>
          <t>02/2026</t>
        </is>
      </c>
      <c r="H546" s="104" t="inlineStr">
        <is>
          <t>CODI</t>
        </is>
      </c>
    </row>
    <row r="547" ht="15" customHeight="1" s="86">
      <c r="B547" s="101" t="n">
        <v>46054</v>
      </c>
      <c r="C547" s="102" t="inlineStr">
        <is>
          <t>Etiquetas - 02/2026</t>
        </is>
      </c>
      <c r="D547" s="102" t="inlineStr">
        <is>
          <t>Saída</t>
        </is>
      </c>
      <c r="E547" s="102" t="inlineStr">
        <is>
          <t>Etiquetas</t>
        </is>
      </c>
      <c r="F547" s="103" t="n">
        <v>259</v>
      </c>
      <c r="G547" s="104" t="inlineStr">
        <is>
          <t>02/2026</t>
        </is>
      </c>
      <c r="H547" s="104" t="inlineStr">
        <is>
          <t>CODI</t>
        </is>
      </c>
    </row>
    <row r="548" ht="15" customHeight="1" s="86">
      <c r="B548" s="101" t="n">
        <v>46054</v>
      </c>
      <c r="C548" s="102" t="inlineStr">
        <is>
          <t>Facção - 02/2026</t>
        </is>
      </c>
      <c r="D548" s="102" t="inlineStr">
        <is>
          <t>Saída</t>
        </is>
      </c>
      <c r="E548" s="102" t="inlineStr">
        <is>
          <t>Facção</t>
        </is>
      </c>
      <c r="F548" s="103" t="n">
        <v>39737</v>
      </c>
      <c r="G548" s="104" t="inlineStr">
        <is>
          <t>02/2026</t>
        </is>
      </c>
      <c r="H548" s="104" t="inlineStr">
        <is>
          <t>CODI</t>
        </is>
      </c>
    </row>
    <row r="549" ht="15" customHeight="1" s="86">
      <c r="B549" s="101" t="n">
        <v>46054</v>
      </c>
      <c r="C549" s="102" t="inlineStr">
        <is>
          <t>Frete e Transporte de Mercadorias - 02/2026</t>
        </is>
      </c>
      <c r="D549" s="102" t="inlineStr">
        <is>
          <t>Saída</t>
        </is>
      </c>
      <c r="E549" s="102" t="inlineStr">
        <is>
          <t>Frete e Transporte de Mercadorias</t>
        </is>
      </c>
      <c r="F549" s="103" t="n">
        <v>3493.33</v>
      </c>
      <c r="G549" s="104" t="inlineStr">
        <is>
          <t>02/2026</t>
        </is>
      </c>
      <c r="H549" s="104" t="inlineStr">
        <is>
          <t>CODI</t>
        </is>
      </c>
    </row>
    <row r="550" ht="15" customHeight="1" s="86">
      <c r="B550" s="101" t="n">
        <v>46054</v>
      </c>
      <c r="C550" s="102" t="inlineStr">
        <is>
          <t>Férias - 02/2026</t>
        </is>
      </c>
      <c r="D550" s="102" t="inlineStr">
        <is>
          <t>Saída</t>
        </is>
      </c>
      <c r="E550" s="102" t="inlineStr">
        <is>
          <t>Férias</t>
        </is>
      </c>
      <c r="F550" s="103" t="n">
        <v>12475.68</v>
      </c>
      <c r="G550" s="104" t="inlineStr">
        <is>
          <t>02/2026</t>
        </is>
      </c>
      <c r="H550" s="104" t="inlineStr">
        <is>
          <t>CODI</t>
        </is>
      </c>
    </row>
    <row r="551" ht="15" customHeight="1" s="86">
      <c r="B551" s="101" t="n">
        <v>46054</v>
      </c>
      <c r="C551" s="102" t="inlineStr">
        <is>
          <t>Honorários Contábeis (Contabilidade) - 02/2026</t>
        </is>
      </c>
      <c r="D551" s="102" t="inlineStr">
        <is>
          <t>Saída</t>
        </is>
      </c>
      <c r="E551" s="102" t="inlineStr">
        <is>
          <t>Honorários Contábeis (Contabilidade)</t>
        </is>
      </c>
      <c r="F551" s="103" t="n">
        <v>2200</v>
      </c>
      <c r="G551" s="104" t="inlineStr">
        <is>
          <t>02/2026</t>
        </is>
      </c>
      <c r="H551" s="104" t="inlineStr">
        <is>
          <t>CODI</t>
        </is>
      </c>
    </row>
    <row r="552" ht="15" customHeight="1" s="86">
      <c r="B552" s="101" t="n">
        <v>46054</v>
      </c>
      <c r="C552" s="102" t="inlineStr">
        <is>
          <t>Lavanderia - 02/2026</t>
        </is>
      </c>
      <c r="D552" s="102" t="inlineStr">
        <is>
          <t>Saída</t>
        </is>
      </c>
      <c r="E552" s="102" t="inlineStr">
        <is>
          <t>Lavanderia</t>
        </is>
      </c>
      <c r="F552" s="103" t="n">
        <v>31873.5</v>
      </c>
      <c r="G552" s="104" t="inlineStr">
        <is>
          <t>02/2026</t>
        </is>
      </c>
      <c r="H552" s="104" t="inlineStr">
        <is>
          <t>CODI</t>
        </is>
      </c>
    </row>
    <row r="553" ht="15" customHeight="1" s="86">
      <c r="B553" s="101" t="n">
        <v>46054</v>
      </c>
      <c r="C553" s="102" t="inlineStr">
        <is>
          <t>Outros Insumos - 02/2026</t>
        </is>
      </c>
      <c r="D553" s="102" t="inlineStr">
        <is>
          <t>Saída</t>
        </is>
      </c>
      <c r="E553" s="102" t="inlineStr">
        <is>
          <t>Outros Insumos</t>
        </is>
      </c>
      <c r="F553" s="103" t="n">
        <v>491.98</v>
      </c>
      <c r="G553" s="104" t="inlineStr">
        <is>
          <t>02/2026</t>
        </is>
      </c>
      <c r="H553" s="104" t="inlineStr">
        <is>
          <t>CODI</t>
        </is>
      </c>
    </row>
    <row r="554" ht="15" customHeight="1" s="86">
      <c r="B554" s="101" t="n">
        <v>46054</v>
      </c>
      <c r="C554" s="102" t="inlineStr">
        <is>
          <t>Publicidade - 02/2026</t>
        </is>
      </c>
      <c r="D554" s="102" t="inlineStr">
        <is>
          <t>Saída</t>
        </is>
      </c>
      <c r="E554" s="102" t="inlineStr">
        <is>
          <t>Publicidade</t>
        </is>
      </c>
      <c r="F554" s="103" t="n">
        <v>560</v>
      </c>
      <c r="G554" s="104" t="inlineStr">
        <is>
          <t>02/2026</t>
        </is>
      </c>
      <c r="H554" s="104" t="inlineStr">
        <is>
          <t>CODI</t>
        </is>
      </c>
    </row>
    <row r="555" ht="15" customHeight="1" s="86">
      <c r="B555" s="101" t="n">
        <v>46054</v>
      </c>
      <c r="C555" s="102" t="inlineStr">
        <is>
          <t>Salário e Ordenados - 02/2026</t>
        </is>
      </c>
      <c r="D555" s="102" t="inlineStr">
        <is>
          <t>Saída</t>
        </is>
      </c>
      <c r="E555" s="102" t="inlineStr">
        <is>
          <t>Salário e Ordenados</t>
        </is>
      </c>
      <c r="F555" s="103" t="n">
        <v>22924.7</v>
      </c>
      <c r="G555" s="104" t="inlineStr">
        <is>
          <t>02/2026</t>
        </is>
      </c>
      <c r="H555" s="104" t="inlineStr">
        <is>
          <t>CODI</t>
        </is>
      </c>
    </row>
    <row r="556" ht="15" customHeight="1" s="86">
      <c r="B556" s="101" t="n">
        <v>46054</v>
      </c>
      <c r="C556" s="102" t="inlineStr">
        <is>
          <t>Segurança e Monitoramento - 02/2026</t>
        </is>
      </c>
      <c r="D556" s="102" t="inlineStr">
        <is>
          <t>Saída</t>
        </is>
      </c>
      <c r="E556" s="102" t="inlineStr">
        <is>
          <t>Segurança e Monitoramento</t>
        </is>
      </c>
      <c r="F556" s="103" t="n">
        <v>510.74</v>
      </c>
      <c r="G556" s="104" t="inlineStr">
        <is>
          <t>02/2026</t>
        </is>
      </c>
      <c r="H556" s="104" t="inlineStr">
        <is>
          <t>CODI</t>
        </is>
      </c>
    </row>
    <row r="557" ht="15" customHeight="1" s="86">
      <c r="B557" s="101" t="n">
        <v>46054</v>
      </c>
      <c r="C557" s="102" t="inlineStr">
        <is>
          <t>Seguros - 02/2026</t>
        </is>
      </c>
      <c r="D557" s="102" t="inlineStr">
        <is>
          <t>Saída</t>
        </is>
      </c>
      <c r="E557" s="102" t="inlineStr">
        <is>
          <t>Seguros</t>
        </is>
      </c>
      <c r="F557" s="103" t="n">
        <v>1195.15</v>
      </c>
      <c r="G557" s="104" t="inlineStr">
        <is>
          <t>02/2026</t>
        </is>
      </c>
      <c r="H557" s="104" t="inlineStr">
        <is>
          <t>CODI</t>
        </is>
      </c>
    </row>
    <row r="558" ht="15" customHeight="1" s="86">
      <c r="B558" s="101" t="n">
        <v>46054</v>
      </c>
      <c r="C558" s="102" t="inlineStr">
        <is>
          <t>Simples Nacional - 02/2026</t>
        </is>
      </c>
      <c r="D558" s="102" t="inlineStr">
        <is>
          <t>Saída</t>
        </is>
      </c>
      <c r="E558" s="102" t="inlineStr">
        <is>
          <t>Simples Nacional</t>
        </is>
      </c>
      <c r="F558" s="103" t="n">
        <v>1284.42</v>
      </c>
      <c r="G558" s="104" t="inlineStr">
        <is>
          <t>02/2026</t>
        </is>
      </c>
      <c r="H558" s="104" t="inlineStr">
        <is>
          <t>CODI</t>
        </is>
      </c>
    </row>
    <row r="559" ht="15" customHeight="1" s="86">
      <c r="B559" s="101" t="n">
        <v>46054</v>
      </c>
      <c r="C559" s="102" t="inlineStr">
        <is>
          <t>Tecidos - 02/2026</t>
        </is>
      </c>
      <c r="D559" s="102" t="inlineStr">
        <is>
          <t>Saída</t>
        </is>
      </c>
      <c r="E559" s="102" t="inlineStr">
        <is>
          <t>Tecidos</t>
        </is>
      </c>
      <c r="F559" s="103" t="n">
        <v>42980.67</v>
      </c>
      <c r="G559" s="104" t="inlineStr">
        <is>
          <t>02/2026</t>
        </is>
      </c>
      <c r="H559" s="104" t="inlineStr">
        <is>
          <t>CODI</t>
        </is>
      </c>
    </row>
    <row r="560" ht="15" customHeight="1" s="86">
      <c r="B560" s="101" t="n">
        <v>46054</v>
      </c>
      <c r="C560" s="102" t="inlineStr">
        <is>
          <t>Telefonia Fixa e Internet - 02/2026</t>
        </is>
      </c>
      <c r="D560" s="102" t="inlineStr">
        <is>
          <t>Saída</t>
        </is>
      </c>
      <c r="E560" s="102" t="inlineStr">
        <is>
          <t>Telefonia Fixa e Internet</t>
        </is>
      </c>
      <c r="F560" s="103" t="n">
        <v>130</v>
      </c>
      <c r="G560" s="104" t="inlineStr">
        <is>
          <t>02/2026</t>
        </is>
      </c>
      <c r="H560" s="104" t="inlineStr">
        <is>
          <t>CODI</t>
        </is>
      </c>
    </row>
    <row r="561" ht="15" customHeight="1" s="86">
      <c r="B561" s="101" t="n">
        <v>46054</v>
      </c>
      <c r="C561" s="102" t="inlineStr">
        <is>
          <t>Travete - 02/2026</t>
        </is>
      </c>
      <c r="D561" s="102" t="inlineStr">
        <is>
          <t>Saída</t>
        </is>
      </c>
      <c r="E561" s="102" t="inlineStr">
        <is>
          <t>Travete</t>
        </is>
      </c>
      <c r="F561" s="103" t="n">
        <v>4229</v>
      </c>
      <c r="G561" s="104" t="inlineStr">
        <is>
          <t>02/2026</t>
        </is>
      </c>
      <c r="H561" s="104" t="inlineStr">
        <is>
          <t>CODI</t>
        </is>
      </c>
    </row>
    <row r="562" ht="15" customHeight="1" s="86">
      <c r="B562" s="101" t="n">
        <v>46054</v>
      </c>
      <c r="C562" s="102" t="inlineStr">
        <is>
          <t>Vale Transporte - 02/2026</t>
        </is>
      </c>
      <c r="D562" s="102" t="inlineStr">
        <is>
          <t>Saída</t>
        </is>
      </c>
      <c r="E562" s="102" t="inlineStr">
        <is>
          <t>Vale Transporte</t>
        </is>
      </c>
      <c r="F562" s="103" t="n">
        <v>1580</v>
      </c>
      <c r="G562" s="104" t="inlineStr">
        <is>
          <t>02/2026</t>
        </is>
      </c>
      <c r="H562" s="104" t="inlineStr">
        <is>
          <t>CODI</t>
        </is>
      </c>
    </row>
    <row r="563" ht="15" customHeight="1" s="86">
      <c r="B563" s="101" t="n">
        <v>46054</v>
      </c>
      <c r="C563" s="102" t="inlineStr">
        <is>
          <t>Vales e Adiantamentos - 02/2026</t>
        </is>
      </c>
      <c r="D563" s="102" t="inlineStr">
        <is>
          <t>Saída</t>
        </is>
      </c>
      <c r="E563" s="102" t="inlineStr">
        <is>
          <t>Vales e Adiantamentos</t>
        </is>
      </c>
      <c r="F563" s="103" t="n">
        <v>3250.02</v>
      </c>
      <c r="G563" s="104" t="inlineStr">
        <is>
          <t>02/2026</t>
        </is>
      </c>
      <c r="H563" s="104" t="inlineStr">
        <is>
          <t>CODI</t>
        </is>
      </c>
    </row>
    <row r="564" ht="15" customHeight="1" s="86">
      <c r="B564" s="101" t="n">
        <v>46054</v>
      </c>
      <c r="C564" s="102" t="inlineStr">
        <is>
          <t>Web Site e Sistema ERP - 02/2026</t>
        </is>
      </c>
      <c r="D564" s="102" t="inlineStr">
        <is>
          <t>Saída</t>
        </is>
      </c>
      <c r="E564" s="102" t="inlineStr">
        <is>
          <t>Web Site e Sistema ERP</t>
        </is>
      </c>
      <c r="F564" s="103" t="n">
        <v>978.02</v>
      </c>
      <c r="G564" s="104" t="inlineStr">
        <is>
          <t>02/2026</t>
        </is>
      </c>
      <c r="H564" s="104" t="inlineStr">
        <is>
          <t>CODI</t>
        </is>
      </c>
    </row>
    <row r="565" ht="15" customHeight="1" s="86">
      <c r="B565" s="101" t="n">
        <v>46054</v>
      </c>
      <c r="C565" s="102" t="inlineStr">
        <is>
          <t>Água - 02/2026</t>
        </is>
      </c>
      <c r="D565" s="102" t="inlineStr">
        <is>
          <t>Saída</t>
        </is>
      </c>
      <c r="E565" s="102" t="inlineStr">
        <is>
          <t>Água</t>
        </is>
      </c>
      <c r="F565" s="103" t="n">
        <v>280</v>
      </c>
      <c r="G565" s="104" t="inlineStr">
        <is>
          <t>02/2026</t>
        </is>
      </c>
      <c r="H565" s="104" t="inlineStr">
        <is>
          <t>CODI</t>
        </is>
      </c>
    </row>
    <row r="566" ht="15" customHeight="1" s="86">
      <c r="B566" s="101" t="n">
        <v>46054</v>
      </c>
      <c r="C566" s="102" t="inlineStr">
        <is>
          <t>Acabamento Externo - 02/2026</t>
        </is>
      </c>
      <c r="D566" s="102" t="inlineStr">
        <is>
          <t>Saída</t>
        </is>
      </c>
      <c r="E566" s="102" t="inlineStr">
        <is>
          <t>Acabamento Externo</t>
        </is>
      </c>
      <c r="F566" s="103" t="n">
        <v>12920.2</v>
      </c>
      <c r="G566" s="104" t="inlineStr">
        <is>
          <t>02/2026</t>
        </is>
      </c>
      <c r="H566" s="104" t="inlineStr">
        <is>
          <t>CODI</t>
        </is>
      </c>
    </row>
    <row r="567" ht="15" customHeight="1" s="86">
      <c r="B567" s="101" t="n">
        <v>46054</v>
      </c>
      <c r="C567" s="102" t="inlineStr">
        <is>
          <t>Alimentação - 02/2026</t>
        </is>
      </c>
      <c r="D567" s="102" t="inlineStr">
        <is>
          <t>Saída</t>
        </is>
      </c>
      <c r="E567" s="102" t="inlineStr">
        <is>
          <t>Alimentação</t>
        </is>
      </c>
      <c r="F567" s="103" t="n">
        <v>8</v>
      </c>
      <c r="G567" s="104" t="inlineStr">
        <is>
          <t>02/2026</t>
        </is>
      </c>
      <c r="H567" s="104" t="inlineStr">
        <is>
          <t>CODI</t>
        </is>
      </c>
    </row>
    <row r="568" ht="15" customHeight="1" s="86">
      <c r="B568" s="101" t="n">
        <v>46054</v>
      </c>
      <c r="C568" s="102" t="inlineStr">
        <is>
          <t>Combustíveis - 02/2026</t>
        </is>
      </c>
      <c r="D568" s="102" t="inlineStr">
        <is>
          <t>Saída</t>
        </is>
      </c>
      <c r="E568" s="102" t="inlineStr">
        <is>
          <t>Combustíveis</t>
        </is>
      </c>
      <c r="F568" s="103" t="n">
        <v>1136.03</v>
      </c>
      <c r="G568" s="104" t="inlineStr">
        <is>
          <t>02/2026</t>
        </is>
      </c>
      <c r="H568" s="104" t="inlineStr">
        <is>
          <t>CODI</t>
        </is>
      </c>
    </row>
    <row r="569" ht="15" customHeight="1" s="86">
      <c r="B569" s="101" t="n">
        <v>46054</v>
      </c>
      <c r="C569" s="102" t="inlineStr">
        <is>
          <t>Criação de Modelos - 02/2026</t>
        </is>
      </c>
      <c r="D569" s="102" t="inlineStr">
        <is>
          <t>Saída</t>
        </is>
      </c>
      <c r="E569" s="102" t="inlineStr">
        <is>
          <t>Criação de Modelos</t>
        </is>
      </c>
      <c r="F569" s="103" t="n">
        <v>2740</v>
      </c>
      <c r="G569" s="104" t="inlineStr">
        <is>
          <t>02/2026</t>
        </is>
      </c>
      <c r="H569" s="104" t="inlineStr">
        <is>
          <t>CODI</t>
        </is>
      </c>
    </row>
    <row r="570" ht="15" customHeight="1" s="86">
      <c r="B570" s="101" t="n">
        <v>46054</v>
      </c>
      <c r="C570" s="102" t="inlineStr">
        <is>
          <t>Darf - 02/2026</t>
        </is>
      </c>
      <c r="D570" s="102" t="inlineStr">
        <is>
          <t>Saída</t>
        </is>
      </c>
      <c r="E570" s="102" t="inlineStr">
        <is>
          <t>Darf</t>
        </is>
      </c>
      <c r="F570" s="103" t="n">
        <v>8591.51</v>
      </c>
      <c r="G570" s="104" t="inlineStr">
        <is>
          <t>02/2026</t>
        </is>
      </c>
      <c r="H570" s="104" t="inlineStr">
        <is>
          <t>CODI</t>
        </is>
      </c>
    </row>
    <row r="571" ht="15" customHeight="1" s="86">
      <c r="B571" s="101" t="n">
        <v>46054</v>
      </c>
      <c r="C571" s="102" t="inlineStr">
        <is>
          <t>Embalagens - 02/2026</t>
        </is>
      </c>
      <c r="D571" s="102" t="inlineStr">
        <is>
          <t>Saída</t>
        </is>
      </c>
      <c r="E571" s="102" t="inlineStr">
        <is>
          <t>Embalagens</t>
        </is>
      </c>
      <c r="F571" s="103" t="n">
        <v>145.67</v>
      </c>
      <c r="G571" s="104" t="inlineStr">
        <is>
          <t>02/2026</t>
        </is>
      </c>
      <c r="H571" s="104" t="inlineStr">
        <is>
          <t>CODI</t>
        </is>
      </c>
    </row>
    <row r="572" ht="15" customHeight="1" s="86">
      <c r="B572" s="101" t="n">
        <v>46054</v>
      </c>
      <c r="C572" s="102" t="inlineStr">
        <is>
          <t>Exame Adminissional/Demissional - 02/2026</t>
        </is>
      </c>
      <c r="D572" s="102" t="inlineStr">
        <is>
          <t>Saída</t>
        </is>
      </c>
      <c r="E572" s="102" t="inlineStr">
        <is>
          <t>Exame Adminissional/Demissional</t>
        </is>
      </c>
      <c r="F572" s="103" t="n">
        <v>40</v>
      </c>
      <c r="G572" s="104" t="inlineStr">
        <is>
          <t>02/2026</t>
        </is>
      </c>
      <c r="H572" s="104" t="inlineStr">
        <is>
          <t>CODI</t>
        </is>
      </c>
    </row>
    <row r="573" ht="15" customHeight="1" s="86">
      <c r="B573" s="101" t="n">
        <v>46054</v>
      </c>
      <c r="C573" s="102" t="inlineStr">
        <is>
          <t>Comissão de vendedores - 02/2026</t>
        </is>
      </c>
      <c r="D573" s="102" t="inlineStr">
        <is>
          <t>Saída</t>
        </is>
      </c>
      <c r="E573" s="102" t="inlineStr">
        <is>
          <t>Comissão de vendedores</t>
        </is>
      </c>
      <c r="F573" s="103" t="n">
        <v>5698.96</v>
      </c>
      <c r="G573" s="104" t="inlineStr">
        <is>
          <t>02/2026</t>
        </is>
      </c>
      <c r="H573" s="104" t="inlineStr">
        <is>
          <t>CODI</t>
        </is>
      </c>
    </row>
    <row r="574" ht="15" customHeight="1" s="86">
      <c r="B574" s="101" t="n">
        <v>46054</v>
      </c>
      <c r="C574" s="102" t="inlineStr">
        <is>
          <t>Consulta de Crédito Cliente - 02/2026</t>
        </is>
      </c>
      <c r="D574" s="102" t="inlineStr">
        <is>
          <t>Saída</t>
        </is>
      </c>
      <c r="E574" s="102" t="inlineStr">
        <is>
          <t>Consulta de Crédito Cliente</t>
        </is>
      </c>
      <c r="F574" s="103" t="n">
        <v>327.05</v>
      </c>
      <c r="G574" s="104" t="inlineStr">
        <is>
          <t>02/2026</t>
        </is>
      </c>
      <c r="H574" s="104" t="inlineStr">
        <is>
          <t>CODI</t>
        </is>
      </c>
    </row>
    <row r="575" ht="15" customHeight="1" s="86">
      <c r="B575" s="101" t="n">
        <v>46054</v>
      </c>
      <c r="C575" s="102" t="inlineStr">
        <is>
          <t>Manutenção de Veiculos e Estacionamento - 02/2026</t>
        </is>
      </c>
      <c r="D575" s="102" t="inlineStr">
        <is>
          <t>Saída</t>
        </is>
      </c>
      <c r="E575" s="102" t="inlineStr">
        <is>
          <t>Manutenção de Veiculos e Estacionamento</t>
        </is>
      </c>
      <c r="F575" s="103" t="n">
        <v>150</v>
      </c>
      <c r="G575" s="104" t="inlineStr">
        <is>
          <t>02/2026</t>
        </is>
      </c>
      <c r="H575" s="104" t="inlineStr">
        <is>
          <t>CODI</t>
        </is>
      </c>
    </row>
    <row r="576" ht="15" customHeight="1" s="86">
      <c r="B576" s="101" t="n">
        <v>46054</v>
      </c>
      <c r="C576" s="102" t="inlineStr">
        <is>
          <t>Viagens e estadas - 02/2026</t>
        </is>
      </c>
      <c r="D576" s="102" t="inlineStr">
        <is>
          <t>Saída</t>
        </is>
      </c>
      <c r="E576" s="102" t="inlineStr">
        <is>
          <t>Viagens e estadas</t>
        </is>
      </c>
      <c r="F576" s="103" t="n">
        <v>1800</v>
      </c>
      <c r="G576" s="104" t="inlineStr">
        <is>
          <t>02/2026</t>
        </is>
      </c>
      <c r="H576" s="104" t="inlineStr">
        <is>
          <t>CODI</t>
        </is>
      </c>
    </row>
    <row r="577" ht="15" customHeight="1" s="86">
      <c r="B577" s="101" t="n">
        <v>46054</v>
      </c>
      <c r="C577" s="102" t="inlineStr">
        <is>
          <t>Comissão de Assessores - 02/2026</t>
        </is>
      </c>
      <c r="D577" s="102" t="inlineStr">
        <is>
          <t>Saída</t>
        </is>
      </c>
      <c r="E577" s="102" t="inlineStr">
        <is>
          <t>Comissão de Assessores</t>
        </is>
      </c>
      <c r="F577" s="103" t="n">
        <v>82.5</v>
      </c>
      <c r="G577" s="104" t="inlineStr">
        <is>
          <t>02/2026</t>
        </is>
      </c>
      <c r="H577" s="104" t="inlineStr">
        <is>
          <t>CODI</t>
        </is>
      </c>
    </row>
    <row r="578" ht="15" customHeight="1" s="86">
      <c r="B578" s="101" t="n">
        <v>46054</v>
      </c>
      <c r="C578" s="102" t="inlineStr">
        <is>
          <t>Fgts, Gps e Pis - 02/2026</t>
        </is>
      </c>
      <c r="D578" s="102" t="inlineStr">
        <is>
          <t>Saída</t>
        </is>
      </c>
      <c r="E578" s="102" t="inlineStr">
        <is>
          <t>Fgts, Gps e Pis</t>
        </is>
      </c>
      <c r="F578" s="103" t="n">
        <v>4455.12</v>
      </c>
      <c r="G578" s="104" t="inlineStr">
        <is>
          <t>02/2026</t>
        </is>
      </c>
      <c r="H578" s="104" t="inlineStr">
        <is>
          <t>CODI</t>
        </is>
      </c>
    </row>
    <row r="579" ht="15" customHeight="1" s="86">
      <c r="B579" s="101" t="n">
        <v>46054</v>
      </c>
      <c r="C579" s="102" t="inlineStr">
        <is>
          <t>Outras Despesas - 02/2026</t>
        </is>
      </c>
      <c r="D579" s="102" t="inlineStr">
        <is>
          <t>Saída</t>
        </is>
      </c>
      <c r="E579" s="102" t="inlineStr">
        <is>
          <t>Outras Despesas</t>
        </is>
      </c>
      <c r="F579" s="103" t="n">
        <v>500</v>
      </c>
      <c r="G579" s="104" t="inlineStr">
        <is>
          <t>02/2026</t>
        </is>
      </c>
      <c r="H579" s="104" t="inlineStr">
        <is>
          <t>CODI</t>
        </is>
      </c>
    </row>
    <row r="580" ht="15" customHeight="1" s="86">
      <c r="B580" s="101" t="n">
        <v>46054</v>
      </c>
      <c r="C580" s="102" t="inlineStr">
        <is>
          <t>Produção Externa - 02/2026</t>
        </is>
      </c>
      <c r="D580" s="102" t="inlineStr">
        <is>
          <t>Saída</t>
        </is>
      </c>
      <c r="E580" s="102" t="inlineStr">
        <is>
          <t>Produção Externa</t>
        </is>
      </c>
      <c r="F580" s="103" t="n">
        <v>18960</v>
      </c>
      <c r="G580" s="104" t="inlineStr">
        <is>
          <t>02/2026</t>
        </is>
      </c>
      <c r="H580" s="104" t="inlineStr">
        <is>
          <t>CODI</t>
        </is>
      </c>
    </row>
    <row r="581" ht="15" customHeight="1" s="86">
      <c r="B581" s="101" t="n">
        <v>46054</v>
      </c>
      <c r="C581" s="102" t="inlineStr">
        <is>
          <t>Bordado Manual - 02/2026</t>
        </is>
      </c>
      <c r="D581" s="102" t="inlineStr">
        <is>
          <t>Saída</t>
        </is>
      </c>
      <c r="E581" s="102" t="inlineStr">
        <is>
          <t>Bordado Manual</t>
        </is>
      </c>
      <c r="F581" s="103" t="n">
        <v>1120</v>
      </c>
      <c r="G581" s="104" t="inlineStr">
        <is>
          <t>02/2026</t>
        </is>
      </c>
      <c r="H581" s="104" t="inlineStr">
        <is>
          <t>CODI</t>
        </is>
      </c>
    </row>
    <row r="582" ht="15" customHeight="1" s="86">
      <c r="B582" s="101" t="n">
        <v>46054</v>
      </c>
      <c r="C582" s="102" t="inlineStr">
        <is>
          <t>Juros de Empréstimos - 02/2026</t>
        </is>
      </c>
      <c r="D582" s="102" t="inlineStr">
        <is>
          <t>Saída</t>
        </is>
      </c>
      <c r="E582" s="102" t="inlineStr">
        <is>
          <t>Juros de Empréstimos</t>
        </is>
      </c>
      <c r="F582" s="103" t="n">
        <v>7750</v>
      </c>
      <c r="G582" s="104" t="inlineStr">
        <is>
          <t>02/2026</t>
        </is>
      </c>
      <c r="H582" s="104" t="inlineStr">
        <is>
          <t>CODI</t>
        </is>
      </c>
    </row>
    <row r="583" ht="15" customHeight="1" s="86">
      <c r="B583" s="101" t="n">
        <v>46054</v>
      </c>
      <c r="C583" s="102" t="inlineStr">
        <is>
          <t>Outros Tributos - 02/2026</t>
        </is>
      </c>
      <c r="D583" s="102" t="inlineStr">
        <is>
          <t>Saída</t>
        </is>
      </c>
      <c r="E583" s="102" t="inlineStr">
        <is>
          <t>Outros Tributos</t>
        </is>
      </c>
      <c r="F583" s="103" t="n">
        <v>517.08</v>
      </c>
      <c r="G583" s="104" t="inlineStr">
        <is>
          <t>02/2026</t>
        </is>
      </c>
      <c r="H583" s="104" t="inlineStr">
        <is>
          <t>CODI</t>
        </is>
      </c>
    </row>
    <row r="584" ht="15" customHeight="1" s="86">
      <c r="B584" s="101" t="n">
        <v>46054</v>
      </c>
      <c r="C584" s="102" t="inlineStr">
        <is>
          <t>Advogados - Honorários - 02/2026</t>
        </is>
      </c>
      <c r="D584" s="102" t="inlineStr">
        <is>
          <t>Saída</t>
        </is>
      </c>
      <c r="E584" s="102" t="inlineStr">
        <is>
          <t>Advogados - Honorários</t>
        </is>
      </c>
      <c r="F584" s="103" t="n">
        <v>2500</v>
      </c>
      <c r="G584" s="104" t="inlineStr">
        <is>
          <t>02/2026</t>
        </is>
      </c>
      <c r="H584" s="104" t="inlineStr">
        <is>
          <t>CODI</t>
        </is>
      </c>
    </row>
    <row r="585" ht="15" customHeight="1" s="86">
      <c r="B585" s="101" t="n">
        <v>46054</v>
      </c>
      <c r="C585" s="102" t="inlineStr">
        <is>
          <t>Consórcio - 02/2026</t>
        </is>
      </c>
      <c r="D585" s="102" t="inlineStr">
        <is>
          <t>Saída</t>
        </is>
      </c>
      <c r="E585" s="102" t="inlineStr">
        <is>
          <t>Consórcio</t>
        </is>
      </c>
      <c r="F585" s="103" t="n">
        <v>3985.34</v>
      </c>
      <c r="G585" s="104" t="inlineStr">
        <is>
          <t>02/2026</t>
        </is>
      </c>
      <c r="H585" s="104" t="inlineStr">
        <is>
          <t>CODI</t>
        </is>
      </c>
    </row>
    <row r="586" ht="15" customHeight="1" s="86">
      <c r="B586" s="101" t="n">
        <v>46054</v>
      </c>
      <c r="C586" s="102" t="inlineStr">
        <is>
          <t>Tráfego/Social Mídia - 02/2026</t>
        </is>
      </c>
      <c r="D586" s="102" t="inlineStr">
        <is>
          <t>Saída</t>
        </is>
      </c>
      <c r="E586" s="102" t="inlineStr">
        <is>
          <t>Tráfego/Social Mídia</t>
        </is>
      </c>
      <c r="F586" s="103" t="n">
        <v>989.17</v>
      </c>
      <c r="G586" s="104" t="inlineStr">
        <is>
          <t>02/2026</t>
        </is>
      </c>
      <c r="H586" s="104" t="inlineStr">
        <is>
          <t>CODI</t>
        </is>
      </c>
    </row>
    <row r="587" ht="15" customHeight="1" s="86">
      <c r="B587" s="101" t="n">
        <v>46082</v>
      </c>
      <c r="C587" s="102" t="inlineStr">
        <is>
          <t>Vendas - 03/2026</t>
        </is>
      </c>
      <c r="D587" s="102" t="inlineStr">
        <is>
          <t>Entrada</t>
        </is>
      </c>
      <c r="E587" s="102" t="inlineStr">
        <is>
          <t>Vendas</t>
        </is>
      </c>
      <c r="F587" s="103" t="n">
        <v>370421.41</v>
      </c>
      <c r="G587" s="104" t="inlineStr">
        <is>
          <t>03/2026</t>
        </is>
      </c>
      <c r="H587" s="104" t="inlineStr">
        <is>
          <t>CODI</t>
        </is>
      </c>
    </row>
    <row r="588" ht="15" customHeight="1" s="86">
      <c r="B588" s="101" t="n">
        <v>46082</v>
      </c>
      <c r="C588" s="102" t="inlineStr">
        <is>
          <t>Aluguéis e Condomínios - 03/2026</t>
        </is>
      </c>
      <c r="D588" s="102" t="inlineStr">
        <is>
          <t>Saída</t>
        </is>
      </c>
      <c r="E588" s="102" t="inlineStr">
        <is>
          <t>Aluguéis e Condomínios</t>
        </is>
      </c>
      <c r="F588" s="103" t="n">
        <v>8100</v>
      </c>
      <c r="G588" s="104" t="inlineStr">
        <is>
          <t>03/2026</t>
        </is>
      </c>
      <c r="H588" s="104" t="inlineStr">
        <is>
          <t>CODI</t>
        </is>
      </c>
    </row>
    <row r="589" ht="15" customHeight="1" s="86">
      <c r="B589" s="101" t="n">
        <v>46082</v>
      </c>
      <c r="C589" s="102" t="inlineStr">
        <is>
          <t>Aviamento - 03/2026</t>
        </is>
      </c>
      <c r="D589" s="102" t="inlineStr">
        <is>
          <t>Saída</t>
        </is>
      </c>
      <c r="E589" s="102" t="inlineStr">
        <is>
          <t>Aviamento</t>
        </is>
      </c>
      <c r="F589" s="103" t="n">
        <v>27335.75</v>
      </c>
      <c r="G589" s="104" t="inlineStr">
        <is>
          <t>03/2026</t>
        </is>
      </c>
      <c r="H589" s="104" t="inlineStr">
        <is>
          <t>CODI</t>
        </is>
      </c>
    </row>
    <row r="590" ht="15" customHeight="1" s="86">
      <c r="B590" s="101" t="n">
        <v>46082</v>
      </c>
      <c r="C590" s="102" t="inlineStr">
        <is>
          <t>Despesa não Identificada - 03/2026</t>
        </is>
      </c>
      <c r="D590" s="102" t="inlineStr">
        <is>
          <t>Saída</t>
        </is>
      </c>
      <c r="E590" s="102" t="inlineStr">
        <is>
          <t>Despesa não Identificada</t>
        </is>
      </c>
      <c r="F590" s="103" t="n">
        <v>9864.299999999999</v>
      </c>
      <c r="G590" s="104" t="inlineStr">
        <is>
          <t>03/2026</t>
        </is>
      </c>
      <c r="H590" s="104" t="inlineStr">
        <is>
          <t>CODI</t>
        </is>
      </c>
    </row>
    <row r="591" ht="15" customHeight="1" s="86">
      <c r="B591" s="101" t="n">
        <v>46082</v>
      </c>
      <c r="C591" s="102" t="inlineStr">
        <is>
          <t>Energia Elétrica - 03/2026</t>
        </is>
      </c>
      <c r="D591" s="102" t="inlineStr">
        <is>
          <t>Saída</t>
        </is>
      </c>
      <c r="E591" s="102" t="inlineStr">
        <is>
          <t>Energia Elétrica</t>
        </is>
      </c>
      <c r="F591" s="103" t="n">
        <v>163.62</v>
      </c>
      <c r="G591" s="104" t="inlineStr">
        <is>
          <t>03/2026</t>
        </is>
      </c>
      <c r="H591" s="104" t="inlineStr">
        <is>
          <t>CODI</t>
        </is>
      </c>
    </row>
    <row r="592" ht="15" customHeight="1" s="86">
      <c r="B592" s="101" t="n">
        <v>46082</v>
      </c>
      <c r="C592" s="102" t="inlineStr">
        <is>
          <t>Etiquetas - 03/2026</t>
        </is>
      </c>
      <c r="D592" s="102" t="inlineStr">
        <is>
          <t>Saída</t>
        </is>
      </c>
      <c r="E592" s="102" t="inlineStr">
        <is>
          <t>Etiquetas</t>
        </is>
      </c>
      <c r="F592" s="103" t="n">
        <v>6489</v>
      </c>
      <c r="G592" s="104" t="inlineStr">
        <is>
          <t>03/2026</t>
        </is>
      </c>
      <c r="H592" s="104" t="inlineStr">
        <is>
          <t>CODI</t>
        </is>
      </c>
    </row>
    <row r="593" ht="15" customHeight="1" s="86">
      <c r="B593" s="101" t="n">
        <v>46082</v>
      </c>
      <c r="C593" s="102" t="inlineStr">
        <is>
          <t>Facção - 03/2026</t>
        </is>
      </c>
      <c r="D593" s="102" t="inlineStr">
        <is>
          <t>Saída</t>
        </is>
      </c>
      <c r="E593" s="102" t="inlineStr">
        <is>
          <t>Facção</t>
        </is>
      </c>
      <c r="F593" s="103" t="n">
        <v>89680.5</v>
      </c>
      <c r="G593" s="104" t="inlineStr">
        <is>
          <t>03/2026</t>
        </is>
      </c>
      <c r="H593" s="104" t="inlineStr">
        <is>
          <t>CODI</t>
        </is>
      </c>
    </row>
    <row r="594" ht="15" customHeight="1" s="86">
      <c r="B594" s="101" t="n">
        <v>46082</v>
      </c>
      <c r="C594" s="102" t="inlineStr">
        <is>
          <t>Frete e Transporte de Mercadorias - 03/2026</t>
        </is>
      </c>
      <c r="D594" s="102" t="inlineStr">
        <is>
          <t>Saída</t>
        </is>
      </c>
      <c r="E594" s="102" t="inlineStr">
        <is>
          <t>Frete e Transporte de Mercadorias</t>
        </is>
      </c>
      <c r="F594" s="103" t="n">
        <v>6370.18</v>
      </c>
      <c r="G594" s="104" t="inlineStr">
        <is>
          <t>03/2026</t>
        </is>
      </c>
      <c r="H594" s="104" t="inlineStr">
        <is>
          <t>CODI</t>
        </is>
      </c>
    </row>
    <row r="595" ht="15" customHeight="1" s="86">
      <c r="B595" s="101" t="n">
        <v>46082</v>
      </c>
      <c r="C595" s="102" t="inlineStr">
        <is>
          <t>Férias - 03/2026</t>
        </is>
      </c>
      <c r="D595" s="102" t="inlineStr">
        <is>
          <t>Saída</t>
        </is>
      </c>
      <c r="E595" s="102" t="inlineStr">
        <is>
          <t>Férias</t>
        </is>
      </c>
      <c r="F595" s="103" t="n">
        <v>4763.35</v>
      </c>
      <c r="G595" s="104" t="inlineStr">
        <is>
          <t>03/2026</t>
        </is>
      </c>
      <c r="H595" s="104" t="inlineStr">
        <is>
          <t>CODI</t>
        </is>
      </c>
    </row>
    <row r="596" ht="15" customHeight="1" s="86">
      <c r="B596" s="101" t="n">
        <v>46082</v>
      </c>
      <c r="C596" s="102" t="inlineStr">
        <is>
          <t>Lavanderia - 03/2026</t>
        </is>
      </c>
      <c r="D596" s="102" t="inlineStr">
        <is>
          <t>Saída</t>
        </is>
      </c>
      <c r="E596" s="102" t="inlineStr">
        <is>
          <t>Lavanderia</t>
        </is>
      </c>
      <c r="F596" s="103" t="n">
        <v>37534.5</v>
      </c>
      <c r="G596" s="104" t="inlineStr">
        <is>
          <t>03/2026</t>
        </is>
      </c>
      <c r="H596" s="104" t="inlineStr">
        <is>
          <t>CODI</t>
        </is>
      </c>
    </row>
    <row r="597" ht="15" customHeight="1" s="86">
      <c r="B597" s="101" t="n">
        <v>46082</v>
      </c>
      <c r="C597" s="102" t="inlineStr">
        <is>
          <t>Publicidade - 03/2026</t>
        </is>
      </c>
      <c r="D597" s="102" t="inlineStr">
        <is>
          <t>Saída</t>
        </is>
      </c>
      <c r="E597" s="102" t="inlineStr">
        <is>
          <t>Publicidade</t>
        </is>
      </c>
      <c r="F597" s="103" t="n">
        <v>3950</v>
      </c>
      <c r="G597" s="104" t="inlineStr">
        <is>
          <t>03/2026</t>
        </is>
      </c>
      <c r="H597" s="104" t="inlineStr">
        <is>
          <t>CODI</t>
        </is>
      </c>
    </row>
    <row r="598" ht="15" customHeight="1" s="86">
      <c r="B598" s="101" t="n">
        <v>46082</v>
      </c>
      <c r="C598" s="102" t="inlineStr">
        <is>
          <t>Salário e Ordenados - 03/2026</t>
        </is>
      </c>
      <c r="D598" s="102" t="inlineStr">
        <is>
          <t>Saída</t>
        </is>
      </c>
      <c r="E598" s="102" t="inlineStr">
        <is>
          <t>Salário e Ordenados</t>
        </is>
      </c>
      <c r="F598" s="103" t="n">
        <v>29875.95</v>
      </c>
      <c r="G598" s="104" t="inlineStr">
        <is>
          <t>03/2026</t>
        </is>
      </c>
      <c r="H598" s="104" t="inlineStr">
        <is>
          <t>CODI</t>
        </is>
      </c>
    </row>
    <row r="599" ht="15" customHeight="1" s="86">
      <c r="B599" s="101" t="n">
        <v>46082</v>
      </c>
      <c r="C599" s="102" t="inlineStr">
        <is>
          <t>Segurança e Monitoramento - 03/2026</t>
        </is>
      </c>
      <c r="D599" s="102" t="inlineStr">
        <is>
          <t>Saída</t>
        </is>
      </c>
      <c r="E599" s="102" t="inlineStr">
        <is>
          <t>Segurança e Monitoramento</t>
        </is>
      </c>
      <c r="F599" s="103" t="n">
        <v>770.74</v>
      </c>
      <c r="G599" s="104" t="inlineStr">
        <is>
          <t>03/2026</t>
        </is>
      </c>
      <c r="H599" s="104" t="inlineStr">
        <is>
          <t>CODI</t>
        </is>
      </c>
    </row>
    <row r="600" ht="15" customHeight="1" s="86">
      <c r="B600" s="101" t="n">
        <v>46082</v>
      </c>
      <c r="C600" s="102" t="inlineStr">
        <is>
          <t>Seguros - 03/2026</t>
        </is>
      </c>
      <c r="D600" s="102" t="inlineStr">
        <is>
          <t>Saída</t>
        </is>
      </c>
      <c r="E600" s="102" t="inlineStr">
        <is>
          <t>Seguros</t>
        </is>
      </c>
      <c r="F600" s="103" t="n">
        <v>928.23</v>
      </c>
      <c r="G600" s="104" t="inlineStr">
        <is>
          <t>03/2026</t>
        </is>
      </c>
      <c r="H600" s="104" t="inlineStr">
        <is>
          <t>CODI</t>
        </is>
      </c>
    </row>
    <row r="601" ht="15" customHeight="1" s="86">
      <c r="B601" s="101" t="n">
        <v>46082</v>
      </c>
      <c r="C601" s="102" t="inlineStr">
        <is>
          <t>Simples Nacional - 03/2026</t>
        </is>
      </c>
      <c r="D601" s="102" t="inlineStr">
        <is>
          <t>Saída</t>
        </is>
      </c>
      <c r="E601" s="102" t="inlineStr">
        <is>
          <t>Simples Nacional</t>
        </is>
      </c>
      <c r="F601" s="103" t="n">
        <v>9082.959999999999</v>
      </c>
      <c r="G601" s="104" t="inlineStr">
        <is>
          <t>03/2026</t>
        </is>
      </c>
      <c r="H601" s="104" t="inlineStr">
        <is>
          <t>CODI</t>
        </is>
      </c>
    </row>
    <row r="602" ht="15" customHeight="1" s="86">
      <c r="B602" s="101" t="n">
        <v>46082</v>
      </c>
      <c r="C602" s="102" t="inlineStr">
        <is>
          <t>Tecidos - 03/2026</t>
        </is>
      </c>
      <c r="D602" s="102" t="inlineStr">
        <is>
          <t>Saída</t>
        </is>
      </c>
      <c r="E602" s="102" t="inlineStr">
        <is>
          <t>Tecidos</t>
        </is>
      </c>
      <c r="F602" s="103" t="n">
        <v>73606.60000000001</v>
      </c>
      <c r="G602" s="104" t="inlineStr">
        <is>
          <t>03/2026</t>
        </is>
      </c>
      <c r="H602" s="104" t="inlineStr">
        <is>
          <t>CODI</t>
        </is>
      </c>
    </row>
    <row r="603" ht="15" customHeight="1" s="86">
      <c r="B603" s="101" t="n">
        <v>46082</v>
      </c>
      <c r="C603" s="102" t="inlineStr">
        <is>
          <t>Telefonia Fixa e Internet - 03/2026</t>
        </is>
      </c>
      <c r="D603" s="102" t="inlineStr">
        <is>
          <t>Saída</t>
        </is>
      </c>
      <c r="E603" s="102" t="inlineStr">
        <is>
          <t>Telefonia Fixa e Internet</t>
        </is>
      </c>
      <c r="F603" s="103" t="n">
        <v>126.97</v>
      </c>
      <c r="G603" s="104" t="inlineStr">
        <is>
          <t>03/2026</t>
        </is>
      </c>
      <c r="H603" s="104" t="inlineStr">
        <is>
          <t>CODI</t>
        </is>
      </c>
    </row>
    <row r="604" ht="15" customHeight="1" s="86">
      <c r="B604" s="101" t="n">
        <v>46082</v>
      </c>
      <c r="C604" s="102" t="inlineStr">
        <is>
          <t>Travete - 03/2026</t>
        </is>
      </c>
      <c r="D604" s="102" t="inlineStr">
        <is>
          <t>Saída</t>
        </is>
      </c>
      <c r="E604" s="102" t="inlineStr">
        <is>
          <t>Travete</t>
        </is>
      </c>
      <c r="F604" s="103" t="n">
        <v>5994.8</v>
      </c>
      <c r="G604" s="104" t="inlineStr">
        <is>
          <t>03/2026</t>
        </is>
      </c>
      <c r="H604" s="104" t="inlineStr">
        <is>
          <t>CODI</t>
        </is>
      </c>
    </row>
    <row r="605" ht="15" customHeight="1" s="86">
      <c r="B605" s="101" t="n">
        <v>46082</v>
      </c>
      <c r="C605" s="102" t="inlineStr">
        <is>
          <t>Vale Transporte - 03/2026</t>
        </is>
      </c>
      <c r="D605" s="102" t="inlineStr">
        <is>
          <t>Saída</t>
        </is>
      </c>
      <c r="E605" s="102" t="inlineStr">
        <is>
          <t>Vale Transporte</t>
        </is>
      </c>
      <c r="F605" s="103" t="n">
        <v>2400</v>
      </c>
      <c r="G605" s="104" t="inlineStr">
        <is>
          <t>03/2026</t>
        </is>
      </c>
      <c r="H605" s="104" t="inlineStr">
        <is>
          <t>CODI</t>
        </is>
      </c>
    </row>
    <row r="606" ht="15" customHeight="1" s="86">
      <c r="B606" s="101" t="n">
        <v>46082</v>
      </c>
      <c r="C606" s="102" t="inlineStr">
        <is>
          <t>Vales e Adiantamentos - 03/2026</t>
        </is>
      </c>
      <c r="D606" s="102" t="inlineStr">
        <is>
          <t>Saída</t>
        </is>
      </c>
      <c r="E606" s="102" t="inlineStr">
        <is>
          <t>Vales e Adiantamentos</t>
        </is>
      </c>
      <c r="F606" s="103" t="n">
        <v>3750.01</v>
      </c>
      <c r="G606" s="104" t="inlineStr">
        <is>
          <t>03/2026</t>
        </is>
      </c>
      <c r="H606" s="104" t="inlineStr">
        <is>
          <t>CODI</t>
        </is>
      </c>
    </row>
    <row r="607" ht="15" customHeight="1" s="86">
      <c r="B607" s="101" t="n">
        <v>46082</v>
      </c>
      <c r="C607" s="102" t="inlineStr">
        <is>
          <t>Web Site e Sistema ERP - 03/2026</t>
        </is>
      </c>
      <c r="D607" s="102" t="inlineStr">
        <is>
          <t>Saída</t>
        </is>
      </c>
      <c r="E607" s="102" t="inlineStr">
        <is>
          <t>Web Site e Sistema ERP</t>
        </is>
      </c>
      <c r="F607" s="103" t="n">
        <v>1085</v>
      </c>
      <c r="G607" s="104" t="inlineStr">
        <is>
          <t>03/2026</t>
        </is>
      </c>
      <c r="H607" s="104" t="inlineStr">
        <is>
          <t>CODI</t>
        </is>
      </c>
    </row>
    <row r="608" ht="15" customHeight="1" s="86">
      <c r="B608" s="101" t="n">
        <v>46082</v>
      </c>
      <c r="C608" s="102" t="inlineStr">
        <is>
          <t>Água - 03/2026</t>
        </is>
      </c>
      <c r="D608" s="102" t="inlineStr">
        <is>
          <t>Saída</t>
        </is>
      </c>
      <c r="E608" s="102" t="inlineStr">
        <is>
          <t>Água</t>
        </is>
      </c>
      <c r="F608" s="103" t="n">
        <v>203.75</v>
      </c>
      <c r="G608" s="104" t="inlineStr">
        <is>
          <t>03/2026</t>
        </is>
      </c>
      <c r="H608" s="104" t="inlineStr">
        <is>
          <t>CODI</t>
        </is>
      </c>
    </row>
    <row r="609" ht="15" customHeight="1" s="86">
      <c r="B609" s="101" t="n">
        <v>46082</v>
      </c>
      <c r="C609" s="102" t="inlineStr">
        <is>
          <t>Acabamento Externo - 03/2026</t>
        </is>
      </c>
      <c r="D609" s="102" t="inlineStr">
        <is>
          <t>Saída</t>
        </is>
      </c>
      <c r="E609" s="102" t="inlineStr">
        <is>
          <t>Acabamento Externo</t>
        </is>
      </c>
      <c r="F609" s="103" t="n">
        <v>8254</v>
      </c>
      <c r="G609" s="104" t="inlineStr">
        <is>
          <t>03/2026</t>
        </is>
      </c>
      <c r="H609" s="104" t="inlineStr">
        <is>
          <t>CODI</t>
        </is>
      </c>
    </row>
    <row r="610" ht="15" customHeight="1" s="86">
      <c r="B610" s="101" t="n">
        <v>46082</v>
      </c>
      <c r="C610" s="102" t="inlineStr">
        <is>
          <t>Alimentação - 03/2026</t>
        </is>
      </c>
      <c r="D610" s="102" t="inlineStr">
        <is>
          <t>Saída</t>
        </is>
      </c>
      <c r="E610" s="102" t="inlineStr">
        <is>
          <t>Alimentação</t>
        </is>
      </c>
      <c r="F610" s="103" t="n">
        <v>25</v>
      </c>
      <c r="G610" s="104" t="inlineStr">
        <is>
          <t>03/2026</t>
        </is>
      </c>
      <c r="H610" s="104" t="inlineStr">
        <is>
          <t>CODI</t>
        </is>
      </c>
    </row>
    <row r="611" ht="15" customHeight="1" s="86">
      <c r="B611" s="101" t="n">
        <v>46082</v>
      </c>
      <c r="C611" s="102" t="inlineStr">
        <is>
          <t>Combustíveis - 03/2026</t>
        </is>
      </c>
      <c r="D611" s="102" t="inlineStr">
        <is>
          <t>Saída</t>
        </is>
      </c>
      <c r="E611" s="102" t="inlineStr">
        <is>
          <t>Combustíveis</t>
        </is>
      </c>
      <c r="F611" s="103" t="n">
        <v>1421.38</v>
      </c>
      <c r="G611" s="104" t="inlineStr">
        <is>
          <t>03/2026</t>
        </is>
      </c>
      <c r="H611" s="104" t="inlineStr">
        <is>
          <t>CODI</t>
        </is>
      </c>
    </row>
    <row r="612" ht="15" customHeight="1" s="86">
      <c r="B612" s="101" t="n">
        <v>46082</v>
      </c>
      <c r="C612" s="102" t="inlineStr">
        <is>
          <t>Criação de Modelos - 03/2026</t>
        </is>
      </c>
      <c r="D612" s="102" t="inlineStr">
        <is>
          <t>Saída</t>
        </is>
      </c>
      <c r="E612" s="102" t="inlineStr">
        <is>
          <t>Criação de Modelos</t>
        </is>
      </c>
      <c r="F612" s="103" t="n">
        <v>6870</v>
      </c>
      <c r="G612" s="104" t="inlineStr">
        <is>
          <t>03/2026</t>
        </is>
      </c>
      <c r="H612" s="104" t="inlineStr">
        <is>
          <t>CODI</t>
        </is>
      </c>
    </row>
    <row r="613" ht="15" customHeight="1" s="86">
      <c r="B613" s="101" t="n">
        <v>46082</v>
      </c>
      <c r="C613" s="102" t="inlineStr">
        <is>
          <t>Darf - 03/2026</t>
        </is>
      </c>
      <c r="D613" s="102" t="inlineStr">
        <is>
          <t>Saída</t>
        </is>
      </c>
      <c r="E613" s="102" t="inlineStr">
        <is>
          <t>Darf</t>
        </is>
      </c>
      <c r="F613" s="103" t="n">
        <v>1967.03</v>
      </c>
      <c r="G613" s="104" t="inlineStr">
        <is>
          <t>03/2026</t>
        </is>
      </c>
      <c r="H613" s="104" t="inlineStr">
        <is>
          <t>CODI</t>
        </is>
      </c>
    </row>
    <row r="614" ht="15" customHeight="1" s="86">
      <c r="B614" s="101" t="n">
        <v>46082</v>
      </c>
      <c r="C614" s="102" t="inlineStr">
        <is>
          <t>Embalagens - 03/2026</t>
        </is>
      </c>
      <c r="D614" s="102" t="inlineStr">
        <is>
          <t>Saída</t>
        </is>
      </c>
      <c r="E614" s="102" t="inlineStr">
        <is>
          <t>Embalagens</t>
        </is>
      </c>
      <c r="F614" s="103" t="n">
        <v>1327.44</v>
      </c>
      <c r="G614" s="104" t="inlineStr">
        <is>
          <t>03/2026</t>
        </is>
      </c>
      <c r="H614" s="104" t="inlineStr">
        <is>
          <t>CODI</t>
        </is>
      </c>
    </row>
    <row r="615" ht="15" customHeight="1" s="86">
      <c r="B615" s="101" t="n">
        <v>46082</v>
      </c>
      <c r="C615" s="102" t="inlineStr">
        <is>
          <t>Comissão de vendedores - 03/2026</t>
        </is>
      </c>
      <c r="D615" s="102" t="inlineStr">
        <is>
          <t>Saída</t>
        </is>
      </c>
      <c r="E615" s="102" t="inlineStr">
        <is>
          <t>Comissão de vendedores</t>
        </is>
      </c>
      <c r="F615" s="103" t="n">
        <v>4089.36</v>
      </c>
      <c r="G615" s="104" t="inlineStr">
        <is>
          <t>03/2026</t>
        </is>
      </c>
      <c r="H615" s="104" t="inlineStr">
        <is>
          <t>CODI</t>
        </is>
      </c>
    </row>
    <row r="616" ht="15" customHeight="1" s="86">
      <c r="B616" s="101" t="n">
        <v>46082</v>
      </c>
      <c r="C616" s="102" t="inlineStr">
        <is>
          <t>Consulta de Crédito Cliente - 03/2026</t>
        </is>
      </c>
      <c r="D616" s="102" t="inlineStr">
        <is>
          <t>Saída</t>
        </is>
      </c>
      <c r="E616" s="102" t="inlineStr">
        <is>
          <t>Consulta de Crédito Cliente</t>
        </is>
      </c>
      <c r="F616" s="103" t="n">
        <v>327.05</v>
      </c>
      <c r="G616" s="104" t="inlineStr">
        <is>
          <t>03/2026</t>
        </is>
      </c>
      <c r="H616" s="104" t="inlineStr">
        <is>
          <t>CODI</t>
        </is>
      </c>
    </row>
    <row r="617" ht="15" customHeight="1" s="86">
      <c r="B617" s="101" t="n">
        <v>46082</v>
      </c>
      <c r="C617" s="102" t="inlineStr">
        <is>
          <t>Manutenção de Veiculos e Estacionamento - 03/2026</t>
        </is>
      </c>
      <c r="D617" s="102" t="inlineStr">
        <is>
          <t>Saída</t>
        </is>
      </c>
      <c r="E617" s="102" t="inlineStr">
        <is>
          <t>Manutenção de Veiculos e Estacionamento</t>
        </is>
      </c>
      <c r="F617" s="103" t="n">
        <v>140</v>
      </c>
      <c r="G617" s="104" t="inlineStr">
        <is>
          <t>03/2026</t>
        </is>
      </c>
      <c r="H617" s="104" t="inlineStr">
        <is>
          <t>CODI</t>
        </is>
      </c>
    </row>
    <row r="618" ht="15" customHeight="1" s="86">
      <c r="B618" s="101" t="n">
        <v>46082</v>
      </c>
      <c r="C618" s="102" t="inlineStr">
        <is>
          <t>Premiações e Abonos - 03/2026</t>
        </is>
      </c>
      <c r="D618" s="102" t="inlineStr">
        <is>
          <t>Saída</t>
        </is>
      </c>
      <c r="E618" s="102" t="inlineStr">
        <is>
          <t>Premiações e Abonos</t>
        </is>
      </c>
      <c r="F618" s="103" t="n">
        <v>1508.5</v>
      </c>
      <c r="G618" s="104" t="inlineStr">
        <is>
          <t>03/2026</t>
        </is>
      </c>
      <c r="H618" s="104" t="inlineStr">
        <is>
          <t>CODI</t>
        </is>
      </c>
    </row>
    <row r="619" ht="15" customHeight="1" s="86">
      <c r="B619" s="101" t="n">
        <v>46082</v>
      </c>
      <c r="C619" s="102" t="inlineStr">
        <is>
          <t>Comissão de Assessores - 03/2026</t>
        </is>
      </c>
      <c r="D619" s="102" t="inlineStr">
        <is>
          <t>Saída</t>
        </is>
      </c>
      <c r="E619" s="102" t="inlineStr">
        <is>
          <t>Comissão de Assessores</t>
        </is>
      </c>
      <c r="F619" s="103" t="n">
        <v>51.75</v>
      </c>
      <c r="G619" s="104" t="inlineStr">
        <is>
          <t>03/2026</t>
        </is>
      </c>
      <c r="H619" s="104" t="inlineStr">
        <is>
          <t>CODI</t>
        </is>
      </c>
    </row>
    <row r="620" ht="15" customHeight="1" s="86">
      <c r="B620" s="101" t="n">
        <v>46082</v>
      </c>
      <c r="C620" s="102" t="inlineStr">
        <is>
          <t>Fgts, Gps e Pis - 03/2026</t>
        </is>
      </c>
      <c r="D620" s="102" t="inlineStr">
        <is>
          <t>Saída</t>
        </is>
      </c>
      <c r="E620" s="102" t="inlineStr">
        <is>
          <t>Fgts, Gps e Pis</t>
        </is>
      </c>
      <c r="F620" s="103" t="n">
        <v>3373.29</v>
      </c>
      <c r="G620" s="104" t="inlineStr">
        <is>
          <t>03/2026</t>
        </is>
      </c>
      <c r="H620" s="104" t="inlineStr">
        <is>
          <t>CODI</t>
        </is>
      </c>
    </row>
    <row r="621" ht="15" customHeight="1" s="86">
      <c r="B621" s="101" t="n">
        <v>46082</v>
      </c>
      <c r="C621" s="102" t="inlineStr">
        <is>
          <t>Manutenção de Imóveis - 03/2026</t>
        </is>
      </c>
      <c r="D621" s="102" t="inlineStr">
        <is>
          <t>Saída</t>
        </is>
      </c>
      <c r="E621" s="102" t="inlineStr">
        <is>
          <t>Manutenção de Imóveis</t>
        </is>
      </c>
      <c r="F621" s="103" t="n">
        <v>905</v>
      </c>
      <c r="G621" s="104" t="inlineStr">
        <is>
          <t>03/2026</t>
        </is>
      </c>
      <c r="H621" s="104" t="inlineStr">
        <is>
          <t>CODI</t>
        </is>
      </c>
    </row>
    <row r="622" ht="15" customHeight="1" s="86">
      <c r="B622" s="101" t="n">
        <v>46082</v>
      </c>
      <c r="C622" s="102" t="inlineStr">
        <is>
          <t>Produção Externa - 03/2026</t>
        </is>
      </c>
      <c r="D622" s="102" t="inlineStr">
        <is>
          <t>Saída</t>
        </is>
      </c>
      <c r="E622" s="102" t="inlineStr">
        <is>
          <t>Produção Externa</t>
        </is>
      </c>
      <c r="F622" s="103" t="n">
        <v>16133</v>
      </c>
      <c r="G622" s="104" t="inlineStr">
        <is>
          <t>03/2026</t>
        </is>
      </c>
      <c r="H622" s="104" t="inlineStr">
        <is>
          <t>CODI</t>
        </is>
      </c>
    </row>
    <row r="623" ht="15" customHeight="1" s="86">
      <c r="B623" s="101" t="n">
        <v>46082</v>
      </c>
      <c r="C623" s="102" t="inlineStr">
        <is>
          <t>Bordado Manual - 03/2026</t>
        </is>
      </c>
      <c r="D623" s="102" t="inlineStr">
        <is>
          <t>Saída</t>
        </is>
      </c>
      <c r="E623" s="102" t="inlineStr">
        <is>
          <t>Bordado Manual</t>
        </is>
      </c>
      <c r="F623" s="103" t="n">
        <v>1044</v>
      </c>
      <c r="G623" s="104" t="inlineStr">
        <is>
          <t>03/2026</t>
        </is>
      </c>
      <c r="H623" s="104" t="inlineStr">
        <is>
          <t>CODI</t>
        </is>
      </c>
    </row>
    <row r="624" ht="15" customHeight="1" s="86">
      <c r="B624" s="101" t="n">
        <v>46082</v>
      </c>
      <c r="C624" s="102" t="inlineStr">
        <is>
          <t>Juros de Empréstimos - 03/2026</t>
        </is>
      </c>
      <c r="D624" s="102" t="inlineStr">
        <is>
          <t>Saída</t>
        </is>
      </c>
      <c r="E624" s="102" t="inlineStr">
        <is>
          <t>Juros de Empréstimos</t>
        </is>
      </c>
      <c r="F624" s="103" t="n">
        <v>7750</v>
      </c>
      <c r="G624" s="104" t="inlineStr">
        <is>
          <t>03/2026</t>
        </is>
      </c>
      <c r="H624" s="104" t="inlineStr">
        <is>
          <t>CODI</t>
        </is>
      </c>
    </row>
    <row r="625" ht="15" customHeight="1" s="86">
      <c r="B625" s="101" t="n">
        <v>46082</v>
      </c>
      <c r="C625" s="102" t="inlineStr">
        <is>
          <t>Material de Copa e Cozinha - 03/2026</t>
        </is>
      </c>
      <c r="D625" s="102" t="inlineStr">
        <is>
          <t>Saída</t>
        </is>
      </c>
      <c r="E625" s="102" t="inlineStr">
        <is>
          <t>Material de Copa e Cozinha</t>
        </is>
      </c>
      <c r="F625" s="103" t="n">
        <v>28</v>
      </c>
      <c r="G625" s="104" t="inlineStr">
        <is>
          <t>03/2026</t>
        </is>
      </c>
      <c r="H625" s="104" t="inlineStr">
        <is>
          <t>CODI</t>
        </is>
      </c>
    </row>
    <row r="626" ht="15" customHeight="1" s="86">
      <c r="B626" s="101" t="n">
        <v>46082</v>
      </c>
      <c r="C626" s="102" t="inlineStr">
        <is>
          <t>Outros Tributos - 03/2026</t>
        </is>
      </c>
      <c r="D626" s="102" t="inlineStr">
        <is>
          <t>Saída</t>
        </is>
      </c>
      <c r="E626" s="102" t="inlineStr">
        <is>
          <t>Outros Tributos</t>
        </is>
      </c>
      <c r="F626" s="103" t="n">
        <v>22</v>
      </c>
      <c r="G626" s="104" t="inlineStr">
        <is>
          <t>03/2026</t>
        </is>
      </c>
      <c r="H626" s="104" t="inlineStr">
        <is>
          <t>CODI</t>
        </is>
      </c>
    </row>
    <row r="627" ht="15" customHeight="1" s="86">
      <c r="B627" s="101" t="n">
        <v>46082</v>
      </c>
      <c r="C627" s="102" t="inlineStr">
        <is>
          <t>Advogados - Honorários - 03/2026</t>
        </is>
      </c>
      <c r="D627" s="102" t="inlineStr">
        <is>
          <t>Saída</t>
        </is>
      </c>
      <c r="E627" s="102" t="inlineStr">
        <is>
          <t>Advogados - Honorários</t>
        </is>
      </c>
      <c r="F627" s="103" t="n">
        <v>2500</v>
      </c>
      <c r="G627" s="104" t="inlineStr">
        <is>
          <t>03/2026</t>
        </is>
      </c>
      <c r="H627" s="104" t="inlineStr">
        <is>
          <t>CODI</t>
        </is>
      </c>
    </row>
    <row r="628" ht="15" customHeight="1" s="86">
      <c r="B628" s="101" t="n">
        <v>46082</v>
      </c>
      <c r="C628" s="102" t="inlineStr">
        <is>
          <t>Consórcio - 03/2026</t>
        </is>
      </c>
      <c r="D628" s="102" t="inlineStr">
        <is>
          <t>Saída</t>
        </is>
      </c>
      <c r="E628" s="102" t="inlineStr">
        <is>
          <t>Consórcio</t>
        </is>
      </c>
      <c r="F628" s="103" t="n">
        <v>2056</v>
      </c>
      <c r="G628" s="104" t="inlineStr">
        <is>
          <t>03/2026</t>
        </is>
      </c>
      <c r="H628" s="104" t="inlineStr">
        <is>
          <t>CODI</t>
        </is>
      </c>
    </row>
    <row r="629" ht="15" customHeight="1" s="86">
      <c r="B629" s="101" t="n">
        <v>46082</v>
      </c>
      <c r="C629" s="102" t="inlineStr">
        <is>
          <t>Tráfego/Social Mídia - 03/2026</t>
        </is>
      </c>
      <c r="D629" s="102" t="inlineStr">
        <is>
          <t>Saída</t>
        </is>
      </c>
      <c r="E629" s="102" t="inlineStr">
        <is>
          <t>Tráfego/Social Mídia</t>
        </is>
      </c>
      <c r="F629" s="103" t="n">
        <v>1677.63</v>
      </c>
      <c r="G629" s="104" t="inlineStr">
        <is>
          <t>03/2026</t>
        </is>
      </c>
      <c r="H629" s="104" t="inlineStr">
        <is>
          <t>CODI</t>
        </is>
      </c>
    </row>
    <row r="630" ht="15" customHeight="1" s="86">
      <c r="B630" s="101" t="n">
        <v>46113</v>
      </c>
      <c r="C630" s="102" t="inlineStr">
        <is>
          <t>Vendas - 04/2026</t>
        </is>
      </c>
      <c r="D630" s="102" t="inlineStr">
        <is>
          <t>Entrada</t>
        </is>
      </c>
      <c r="E630" s="102" t="inlineStr">
        <is>
          <t>Vendas</t>
        </is>
      </c>
      <c r="F630" s="103" t="n">
        <v>329308.02</v>
      </c>
      <c r="G630" s="104" t="inlineStr">
        <is>
          <t>04/2026</t>
        </is>
      </c>
      <c r="H630" s="104" t="inlineStr">
        <is>
          <t>CODI</t>
        </is>
      </c>
    </row>
    <row r="631" ht="15" customHeight="1" s="86">
      <c r="B631" s="101" t="n">
        <v>46113</v>
      </c>
      <c r="C631" s="102" t="inlineStr">
        <is>
          <t>Aluguéis e Condomínios - 04/2026</t>
        </is>
      </c>
      <c r="D631" s="102" t="inlineStr">
        <is>
          <t>Saída</t>
        </is>
      </c>
      <c r="E631" s="102" t="inlineStr">
        <is>
          <t>Aluguéis e Condomínios</t>
        </is>
      </c>
      <c r="F631" s="103" t="n">
        <v>8100</v>
      </c>
      <c r="G631" s="104" t="inlineStr">
        <is>
          <t>04/2026</t>
        </is>
      </c>
      <c r="H631" s="104" t="inlineStr">
        <is>
          <t>CODI</t>
        </is>
      </c>
    </row>
    <row r="632" ht="15" customHeight="1" s="86">
      <c r="B632" s="101" t="n">
        <v>46113</v>
      </c>
      <c r="C632" s="102" t="inlineStr">
        <is>
          <t>Aviamento - 04/2026</t>
        </is>
      </c>
      <c r="D632" s="102" t="inlineStr">
        <is>
          <t>Saída</t>
        </is>
      </c>
      <c r="E632" s="102" t="inlineStr">
        <is>
          <t>Aviamento</t>
        </is>
      </c>
      <c r="F632" s="103" t="n">
        <v>15995.79</v>
      </c>
      <c r="G632" s="104" t="inlineStr">
        <is>
          <t>04/2026</t>
        </is>
      </c>
      <c r="H632" s="104" t="inlineStr">
        <is>
          <t>CODI</t>
        </is>
      </c>
    </row>
    <row r="633" ht="15" customHeight="1" s="86">
      <c r="B633" s="101" t="n">
        <v>46113</v>
      </c>
      <c r="C633" s="102" t="inlineStr">
        <is>
          <t>Despesa não Identificada - 04/2026</t>
        </is>
      </c>
      <c r="D633" s="102" t="inlineStr">
        <is>
          <t>Saída</t>
        </is>
      </c>
      <c r="E633" s="102" t="inlineStr">
        <is>
          <t>Despesa não Identificada</t>
        </is>
      </c>
      <c r="F633" s="103" t="n">
        <v>6309</v>
      </c>
      <c r="G633" s="104" t="inlineStr">
        <is>
          <t>04/2026</t>
        </is>
      </c>
      <c r="H633" s="104" t="inlineStr">
        <is>
          <t>CODI</t>
        </is>
      </c>
    </row>
    <row r="634" ht="15" customHeight="1" s="86">
      <c r="B634" s="101" t="n">
        <v>46113</v>
      </c>
      <c r="C634" s="102" t="inlineStr">
        <is>
          <t>Etiquetas - 04/2026</t>
        </is>
      </c>
      <c r="D634" s="102" t="inlineStr">
        <is>
          <t>Saída</t>
        </is>
      </c>
      <c r="E634" s="102" t="inlineStr">
        <is>
          <t>Etiquetas</t>
        </is>
      </c>
      <c r="F634" s="103" t="n">
        <v>4060</v>
      </c>
      <c r="G634" s="104" t="inlineStr">
        <is>
          <t>04/2026</t>
        </is>
      </c>
      <c r="H634" s="104" t="inlineStr">
        <is>
          <t>CODI</t>
        </is>
      </c>
    </row>
    <row r="635" ht="15" customHeight="1" s="86">
      <c r="B635" s="101" t="n">
        <v>46113</v>
      </c>
      <c r="C635" s="102" t="inlineStr">
        <is>
          <t>Facção - 04/2026</t>
        </is>
      </c>
      <c r="D635" s="102" t="inlineStr">
        <is>
          <t>Saída</t>
        </is>
      </c>
      <c r="E635" s="102" t="inlineStr">
        <is>
          <t>Facção</t>
        </is>
      </c>
      <c r="F635" s="103" t="n">
        <v>50989</v>
      </c>
      <c r="G635" s="104" t="inlineStr">
        <is>
          <t>04/2026</t>
        </is>
      </c>
      <c r="H635" s="104" t="inlineStr">
        <is>
          <t>CODI</t>
        </is>
      </c>
    </row>
    <row r="636" ht="15" customHeight="1" s="86">
      <c r="B636" s="101" t="n">
        <v>46113</v>
      </c>
      <c r="C636" s="102" t="inlineStr">
        <is>
          <t>Frete e Transporte de Mercadorias - 04/2026</t>
        </is>
      </c>
      <c r="D636" s="102" t="inlineStr">
        <is>
          <t>Saída</t>
        </is>
      </c>
      <c r="E636" s="102" t="inlineStr">
        <is>
          <t>Frete e Transporte de Mercadorias</t>
        </is>
      </c>
      <c r="F636" s="103" t="n">
        <v>6258.05</v>
      </c>
      <c r="G636" s="104" t="inlineStr">
        <is>
          <t>04/2026</t>
        </is>
      </c>
      <c r="H636" s="104" t="inlineStr">
        <is>
          <t>CODI</t>
        </is>
      </c>
    </row>
    <row r="637" ht="15" customHeight="1" s="86">
      <c r="B637" s="101" t="n">
        <v>46113</v>
      </c>
      <c r="C637" s="102" t="inlineStr">
        <is>
          <t>Férias - 04/2026</t>
        </is>
      </c>
      <c r="D637" s="102" t="inlineStr">
        <is>
          <t>Saída</t>
        </is>
      </c>
      <c r="E637" s="102" t="inlineStr">
        <is>
          <t>Férias</t>
        </is>
      </c>
      <c r="F637" s="103" t="n">
        <v>2623.23</v>
      </c>
      <c r="G637" s="104" t="inlineStr">
        <is>
          <t>04/2026</t>
        </is>
      </c>
      <c r="H637" s="104" t="inlineStr">
        <is>
          <t>CODI</t>
        </is>
      </c>
    </row>
    <row r="638" ht="15" customHeight="1" s="86">
      <c r="B638" s="101" t="n">
        <v>46113</v>
      </c>
      <c r="C638" s="102" t="inlineStr">
        <is>
          <t>Lavanderia - 04/2026</t>
        </is>
      </c>
      <c r="D638" s="102" t="inlineStr">
        <is>
          <t>Saída</t>
        </is>
      </c>
      <c r="E638" s="102" t="inlineStr">
        <is>
          <t>Lavanderia</t>
        </is>
      </c>
      <c r="F638" s="103" t="n">
        <v>25754.8</v>
      </c>
      <c r="G638" s="104" t="inlineStr">
        <is>
          <t>04/2026</t>
        </is>
      </c>
      <c r="H638" s="104" t="inlineStr">
        <is>
          <t>CODI</t>
        </is>
      </c>
    </row>
    <row r="639" ht="15" customHeight="1" s="86">
      <c r="B639" s="101" t="n">
        <v>46113</v>
      </c>
      <c r="C639" s="102" t="inlineStr">
        <is>
          <t>Material de Limpeza e Higiene - 04/2026</t>
        </is>
      </c>
      <c r="D639" s="102" t="inlineStr">
        <is>
          <t>Saída</t>
        </is>
      </c>
      <c r="E639" s="102" t="inlineStr">
        <is>
          <t>Material de Limpeza e Higiene</t>
        </is>
      </c>
      <c r="F639" s="103" t="n">
        <v>168.44</v>
      </c>
      <c r="G639" s="104" t="inlineStr">
        <is>
          <t>04/2026</t>
        </is>
      </c>
      <c r="H639" s="104" t="inlineStr">
        <is>
          <t>CODI</t>
        </is>
      </c>
    </row>
    <row r="640" ht="15" customHeight="1" s="86">
      <c r="B640" s="101" t="n">
        <v>46113</v>
      </c>
      <c r="C640" s="102" t="inlineStr">
        <is>
          <t>Salário e Ordenados - 04/2026</t>
        </is>
      </c>
      <c r="D640" s="102" t="inlineStr">
        <is>
          <t>Saída</t>
        </is>
      </c>
      <c r="E640" s="102" t="inlineStr">
        <is>
          <t>Salário e Ordenados</t>
        </is>
      </c>
      <c r="F640" s="103" t="n">
        <v>30658.57</v>
      </c>
      <c r="G640" s="104" t="inlineStr">
        <is>
          <t>04/2026</t>
        </is>
      </c>
      <c r="H640" s="104" t="inlineStr">
        <is>
          <t>CODI</t>
        </is>
      </c>
    </row>
    <row r="641" ht="15" customHeight="1" s="86">
      <c r="B641" s="101" t="n">
        <v>46113</v>
      </c>
      <c r="C641" s="102" t="inlineStr">
        <is>
          <t>Segurança e Monitoramento - 04/2026</t>
        </is>
      </c>
      <c r="D641" s="102" t="inlineStr">
        <is>
          <t>Saída</t>
        </is>
      </c>
      <c r="E641" s="102" t="inlineStr">
        <is>
          <t>Segurança e Monitoramento</t>
        </is>
      </c>
      <c r="F641" s="103" t="n">
        <v>508.74</v>
      </c>
      <c r="G641" s="104" t="inlineStr">
        <is>
          <t>04/2026</t>
        </is>
      </c>
      <c r="H641" s="104" t="inlineStr">
        <is>
          <t>CODI</t>
        </is>
      </c>
    </row>
    <row r="642" ht="15" customHeight="1" s="86">
      <c r="B642" s="101" t="n">
        <v>46113</v>
      </c>
      <c r="C642" s="102" t="inlineStr">
        <is>
          <t>Seguros - 04/2026</t>
        </is>
      </c>
      <c r="D642" s="102" t="inlineStr">
        <is>
          <t>Saída</t>
        </is>
      </c>
      <c r="E642" s="102" t="inlineStr">
        <is>
          <t>Seguros</t>
        </is>
      </c>
      <c r="F642" s="103" t="n">
        <v>1198.14</v>
      </c>
      <c r="G642" s="104" t="inlineStr">
        <is>
          <t>04/2026</t>
        </is>
      </c>
      <c r="H642" s="104" t="inlineStr">
        <is>
          <t>CODI</t>
        </is>
      </c>
    </row>
    <row r="643" ht="15" customHeight="1" s="86">
      <c r="B643" s="101" t="n">
        <v>46113</v>
      </c>
      <c r="C643" s="102" t="inlineStr">
        <is>
          <t>Simples Nacional - 04/2026</t>
        </is>
      </c>
      <c r="D643" s="102" t="inlineStr">
        <is>
          <t>Saída</t>
        </is>
      </c>
      <c r="E643" s="102" t="inlineStr">
        <is>
          <t>Simples Nacional</t>
        </is>
      </c>
      <c r="F643" s="103" t="n">
        <v>1312.53</v>
      </c>
      <c r="G643" s="104" t="inlineStr">
        <is>
          <t>04/2026</t>
        </is>
      </c>
      <c r="H643" s="104" t="inlineStr">
        <is>
          <t>CODI</t>
        </is>
      </c>
    </row>
    <row r="644" ht="15" customHeight="1" s="86">
      <c r="B644" s="101" t="n">
        <v>46113</v>
      </c>
      <c r="C644" s="102" t="inlineStr">
        <is>
          <t>Tecidos - 04/2026</t>
        </is>
      </c>
      <c r="D644" s="102" t="inlineStr">
        <is>
          <t>Saída</t>
        </is>
      </c>
      <c r="E644" s="102" t="inlineStr">
        <is>
          <t>Tecidos</t>
        </is>
      </c>
      <c r="F644" s="103" t="n">
        <v>73274.78999999999</v>
      </c>
      <c r="G644" s="104" t="inlineStr">
        <is>
          <t>04/2026</t>
        </is>
      </c>
      <c r="H644" s="104" t="inlineStr">
        <is>
          <t>CODI</t>
        </is>
      </c>
    </row>
    <row r="645" ht="15" customHeight="1" s="86">
      <c r="B645" s="101" t="n">
        <v>46113</v>
      </c>
      <c r="C645" s="102" t="inlineStr">
        <is>
          <t>Telefonia Fixa e Internet - 04/2026</t>
        </is>
      </c>
      <c r="D645" s="102" t="inlineStr">
        <is>
          <t>Saída</t>
        </is>
      </c>
      <c r="E645" s="102" t="inlineStr">
        <is>
          <t>Telefonia Fixa e Internet</t>
        </is>
      </c>
      <c r="F645" s="103" t="n">
        <v>130</v>
      </c>
      <c r="G645" s="104" t="inlineStr">
        <is>
          <t>04/2026</t>
        </is>
      </c>
      <c r="H645" s="104" t="inlineStr">
        <is>
          <t>CODI</t>
        </is>
      </c>
    </row>
    <row r="646" ht="15" customHeight="1" s="86">
      <c r="B646" s="101" t="n">
        <v>46113</v>
      </c>
      <c r="C646" s="102" t="inlineStr">
        <is>
          <t>Travete - 04/2026</t>
        </is>
      </c>
      <c r="D646" s="102" t="inlineStr">
        <is>
          <t>Saída</t>
        </is>
      </c>
      <c r="E646" s="102" t="inlineStr">
        <is>
          <t>Travete</t>
        </is>
      </c>
      <c r="F646" s="103" t="n">
        <v>5834.3</v>
      </c>
      <c r="G646" s="104" t="inlineStr">
        <is>
          <t>04/2026</t>
        </is>
      </c>
      <c r="H646" s="104" t="inlineStr">
        <is>
          <t>CODI</t>
        </is>
      </c>
    </row>
    <row r="647" ht="15" customHeight="1" s="86">
      <c r="B647" s="101" t="n">
        <v>46113</v>
      </c>
      <c r="C647" s="102" t="inlineStr">
        <is>
          <t>Vale Transporte - 04/2026</t>
        </is>
      </c>
      <c r="D647" s="102" t="inlineStr">
        <is>
          <t>Saída</t>
        </is>
      </c>
      <c r="E647" s="102" t="inlineStr">
        <is>
          <t>Vale Transporte</t>
        </is>
      </c>
      <c r="F647" s="103" t="n">
        <v>1640</v>
      </c>
      <c r="G647" s="104" t="inlineStr">
        <is>
          <t>04/2026</t>
        </is>
      </c>
      <c r="H647" s="104" t="inlineStr">
        <is>
          <t>CODI</t>
        </is>
      </c>
    </row>
    <row r="648" ht="15" customHeight="1" s="86">
      <c r="B648" s="101" t="n">
        <v>46113</v>
      </c>
      <c r="C648" s="102" t="inlineStr">
        <is>
          <t>Vales e Adiantamentos - 04/2026</t>
        </is>
      </c>
      <c r="D648" s="102" t="inlineStr">
        <is>
          <t>Saída</t>
        </is>
      </c>
      <c r="E648" s="102" t="inlineStr">
        <is>
          <t>Vales e Adiantamentos</t>
        </is>
      </c>
      <c r="F648" s="103" t="n">
        <v>3650</v>
      </c>
      <c r="G648" s="104" t="inlineStr">
        <is>
          <t>04/2026</t>
        </is>
      </c>
      <c r="H648" s="104" t="inlineStr">
        <is>
          <t>CODI</t>
        </is>
      </c>
    </row>
    <row r="649" ht="15" customHeight="1" s="86">
      <c r="B649" s="101" t="n">
        <v>46113</v>
      </c>
      <c r="C649" s="102" t="inlineStr">
        <is>
          <t>Web Site e Sistema ERP - 04/2026</t>
        </is>
      </c>
      <c r="D649" s="102" t="inlineStr">
        <is>
          <t>Saída</t>
        </is>
      </c>
      <c r="E649" s="102" t="inlineStr">
        <is>
          <t>Web Site e Sistema ERP</t>
        </is>
      </c>
      <c r="F649" s="103" t="n">
        <v>957</v>
      </c>
      <c r="G649" s="104" t="inlineStr">
        <is>
          <t>04/2026</t>
        </is>
      </c>
      <c r="H649" s="104" t="inlineStr">
        <is>
          <t>CODI</t>
        </is>
      </c>
    </row>
    <row r="650" ht="15" customHeight="1" s="86">
      <c r="B650" s="101" t="n">
        <v>46113</v>
      </c>
      <c r="C650" s="102" t="inlineStr">
        <is>
          <t>Acabamento Externo - 04/2026</t>
        </is>
      </c>
      <c r="D650" s="102" t="inlineStr">
        <is>
          <t>Saída</t>
        </is>
      </c>
      <c r="E650" s="102" t="inlineStr">
        <is>
          <t>Acabamento Externo</t>
        </is>
      </c>
      <c r="F650" s="103" t="n">
        <v>15915.1</v>
      </c>
      <c r="G650" s="104" t="inlineStr">
        <is>
          <t>04/2026</t>
        </is>
      </c>
      <c r="H650" s="104" t="inlineStr">
        <is>
          <t>CODI</t>
        </is>
      </c>
    </row>
    <row r="651" ht="15" customHeight="1" s="86">
      <c r="B651" s="101" t="n">
        <v>46113</v>
      </c>
      <c r="C651" s="102" t="inlineStr">
        <is>
          <t>Combustíveis - 04/2026</t>
        </is>
      </c>
      <c r="D651" s="102" t="inlineStr">
        <is>
          <t>Saída</t>
        </is>
      </c>
      <c r="E651" s="102" t="inlineStr">
        <is>
          <t>Combustíveis</t>
        </is>
      </c>
      <c r="F651" s="103" t="n">
        <v>1349.31</v>
      </c>
      <c r="G651" s="104" t="inlineStr">
        <is>
          <t>04/2026</t>
        </is>
      </c>
      <c r="H651" s="104" t="inlineStr">
        <is>
          <t>CODI</t>
        </is>
      </c>
    </row>
    <row r="652" ht="15" customHeight="1" s="86">
      <c r="B652" s="101" t="n">
        <v>46113</v>
      </c>
      <c r="C652" s="102" t="inlineStr">
        <is>
          <t>Criação de Modelos - 04/2026</t>
        </is>
      </c>
      <c r="D652" s="102" t="inlineStr">
        <is>
          <t>Saída</t>
        </is>
      </c>
      <c r="E652" s="102" t="inlineStr">
        <is>
          <t>Criação de Modelos</t>
        </is>
      </c>
      <c r="F652" s="103" t="n">
        <v>5960</v>
      </c>
      <c r="G652" s="104" t="inlineStr">
        <is>
          <t>04/2026</t>
        </is>
      </c>
      <c r="H652" s="104" t="inlineStr">
        <is>
          <t>CODI</t>
        </is>
      </c>
    </row>
    <row r="653" ht="15" customHeight="1" s="86">
      <c r="B653" s="101" t="n">
        <v>46113</v>
      </c>
      <c r="C653" s="102" t="inlineStr">
        <is>
          <t>Darf - 04/2026</t>
        </is>
      </c>
      <c r="D653" s="102" t="inlineStr">
        <is>
          <t>Saída</t>
        </is>
      </c>
      <c r="E653" s="102" t="inlineStr">
        <is>
          <t>Darf</t>
        </is>
      </c>
      <c r="F653" s="103" t="n">
        <v>1927.86</v>
      </c>
      <c r="G653" s="104" t="inlineStr">
        <is>
          <t>04/2026</t>
        </is>
      </c>
      <c r="H653" s="104" t="inlineStr">
        <is>
          <t>CODI</t>
        </is>
      </c>
    </row>
    <row r="654" ht="15" customHeight="1" s="86">
      <c r="B654" s="101" t="n">
        <v>46113</v>
      </c>
      <c r="C654" s="102" t="inlineStr">
        <is>
          <t>Embalagens - 04/2026</t>
        </is>
      </c>
      <c r="D654" s="102" t="inlineStr">
        <is>
          <t>Saída</t>
        </is>
      </c>
      <c r="E654" s="102" t="inlineStr">
        <is>
          <t>Embalagens</t>
        </is>
      </c>
      <c r="F654" s="103" t="n">
        <v>942</v>
      </c>
      <c r="G654" s="104" t="inlineStr">
        <is>
          <t>04/2026</t>
        </is>
      </c>
      <c r="H654" s="104" t="inlineStr">
        <is>
          <t>CODI</t>
        </is>
      </c>
    </row>
    <row r="655" ht="15" customHeight="1" s="86">
      <c r="B655" s="101" t="n">
        <v>46113</v>
      </c>
      <c r="C655" s="102" t="inlineStr">
        <is>
          <t>Bordado Industrial - 04/2026</t>
        </is>
      </c>
      <c r="D655" s="102" t="inlineStr">
        <is>
          <t>Saída</t>
        </is>
      </c>
      <c r="E655" s="102" t="inlineStr">
        <is>
          <t>Bordado Industrial</t>
        </is>
      </c>
      <c r="F655" s="103" t="n">
        <v>667.9</v>
      </c>
      <c r="G655" s="104" t="inlineStr">
        <is>
          <t>04/2026</t>
        </is>
      </c>
      <c r="H655" s="104" t="inlineStr">
        <is>
          <t>CODI</t>
        </is>
      </c>
    </row>
    <row r="656" ht="15" customHeight="1" s="86">
      <c r="B656" s="101" t="n">
        <v>46113</v>
      </c>
      <c r="C656" s="102" t="inlineStr">
        <is>
          <t>Comissão de vendedores - 04/2026</t>
        </is>
      </c>
      <c r="D656" s="102" t="inlineStr">
        <is>
          <t>Saída</t>
        </is>
      </c>
      <c r="E656" s="102" t="inlineStr">
        <is>
          <t>Comissão de vendedores</t>
        </is>
      </c>
      <c r="F656" s="103" t="n">
        <v>6506.59</v>
      </c>
      <c r="G656" s="104" t="inlineStr">
        <is>
          <t>04/2026</t>
        </is>
      </c>
      <c r="H656" s="104" t="inlineStr">
        <is>
          <t>CODI</t>
        </is>
      </c>
    </row>
    <row r="657" ht="15" customHeight="1" s="86">
      <c r="B657" s="101" t="n">
        <v>46113</v>
      </c>
      <c r="C657" s="102" t="inlineStr">
        <is>
          <t>Consulta de Crédito Cliente - 04/2026</t>
        </is>
      </c>
      <c r="D657" s="102" t="inlineStr">
        <is>
          <t>Saída</t>
        </is>
      </c>
      <c r="E657" s="102" t="inlineStr">
        <is>
          <t>Consulta de Crédito Cliente</t>
        </is>
      </c>
      <c r="F657" s="103" t="n">
        <v>327.05</v>
      </c>
      <c r="G657" s="104" t="inlineStr">
        <is>
          <t>04/2026</t>
        </is>
      </c>
      <c r="H657" s="104" t="inlineStr">
        <is>
          <t>CODI</t>
        </is>
      </c>
    </row>
    <row r="658" ht="15" customHeight="1" s="86">
      <c r="B658" s="101" t="n">
        <v>46113</v>
      </c>
      <c r="C658" s="102" t="inlineStr">
        <is>
          <t>Manutenção de Veiculos e Estacionamento - 04/2026</t>
        </is>
      </c>
      <c r="D658" s="102" t="inlineStr">
        <is>
          <t>Saída</t>
        </is>
      </c>
      <c r="E658" s="102" t="inlineStr">
        <is>
          <t>Manutenção de Veiculos e Estacionamento</t>
        </is>
      </c>
      <c r="F658" s="103" t="n">
        <v>150</v>
      </c>
      <c r="G658" s="104" t="inlineStr">
        <is>
          <t>04/2026</t>
        </is>
      </c>
      <c r="H658" s="104" t="inlineStr">
        <is>
          <t>CODI</t>
        </is>
      </c>
    </row>
    <row r="659" ht="15" customHeight="1" s="86">
      <c r="B659" s="101" t="n">
        <v>46113</v>
      </c>
      <c r="C659" s="102" t="inlineStr">
        <is>
          <t>Fgts, Gps e Pis - 04/2026</t>
        </is>
      </c>
      <c r="D659" s="102" t="inlineStr">
        <is>
          <t>Saída</t>
        </is>
      </c>
      <c r="E659" s="102" t="inlineStr">
        <is>
          <t>Fgts, Gps e Pis</t>
        </is>
      </c>
      <c r="F659" s="103" t="n">
        <v>3216.94</v>
      </c>
      <c r="G659" s="104" t="inlineStr">
        <is>
          <t>04/2026</t>
        </is>
      </c>
      <c r="H659" s="104" t="inlineStr">
        <is>
          <t>CODI</t>
        </is>
      </c>
    </row>
    <row r="660" ht="15" customHeight="1" s="86">
      <c r="B660" s="101" t="n">
        <v>46113</v>
      </c>
      <c r="C660" s="102" t="inlineStr">
        <is>
          <t>Manutenção de Imóveis - 04/2026</t>
        </is>
      </c>
      <c r="D660" s="102" t="inlineStr">
        <is>
          <t>Saída</t>
        </is>
      </c>
      <c r="E660" s="102" t="inlineStr">
        <is>
          <t>Manutenção de Imóveis</t>
        </is>
      </c>
      <c r="F660" s="103" t="n">
        <v>28.5</v>
      </c>
      <c r="G660" s="104" t="inlineStr">
        <is>
          <t>04/2026</t>
        </is>
      </c>
      <c r="H660" s="104" t="inlineStr">
        <is>
          <t>CODI</t>
        </is>
      </c>
    </row>
    <row r="661" ht="15" customHeight="1" s="86">
      <c r="B661" s="101" t="n">
        <v>46113</v>
      </c>
      <c r="C661" s="102" t="inlineStr">
        <is>
          <t>Bordado Manual - 04/2026</t>
        </is>
      </c>
      <c r="D661" s="102" t="inlineStr">
        <is>
          <t>Saída</t>
        </is>
      </c>
      <c r="E661" s="102" t="inlineStr">
        <is>
          <t>Bordado Manual</t>
        </is>
      </c>
      <c r="F661" s="103" t="n">
        <v>1190</v>
      </c>
      <c r="G661" s="104" t="inlineStr">
        <is>
          <t>04/2026</t>
        </is>
      </c>
      <c r="H661" s="104" t="inlineStr">
        <is>
          <t>CODI</t>
        </is>
      </c>
    </row>
    <row r="662" ht="15" customHeight="1" s="86">
      <c r="B662" s="101" t="n">
        <v>46113</v>
      </c>
      <c r="C662" s="102" t="inlineStr">
        <is>
          <t>Juros de Empréstimos - 04/2026</t>
        </is>
      </c>
      <c r="D662" s="102" t="inlineStr">
        <is>
          <t>Saída</t>
        </is>
      </c>
      <c r="E662" s="102" t="inlineStr">
        <is>
          <t>Juros de Empréstimos</t>
        </is>
      </c>
      <c r="F662" s="103" t="n">
        <v>7750</v>
      </c>
      <c r="G662" s="104" t="inlineStr">
        <is>
          <t>04/2026</t>
        </is>
      </c>
      <c r="H662" s="104" t="inlineStr">
        <is>
          <t>CODI</t>
        </is>
      </c>
    </row>
    <row r="663" ht="15" customHeight="1" s="86">
      <c r="B663" s="101" t="n">
        <v>46113</v>
      </c>
      <c r="C663" s="102" t="inlineStr">
        <is>
          <t>Material de Copa e Cozinha - 04/2026</t>
        </is>
      </c>
      <c r="D663" s="102" t="inlineStr">
        <is>
          <t>Saída</t>
        </is>
      </c>
      <c r="E663" s="102" t="inlineStr">
        <is>
          <t>Material de Copa e Cozinha</t>
        </is>
      </c>
      <c r="F663" s="103" t="n">
        <v>13.74</v>
      </c>
      <c r="G663" s="104" t="inlineStr">
        <is>
          <t>04/2026</t>
        </is>
      </c>
      <c r="H663" s="104" t="inlineStr">
        <is>
          <t>CODI</t>
        </is>
      </c>
    </row>
    <row r="664" ht="15" customHeight="1" s="86">
      <c r="B664" s="101" t="n">
        <v>46113</v>
      </c>
      <c r="C664" s="102" t="inlineStr">
        <is>
          <t>Assessoria Técnica Profissional - 04/2026</t>
        </is>
      </c>
      <c r="D664" s="102" t="inlineStr">
        <is>
          <t>Saída</t>
        </is>
      </c>
      <c r="E664" s="102" t="inlineStr">
        <is>
          <t>Assessoria Técnica Profissional</t>
        </is>
      </c>
      <c r="F664" s="103" t="n">
        <v>3500</v>
      </c>
      <c r="G664" s="104" t="inlineStr">
        <is>
          <t>04/2026</t>
        </is>
      </c>
      <c r="H664" s="104" t="inlineStr">
        <is>
          <t>CODI</t>
        </is>
      </c>
    </row>
    <row r="665" ht="15" customHeight="1" s="86">
      <c r="B665" s="101" t="n">
        <v>46113</v>
      </c>
      <c r="C665" s="102" t="inlineStr">
        <is>
          <t>Outros Tributos - 04/2026</t>
        </is>
      </c>
      <c r="D665" s="102" t="inlineStr">
        <is>
          <t>Saída</t>
        </is>
      </c>
      <c r="E665" s="102" t="inlineStr">
        <is>
          <t>Outros Tributos</t>
        </is>
      </c>
      <c r="F665" s="103" t="n">
        <v>89.29000000000001</v>
      </c>
      <c r="G665" s="104" t="inlineStr">
        <is>
          <t>04/2026</t>
        </is>
      </c>
      <c r="H665" s="104" t="inlineStr">
        <is>
          <t>CODI</t>
        </is>
      </c>
    </row>
    <row r="666" ht="15" customHeight="1" s="86">
      <c r="B666" s="101" t="n">
        <v>46113</v>
      </c>
      <c r="C666" s="102" t="inlineStr">
        <is>
          <t>Advogados - Honorários - 04/2026</t>
        </is>
      </c>
      <c r="D666" s="102" t="inlineStr">
        <is>
          <t>Saída</t>
        </is>
      </c>
      <c r="E666" s="102" t="inlineStr">
        <is>
          <t>Advogados - Honorários</t>
        </is>
      </c>
      <c r="F666" s="103" t="n">
        <v>2500</v>
      </c>
      <c r="G666" s="104" t="inlineStr">
        <is>
          <t>04/2026</t>
        </is>
      </c>
      <c r="H666" s="104" t="inlineStr">
        <is>
          <t>CODI</t>
        </is>
      </c>
    </row>
    <row r="667" ht="15" customHeight="1" s="86">
      <c r="B667" s="101" t="n">
        <v>46113</v>
      </c>
      <c r="C667" s="102" t="inlineStr">
        <is>
          <t>Consórcio - 04/2026</t>
        </is>
      </c>
      <c r="D667" s="102" t="inlineStr">
        <is>
          <t>Saída</t>
        </is>
      </c>
      <c r="E667" s="102" t="inlineStr">
        <is>
          <t>Consórcio</t>
        </is>
      </c>
      <c r="F667" s="103" t="n">
        <v>2055.6</v>
      </c>
      <c r="G667" s="104" t="inlineStr">
        <is>
          <t>04/2026</t>
        </is>
      </c>
      <c r="H667" s="104" t="inlineStr">
        <is>
          <t>CODI</t>
        </is>
      </c>
    </row>
    <row r="668" ht="15" customHeight="1" s="86">
      <c r="B668" s="101" t="n">
        <v>46113</v>
      </c>
      <c r="C668" s="102" t="inlineStr">
        <is>
          <t>Tráfego/Social Mídia - 04/2026</t>
        </is>
      </c>
      <c r="D668" s="102" t="inlineStr">
        <is>
          <t>Saída</t>
        </is>
      </c>
      <c r="E668" s="102" t="inlineStr">
        <is>
          <t>Tráfego/Social Mídia</t>
        </is>
      </c>
      <c r="F668" s="103" t="n">
        <v>2147</v>
      </c>
      <c r="G668" s="104" t="inlineStr">
        <is>
          <t>04/2026</t>
        </is>
      </c>
      <c r="H668" s="104" t="inlineStr">
        <is>
          <t>CODI</t>
        </is>
      </c>
    </row>
    <row r="669" ht="15" customHeight="1" s="86">
      <c r="B669" s="101" t="n">
        <v>46143</v>
      </c>
      <c r="C669" s="102" t="inlineStr">
        <is>
          <t>Vendas - 05/2026</t>
        </is>
      </c>
      <c r="D669" s="102" t="inlineStr">
        <is>
          <t>Entrada</t>
        </is>
      </c>
      <c r="E669" s="102" t="inlineStr">
        <is>
          <t>Vendas</t>
        </is>
      </c>
      <c r="F669" s="103" t="n">
        <v>512600.68</v>
      </c>
      <c r="G669" s="104" t="inlineStr">
        <is>
          <t>05/2026</t>
        </is>
      </c>
      <c r="H669" s="104" t="inlineStr">
        <is>
          <t>CODI</t>
        </is>
      </c>
    </row>
    <row r="670" ht="15" customHeight="1" s="86">
      <c r="B670" s="101" t="n">
        <v>46143</v>
      </c>
      <c r="C670" s="102" t="inlineStr">
        <is>
          <t>Aluguéis e Condomínios - 05/2026</t>
        </is>
      </c>
      <c r="D670" s="102" t="inlineStr">
        <is>
          <t>Saída</t>
        </is>
      </c>
      <c r="E670" s="102" t="inlineStr">
        <is>
          <t>Aluguéis e Condomínios</t>
        </is>
      </c>
      <c r="F670" s="103" t="n">
        <v>8100</v>
      </c>
      <c r="G670" s="104" t="inlineStr">
        <is>
          <t>05/2026</t>
        </is>
      </c>
      <c r="H670" s="104" t="inlineStr">
        <is>
          <t>CODI</t>
        </is>
      </c>
    </row>
    <row r="671" ht="15" customHeight="1" s="86">
      <c r="B671" s="101" t="n">
        <v>46143</v>
      </c>
      <c r="C671" s="102" t="inlineStr">
        <is>
          <t>Aviamento - 05/2026</t>
        </is>
      </c>
      <c r="D671" s="102" t="inlineStr">
        <is>
          <t>Saída</t>
        </is>
      </c>
      <c r="E671" s="102" t="inlineStr">
        <is>
          <t>Aviamento</t>
        </is>
      </c>
      <c r="F671" s="103" t="n">
        <v>20369.8</v>
      </c>
      <c r="G671" s="104" t="inlineStr">
        <is>
          <t>05/2026</t>
        </is>
      </c>
      <c r="H671" s="104" t="inlineStr">
        <is>
          <t>CODI</t>
        </is>
      </c>
    </row>
    <row r="672" ht="15" customHeight="1" s="86">
      <c r="B672" s="101" t="n">
        <v>46143</v>
      </c>
      <c r="C672" s="102" t="inlineStr">
        <is>
          <t>Despesa não Identificada - 05/2026</t>
        </is>
      </c>
      <c r="D672" s="102" t="inlineStr">
        <is>
          <t>Saída</t>
        </is>
      </c>
      <c r="E672" s="102" t="inlineStr">
        <is>
          <t>Despesa não Identificada</t>
        </is>
      </c>
      <c r="F672" s="103" t="n">
        <v>6520.7</v>
      </c>
      <c r="G672" s="104" t="inlineStr">
        <is>
          <t>05/2026</t>
        </is>
      </c>
      <c r="H672" s="104" t="inlineStr">
        <is>
          <t>CODI</t>
        </is>
      </c>
    </row>
    <row r="673" ht="15" customHeight="1" s="86">
      <c r="B673" s="101" t="n">
        <v>46143</v>
      </c>
      <c r="C673" s="102" t="inlineStr">
        <is>
          <t>Energia Elétrica - 05/2026</t>
        </is>
      </c>
      <c r="D673" s="102" t="inlineStr">
        <is>
          <t>Saída</t>
        </is>
      </c>
      <c r="E673" s="102" t="inlineStr">
        <is>
          <t>Energia Elétrica</t>
        </is>
      </c>
      <c r="F673" s="103" t="n">
        <v>268.34</v>
      </c>
      <c r="G673" s="104" t="inlineStr">
        <is>
          <t>05/2026</t>
        </is>
      </c>
      <c r="H673" s="104" t="inlineStr">
        <is>
          <t>CODI</t>
        </is>
      </c>
    </row>
    <row r="674" ht="15" customHeight="1" s="86">
      <c r="B674" s="101" t="n">
        <v>46143</v>
      </c>
      <c r="C674" s="102" t="inlineStr">
        <is>
          <t>Etiquetas - 05/2026</t>
        </is>
      </c>
      <c r="D674" s="102" t="inlineStr">
        <is>
          <t>Saída</t>
        </is>
      </c>
      <c r="E674" s="102" t="inlineStr">
        <is>
          <t>Etiquetas</t>
        </is>
      </c>
      <c r="F674" s="103" t="n">
        <v>9598.33</v>
      </c>
      <c r="G674" s="104" t="inlineStr">
        <is>
          <t>05/2026</t>
        </is>
      </c>
      <c r="H674" s="104" t="inlineStr">
        <is>
          <t>CODI</t>
        </is>
      </c>
    </row>
    <row r="675" ht="15" customHeight="1" s="86">
      <c r="B675" s="101" t="n">
        <v>46143</v>
      </c>
      <c r="C675" s="102" t="inlineStr">
        <is>
          <t>Facção - 05/2026</t>
        </is>
      </c>
      <c r="D675" s="102" t="inlineStr">
        <is>
          <t>Saída</t>
        </is>
      </c>
      <c r="E675" s="102" t="inlineStr">
        <is>
          <t>Facção</t>
        </is>
      </c>
      <c r="F675" s="103" t="n">
        <v>33658</v>
      </c>
      <c r="G675" s="104" t="inlineStr">
        <is>
          <t>05/2026</t>
        </is>
      </c>
      <c r="H675" s="104" t="inlineStr">
        <is>
          <t>CODI</t>
        </is>
      </c>
    </row>
    <row r="676" ht="15" customHeight="1" s="86">
      <c r="B676" s="101" t="n">
        <v>46143</v>
      </c>
      <c r="C676" s="102" t="inlineStr">
        <is>
          <t>Frete e Transporte de Mercadorias - 05/2026</t>
        </is>
      </c>
      <c r="D676" s="102" t="inlineStr">
        <is>
          <t>Saída</t>
        </is>
      </c>
      <c r="E676" s="102" t="inlineStr">
        <is>
          <t>Frete e Transporte de Mercadorias</t>
        </is>
      </c>
      <c r="F676" s="103" t="n">
        <v>5873.77</v>
      </c>
      <c r="G676" s="104" t="inlineStr">
        <is>
          <t>05/2026</t>
        </is>
      </c>
      <c r="H676" s="104" t="inlineStr">
        <is>
          <t>CODI</t>
        </is>
      </c>
    </row>
    <row r="677" ht="15" customHeight="1" s="86">
      <c r="B677" s="101" t="n">
        <v>46143</v>
      </c>
      <c r="C677" s="102" t="inlineStr">
        <is>
          <t>Férias - 05/2026</t>
        </is>
      </c>
      <c r="D677" s="102" t="inlineStr">
        <is>
          <t>Saída</t>
        </is>
      </c>
      <c r="E677" s="102" t="inlineStr">
        <is>
          <t>Férias</t>
        </is>
      </c>
      <c r="F677" s="103" t="n">
        <v>2903.47</v>
      </c>
      <c r="G677" s="104" t="inlineStr">
        <is>
          <t>05/2026</t>
        </is>
      </c>
      <c r="H677" s="104" t="inlineStr">
        <is>
          <t>CODI</t>
        </is>
      </c>
    </row>
    <row r="678" ht="15" customHeight="1" s="86">
      <c r="B678" s="101" t="n">
        <v>46143</v>
      </c>
      <c r="C678" s="102" t="inlineStr">
        <is>
          <t>Honorários Contábeis (Contabilidade) - 05/2026</t>
        </is>
      </c>
      <c r="D678" s="102" t="inlineStr">
        <is>
          <t>Saída</t>
        </is>
      </c>
      <c r="E678" s="102" t="inlineStr">
        <is>
          <t>Honorários Contábeis (Contabilidade)</t>
        </is>
      </c>
      <c r="F678" s="103" t="n">
        <v>3300</v>
      </c>
      <c r="G678" s="104" t="inlineStr">
        <is>
          <t>05/2026</t>
        </is>
      </c>
      <c r="H678" s="104" t="inlineStr">
        <is>
          <t>CODI</t>
        </is>
      </c>
    </row>
    <row r="679" ht="15" customHeight="1" s="86">
      <c r="B679" s="101" t="n">
        <v>46143</v>
      </c>
      <c r="C679" s="102" t="inlineStr">
        <is>
          <t>Lavanderia - 05/2026</t>
        </is>
      </c>
      <c r="D679" s="102" t="inlineStr">
        <is>
          <t>Saída</t>
        </is>
      </c>
      <c r="E679" s="102" t="inlineStr">
        <is>
          <t>Lavanderia</t>
        </is>
      </c>
      <c r="F679" s="103" t="n">
        <v>24505.32</v>
      </c>
      <c r="G679" s="104" t="inlineStr">
        <is>
          <t>05/2026</t>
        </is>
      </c>
      <c r="H679" s="104" t="inlineStr">
        <is>
          <t>CODI</t>
        </is>
      </c>
    </row>
    <row r="680" ht="15" customHeight="1" s="86">
      <c r="B680" s="101" t="n">
        <v>46143</v>
      </c>
      <c r="C680" s="102" t="inlineStr">
        <is>
          <t>Publicidade - 05/2026</t>
        </is>
      </c>
      <c r="D680" s="102" t="inlineStr">
        <is>
          <t>Saída</t>
        </is>
      </c>
      <c r="E680" s="102" t="inlineStr">
        <is>
          <t>Publicidade</t>
        </is>
      </c>
      <c r="F680" s="103" t="n">
        <v>3300</v>
      </c>
      <c r="G680" s="104" t="inlineStr">
        <is>
          <t>05/2026</t>
        </is>
      </c>
      <c r="H680" s="104" t="inlineStr">
        <is>
          <t>CODI</t>
        </is>
      </c>
    </row>
    <row r="681" ht="15" customHeight="1" s="86">
      <c r="B681" s="101" t="n">
        <v>46143</v>
      </c>
      <c r="C681" s="102" t="inlineStr">
        <is>
          <t>Salário e Ordenados - 05/2026</t>
        </is>
      </c>
      <c r="D681" s="102" t="inlineStr">
        <is>
          <t>Saída</t>
        </is>
      </c>
      <c r="E681" s="102" t="inlineStr">
        <is>
          <t>Salário e Ordenados</t>
        </is>
      </c>
      <c r="F681" s="103" t="n">
        <v>27195.99</v>
      </c>
      <c r="G681" s="104" t="inlineStr">
        <is>
          <t>05/2026</t>
        </is>
      </c>
      <c r="H681" s="104" t="inlineStr">
        <is>
          <t>CODI</t>
        </is>
      </c>
    </row>
    <row r="682" ht="15" customHeight="1" s="86">
      <c r="B682" s="101" t="n">
        <v>46143</v>
      </c>
      <c r="C682" s="102" t="inlineStr">
        <is>
          <t>Segurança e Monitoramento - 05/2026</t>
        </is>
      </c>
      <c r="D682" s="102" t="inlineStr">
        <is>
          <t>Saída</t>
        </is>
      </c>
      <c r="E682" s="102" t="inlineStr">
        <is>
          <t>Segurança e Monitoramento</t>
        </is>
      </c>
      <c r="F682" s="103" t="n">
        <v>248</v>
      </c>
      <c r="G682" s="104" t="inlineStr">
        <is>
          <t>05/2026</t>
        </is>
      </c>
      <c r="H682" s="104" t="inlineStr">
        <is>
          <t>CODI</t>
        </is>
      </c>
    </row>
    <row r="683" ht="15" customHeight="1" s="86">
      <c r="B683" s="101" t="n">
        <v>46143</v>
      </c>
      <c r="C683" s="102" t="inlineStr">
        <is>
          <t>Seguros - 05/2026</t>
        </is>
      </c>
      <c r="D683" s="102" t="inlineStr">
        <is>
          <t>Saída</t>
        </is>
      </c>
      <c r="E683" s="102" t="inlineStr">
        <is>
          <t>Seguros</t>
        </is>
      </c>
      <c r="F683" s="103" t="n">
        <v>1198.14</v>
      </c>
      <c r="G683" s="104" t="inlineStr">
        <is>
          <t>05/2026</t>
        </is>
      </c>
      <c r="H683" s="104" t="inlineStr">
        <is>
          <t>CODI</t>
        </is>
      </c>
    </row>
    <row r="684" ht="15" customHeight="1" s="86">
      <c r="B684" s="101" t="n">
        <v>46143</v>
      </c>
      <c r="C684" s="102" t="inlineStr">
        <is>
          <t>Simples Nacional - 05/2026</t>
        </is>
      </c>
      <c r="D684" s="102" t="inlineStr">
        <is>
          <t>Saída</t>
        </is>
      </c>
      <c r="E684" s="102" t="inlineStr">
        <is>
          <t>Simples Nacional</t>
        </is>
      </c>
      <c r="F684" s="103" t="n">
        <v>13507.51</v>
      </c>
      <c r="G684" s="104" t="inlineStr">
        <is>
          <t>05/2026</t>
        </is>
      </c>
      <c r="H684" s="104" t="inlineStr">
        <is>
          <t>CODI</t>
        </is>
      </c>
    </row>
    <row r="685" ht="15" customHeight="1" s="86">
      <c r="B685" s="101" t="n">
        <v>46143</v>
      </c>
      <c r="C685" s="102" t="inlineStr">
        <is>
          <t>Tecidos - 05/2026</t>
        </is>
      </c>
      <c r="D685" s="102" t="inlineStr">
        <is>
          <t>Saída</t>
        </is>
      </c>
      <c r="E685" s="102" t="inlineStr">
        <is>
          <t>Tecidos</t>
        </is>
      </c>
      <c r="F685" s="103" t="n">
        <v>85398.92</v>
      </c>
      <c r="G685" s="104" t="inlineStr">
        <is>
          <t>05/2026</t>
        </is>
      </c>
      <c r="H685" s="104" t="inlineStr">
        <is>
          <t>CODI</t>
        </is>
      </c>
    </row>
    <row r="686" ht="15" customHeight="1" s="86">
      <c r="B686" s="101" t="n">
        <v>46143</v>
      </c>
      <c r="C686" s="102" t="inlineStr">
        <is>
          <t>Telefonia Fixa e Internet - 05/2026</t>
        </is>
      </c>
      <c r="D686" s="102" t="inlineStr">
        <is>
          <t>Saída</t>
        </is>
      </c>
      <c r="E686" s="102" t="inlineStr">
        <is>
          <t>Telefonia Fixa e Internet</t>
        </is>
      </c>
      <c r="F686" s="103" t="n">
        <v>130</v>
      </c>
      <c r="G686" s="104" t="inlineStr">
        <is>
          <t>05/2026</t>
        </is>
      </c>
      <c r="H686" s="104" t="inlineStr">
        <is>
          <t>CODI</t>
        </is>
      </c>
    </row>
    <row r="687" ht="15" customHeight="1" s="86">
      <c r="B687" s="101" t="n">
        <v>46143</v>
      </c>
      <c r="C687" s="102" t="inlineStr">
        <is>
          <t>Travete - 05/2026</t>
        </is>
      </c>
      <c r="D687" s="102" t="inlineStr">
        <is>
          <t>Saída</t>
        </is>
      </c>
      <c r="E687" s="102" t="inlineStr">
        <is>
          <t>Travete</t>
        </is>
      </c>
      <c r="F687" s="103" t="n">
        <v>4681</v>
      </c>
      <c r="G687" s="104" t="inlineStr">
        <is>
          <t>05/2026</t>
        </is>
      </c>
      <c r="H687" s="104" t="inlineStr">
        <is>
          <t>CODI</t>
        </is>
      </c>
    </row>
    <row r="688" ht="15" customHeight="1" s="86">
      <c r="B688" s="101" t="n">
        <v>46143</v>
      </c>
      <c r="C688" s="102" t="inlineStr">
        <is>
          <t>Vale Transporte - 05/2026</t>
        </is>
      </c>
      <c r="D688" s="102" t="inlineStr">
        <is>
          <t>Saída</t>
        </is>
      </c>
      <c r="E688" s="102" t="inlineStr">
        <is>
          <t>Vale Transporte</t>
        </is>
      </c>
      <c r="F688" s="103" t="n">
        <v>2000</v>
      </c>
      <c r="G688" s="104" t="inlineStr">
        <is>
          <t>05/2026</t>
        </is>
      </c>
      <c r="H688" s="104" t="inlineStr">
        <is>
          <t>CODI</t>
        </is>
      </c>
    </row>
    <row r="689" ht="15" customHeight="1" s="86">
      <c r="B689" s="101" t="n">
        <v>46143</v>
      </c>
      <c r="C689" s="102" t="inlineStr">
        <is>
          <t>Vales e Adiantamentos - 05/2026</t>
        </is>
      </c>
      <c r="D689" s="102" t="inlineStr">
        <is>
          <t>Saída</t>
        </is>
      </c>
      <c r="E689" s="102" t="inlineStr">
        <is>
          <t>Vales e Adiantamentos</t>
        </is>
      </c>
      <c r="F689" s="103" t="n">
        <v>2850.01</v>
      </c>
      <c r="G689" s="104" t="inlineStr">
        <is>
          <t>05/2026</t>
        </is>
      </c>
      <c r="H689" s="104" t="inlineStr">
        <is>
          <t>CODI</t>
        </is>
      </c>
    </row>
    <row r="690" ht="15" customHeight="1" s="86">
      <c r="B690" s="101" t="n">
        <v>46143</v>
      </c>
      <c r="C690" s="102" t="inlineStr">
        <is>
          <t>Web Site e Sistema ERP - 05/2026</t>
        </is>
      </c>
      <c r="D690" s="102" t="inlineStr">
        <is>
          <t>Saída</t>
        </is>
      </c>
      <c r="E690" s="102" t="inlineStr">
        <is>
          <t>Web Site e Sistema ERP</t>
        </is>
      </c>
      <c r="F690" s="103" t="n">
        <v>985.54</v>
      </c>
      <c r="G690" s="104" t="inlineStr">
        <is>
          <t>05/2026</t>
        </is>
      </c>
      <c r="H690" s="104" t="inlineStr">
        <is>
          <t>CODI</t>
        </is>
      </c>
    </row>
    <row r="691" ht="15" customHeight="1" s="86">
      <c r="B691" s="101" t="n">
        <v>46143</v>
      </c>
      <c r="C691" s="102" t="inlineStr">
        <is>
          <t>Água - 05/2026</t>
        </is>
      </c>
      <c r="D691" s="102" t="inlineStr">
        <is>
          <t>Saída</t>
        </is>
      </c>
      <c r="E691" s="102" t="inlineStr">
        <is>
          <t>Água</t>
        </is>
      </c>
      <c r="F691" s="103" t="n">
        <v>504.74</v>
      </c>
      <c r="G691" s="104" t="inlineStr">
        <is>
          <t>05/2026</t>
        </is>
      </c>
      <c r="H691" s="104" t="inlineStr">
        <is>
          <t>CODI</t>
        </is>
      </c>
    </row>
    <row r="692" ht="15" customHeight="1" s="86">
      <c r="B692" s="101" t="n">
        <v>46143</v>
      </c>
      <c r="C692" s="102" t="inlineStr">
        <is>
          <t>Acabamento Externo - 05/2026</t>
        </is>
      </c>
      <c r="D692" s="102" t="inlineStr">
        <is>
          <t>Saída</t>
        </is>
      </c>
      <c r="E692" s="102" t="inlineStr">
        <is>
          <t>Acabamento Externo</t>
        </is>
      </c>
      <c r="F692" s="103" t="n">
        <v>9031.200000000001</v>
      </c>
      <c r="G692" s="104" t="inlineStr">
        <is>
          <t>05/2026</t>
        </is>
      </c>
      <c r="H692" s="104" t="inlineStr">
        <is>
          <t>CODI</t>
        </is>
      </c>
    </row>
    <row r="693" ht="15" customHeight="1" s="86">
      <c r="B693" s="101" t="n">
        <v>46143</v>
      </c>
      <c r="C693" s="102" t="inlineStr">
        <is>
          <t>Alimentação - 05/2026</t>
        </is>
      </c>
      <c r="D693" s="102" t="inlineStr">
        <is>
          <t>Saída</t>
        </is>
      </c>
      <c r="E693" s="102" t="inlineStr">
        <is>
          <t>Alimentação</t>
        </is>
      </c>
      <c r="F693" s="103" t="n">
        <v>202</v>
      </c>
      <c r="G693" s="104" t="inlineStr">
        <is>
          <t>05/2026</t>
        </is>
      </c>
      <c r="H693" s="104" t="inlineStr">
        <is>
          <t>CODI</t>
        </is>
      </c>
    </row>
    <row r="694" ht="15" customHeight="1" s="86">
      <c r="B694" s="101" t="n">
        <v>46143</v>
      </c>
      <c r="C694" s="102" t="inlineStr">
        <is>
          <t>Combustíveis - 05/2026</t>
        </is>
      </c>
      <c r="D694" s="102" t="inlineStr">
        <is>
          <t>Saída</t>
        </is>
      </c>
      <c r="E694" s="102" t="inlineStr">
        <is>
          <t>Combustíveis</t>
        </is>
      </c>
      <c r="F694" s="103" t="n">
        <v>967.75</v>
      </c>
      <c r="G694" s="104" t="inlineStr">
        <is>
          <t>05/2026</t>
        </is>
      </c>
      <c r="H694" s="104" t="inlineStr">
        <is>
          <t>CODI</t>
        </is>
      </c>
    </row>
    <row r="695" ht="15" customHeight="1" s="86">
      <c r="B695" s="101" t="n">
        <v>46143</v>
      </c>
      <c r="C695" s="102" t="inlineStr">
        <is>
          <t>Criação de Modelos - 05/2026</t>
        </is>
      </c>
      <c r="D695" s="102" t="inlineStr">
        <is>
          <t>Saída</t>
        </is>
      </c>
      <c r="E695" s="102" t="inlineStr">
        <is>
          <t>Criação de Modelos</t>
        </is>
      </c>
      <c r="F695" s="103" t="n">
        <v>2200</v>
      </c>
      <c r="G695" s="104" t="inlineStr">
        <is>
          <t>05/2026</t>
        </is>
      </c>
      <c r="H695" s="104" t="inlineStr">
        <is>
          <t>CODI</t>
        </is>
      </c>
    </row>
    <row r="696" ht="15" customHeight="1" s="86">
      <c r="B696" s="101" t="n">
        <v>46143</v>
      </c>
      <c r="C696" s="102" t="inlineStr">
        <is>
          <t>Darf - 05/2026</t>
        </is>
      </c>
      <c r="D696" s="102" t="inlineStr">
        <is>
          <t>Saída</t>
        </is>
      </c>
      <c r="E696" s="102" t="inlineStr">
        <is>
          <t>Darf</t>
        </is>
      </c>
      <c r="F696" s="103" t="n">
        <v>1153.94</v>
      </c>
      <c r="G696" s="104" t="inlineStr">
        <is>
          <t>05/2026</t>
        </is>
      </c>
      <c r="H696" s="104" t="inlineStr">
        <is>
          <t>CODI</t>
        </is>
      </c>
    </row>
    <row r="697" ht="15" customHeight="1" s="86">
      <c r="B697" s="101" t="n">
        <v>46143</v>
      </c>
      <c r="C697" s="102" t="inlineStr">
        <is>
          <t>Embalagens - 05/2026</t>
        </is>
      </c>
      <c r="D697" s="102" t="inlineStr">
        <is>
          <t>Saída</t>
        </is>
      </c>
      <c r="E697" s="102" t="inlineStr">
        <is>
          <t>Embalagens</t>
        </is>
      </c>
      <c r="F697" s="103" t="n">
        <v>1183.41</v>
      </c>
      <c r="G697" s="104" t="inlineStr">
        <is>
          <t>05/2026</t>
        </is>
      </c>
      <c r="H697" s="104" t="inlineStr">
        <is>
          <t>CODI</t>
        </is>
      </c>
    </row>
    <row r="698" ht="15" customHeight="1" s="86">
      <c r="B698" s="101" t="n">
        <v>46143</v>
      </c>
      <c r="C698" s="102" t="inlineStr">
        <is>
          <t>Manutenção de Máquinas e Peças - 05/2026</t>
        </is>
      </c>
      <c r="D698" s="102" t="inlineStr">
        <is>
          <t>Saída</t>
        </is>
      </c>
      <c r="E698" s="102" t="inlineStr">
        <is>
          <t>Manutenção de Máquinas e Peças</t>
        </is>
      </c>
      <c r="F698" s="103" t="n">
        <v>600</v>
      </c>
      <c r="G698" s="104" t="inlineStr">
        <is>
          <t>05/2026</t>
        </is>
      </c>
      <c r="H698" s="104" t="inlineStr">
        <is>
          <t>CODI</t>
        </is>
      </c>
    </row>
    <row r="699" ht="15" customHeight="1" s="86">
      <c r="B699" s="101" t="n">
        <v>46143</v>
      </c>
      <c r="C699" s="102" t="inlineStr">
        <is>
          <t>Bordado Industrial - 05/2026</t>
        </is>
      </c>
      <c r="D699" s="102" t="inlineStr">
        <is>
          <t>Saída</t>
        </is>
      </c>
      <c r="E699" s="102" t="inlineStr">
        <is>
          <t>Bordado Industrial</t>
        </is>
      </c>
      <c r="F699" s="103" t="n">
        <v>384.7</v>
      </c>
      <c r="G699" s="104" t="inlineStr">
        <is>
          <t>05/2026</t>
        </is>
      </c>
      <c r="H699" s="104" t="inlineStr">
        <is>
          <t>CODI</t>
        </is>
      </c>
    </row>
    <row r="700" ht="15" customHeight="1" s="86">
      <c r="B700" s="101" t="n">
        <v>46143</v>
      </c>
      <c r="C700" s="102" t="inlineStr">
        <is>
          <t>Comissão de vendedores - 05/2026</t>
        </is>
      </c>
      <c r="D700" s="102" t="inlineStr">
        <is>
          <t>Saída</t>
        </is>
      </c>
      <c r="E700" s="102" t="inlineStr">
        <is>
          <t>Comissão de vendedores</t>
        </is>
      </c>
      <c r="F700" s="103" t="n">
        <v>8976.75</v>
      </c>
      <c r="G700" s="104" t="inlineStr">
        <is>
          <t>05/2026</t>
        </is>
      </c>
      <c r="H700" s="104" t="inlineStr">
        <is>
          <t>CODI</t>
        </is>
      </c>
    </row>
    <row r="701" ht="15" customHeight="1" s="86">
      <c r="B701" s="101" t="n">
        <v>46143</v>
      </c>
      <c r="C701" s="102" t="inlineStr">
        <is>
          <t>Consulta de Crédito Cliente - 05/2026</t>
        </is>
      </c>
      <c r="D701" s="102" t="inlineStr">
        <is>
          <t>Saída</t>
        </is>
      </c>
      <c r="E701" s="102" t="inlineStr">
        <is>
          <t>Consulta de Crédito Cliente</t>
        </is>
      </c>
      <c r="F701" s="103" t="n">
        <v>404.49</v>
      </c>
      <c r="G701" s="104" t="inlineStr">
        <is>
          <t>05/2026</t>
        </is>
      </c>
      <c r="H701" s="104" t="inlineStr">
        <is>
          <t>CODI</t>
        </is>
      </c>
    </row>
    <row r="702" ht="15" customHeight="1" s="86">
      <c r="B702" s="101" t="n">
        <v>46143</v>
      </c>
      <c r="C702" s="102" t="inlineStr">
        <is>
          <t>Manutenção de Veiculos e Estacionamento - 05/2026</t>
        </is>
      </c>
      <c r="D702" s="102" t="inlineStr">
        <is>
          <t>Saída</t>
        </is>
      </c>
      <c r="E702" s="102" t="inlineStr">
        <is>
          <t>Manutenção de Veiculos e Estacionamento</t>
        </is>
      </c>
      <c r="F702" s="103" t="n">
        <v>155</v>
      </c>
      <c r="G702" s="104" t="inlineStr">
        <is>
          <t>05/2026</t>
        </is>
      </c>
      <c r="H702" s="104" t="inlineStr">
        <is>
          <t>CODI</t>
        </is>
      </c>
    </row>
    <row r="703" ht="15" customHeight="1" s="86">
      <c r="B703" s="101" t="n">
        <v>46143</v>
      </c>
      <c r="C703" s="102" t="inlineStr">
        <is>
          <t>Material de Escritório - 05/2026</t>
        </is>
      </c>
      <c r="D703" s="102" t="inlineStr">
        <is>
          <t>Saída</t>
        </is>
      </c>
      <c r="E703" s="102" t="inlineStr">
        <is>
          <t>Material de Escritório</t>
        </is>
      </c>
      <c r="F703" s="103" t="n">
        <v>243.88</v>
      </c>
      <c r="G703" s="104" t="inlineStr">
        <is>
          <t>05/2026</t>
        </is>
      </c>
      <c r="H703" s="104" t="inlineStr">
        <is>
          <t>CODI</t>
        </is>
      </c>
    </row>
    <row r="704" ht="15" customHeight="1" s="86">
      <c r="B704" s="101" t="n">
        <v>46143</v>
      </c>
      <c r="C704" s="102" t="inlineStr">
        <is>
          <t>Comissão de Assessores - 05/2026</t>
        </is>
      </c>
      <c r="D704" s="102" t="inlineStr">
        <is>
          <t>Saída</t>
        </is>
      </c>
      <c r="E704" s="102" t="inlineStr">
        <is>
          <t>Comissão de Assessores</t>
        </is>
      </c>
      <c r="F704" s="103" t="n">
        <v>73</v>
      </c>
      <c r="G704" s="104" t="inlineStr">
        <is>
          <t>05/2026</t>
        </is>
      </c>
      <c r="H704" s="104" t="inlineStr">
        <is>
          <t>CODI</t>
        </is>
      </c>
    </row>
    <row r="705" ht="15" customHeight="1" s="86">
      <c r="B705" s="101" t="n">
        <v>46143</v>
      </c>
      <c r="C705" s="102" t="inlineStr">
        <is>
          <t>Fgts, Gps e Pis - 05/2026</t>
        </is>
      </c>
      <c r="D705" s="102" t="inlineStr">
        <is>
          <t>Saída</t>
        </is>
      </c>
      <c r="E705" s="102" t="inlineStr">
        <is>
          <t>Fgts, Gps e Pis</t>
        </is>
      </c>
      <c r="F705" s="103" t="n">
        <v>3992.67</v>
      </c>
      <c r="G705" s="104" t="inlineStr">
        <is>
          <t>05/2026</t>
        </is>
      </c>
      <c r="H705" s="104" t="inlineStr">
        <is>
          <t>CODI</t>
        </is>
      </c>
    </row>
    <row r="706" ht="15" customHeight="1" s="86">
      <c r="B706" s="101" t="n">
        <v>46143</v>
      </c>
      <c r="C706" s="102" t="inlineStr">
        <is>
          <t>Manutenção de Imóveis - 05/2026</t>
        </is>
      </c>
      <c r="D706" s="102" t="inlineStr">
        <is>
          <t>Saída</t>
        </is>
      </c>
      <c r="E706" s="102" t="inlineStr">
        <is>
          <t>Manutenção de Imóveis</t>
        </is>
      </c>
      <c r="F706" s="103" t="n">
        <v>1905</v>
      </c>
      <c r="G706" s="104" t="inlineStr">
        <is>
          <t>05/2026</t>
        </is>
      </c>
      <c r="H706" s="104" t="inlineStr">
        <is>
          <t>CODI</t>
        </is>
      </c>
    </row>
    <row r="707" ht="15" customHeight="1" s="86">
      <c r="B707" s="101" t="n">
        <v>46143</v>
      </c>
      <c r="C707" s="102" t="inlineStr">
        <is>
          <t>Gasto com Reforma - 05/2026</t>
        </is>
      </c>
      <c r="D707" s="102" t="inlineStr">
        <is>
          <t>Saída</t>
        </is>
      </c>
      <c r="E707" s="102" t="inlineStr">
        <is>
          <t>Gasto com Reforma</t>
        </is>
      </c>
      <c r="F707" s="103" t="n">
        <v>495</v>
      </c>
      <c r="G707" s="104" t="inlineStr">
        <is>
          <t>05/2026</t>
        </is>
      </c>
      <c r="H707" s="104" t="inlineStr">
        <is>
          <t>CODI</t>
        </is>
      </c>
    </row>
    <row r="708" ht="15" customHeight="1" s="86">
      <c r="B708" s="101" t="n">
        <v>46143</v>
      </c>
      <c r="C708" s="102" t="inlineStr">
        <is>
          <t>Produção Externa - 05/2026</t>
        </is>
      </c>
      <c r="D708" s="102" t="inlineStr">
        <is>
          <t>Saída</t>
        </is>
      </c>
      <c r="E708" s="102" t="inlineStr">
        <is>
          <t>Produção Externa</t>
        </is>
      </c>
      <c r="F708" s="103" t="n">
        <v>17752</v>
      </c>
      <c r="G708" s="104" t="inlineStr">
        <is>
          <t>05/2026</t>
        </is>
      </c>
      <c r="H708" s="104" t="inlineStr">
        <is>
          <t>CODI</t>
        </is>
      </c>
    </row>
    <row r="709" ht="15" customHeight="1" s="86">
      <c r="B709" s="101" t="n">
        <v>46143</v>
      </c>
      <c r="C709" s="102" t="inlineStr">
        <is>
          <t>Assessoria Técnica Profissional - 05/2026</t>
        </is>
      </c>
      <c r="D709" s="102" t="inlineStr">
        <is>
          <t>Saída</t>
        </is>
      </c>
      <c r="E709" s="102" t="inlineStr">
        <is>
          <t>Assessoria Técnica Profissional</t>
        </is>
      </c>
      <c r="F709" s="103" t="n">
        <v>3500</v>
      </c>
      <c r="G709" s="104" t="inlineStr">
        <is>
          <t>05/2026</t>
        </is>
      </c>
      <c r="H709" s="104" t="inlineStr">
        <is>
          <t>CODI</t>
        </is>
      </c>
    </row>
    <row r="710" ht="15" customHeight="1" s="86">
      <c r="B710" s="101" t="n">
        <v>46143</v>
      </c>
      <c r="C710" s="102" t="inlineStr">
        <is>
          <t>Outros Tributos - 05/2026</t>
        </is>
      </c>
      <c r="D710" s="102" t="inlineStr">
        <is>
          <t>Saída</t>
        </is>
      </c>
      <c r="E710" s="102" t="inlineStr">
        <is>
          <t>Outros Tributos</t>
        </is>
      </c>
      <c r="F710" s="103" t="n">
        <v>24.22</v>
      </c>
      <c r="G710" s="104" t="inlineStr">
        <is>
          <t>05/2026</t>
        </is>
      </c>
      <c r="H710" s="104" t="inlineStr">
        <is>
          <t>CODI</t>
        </is>
      </c>
    </row>
    <row r="711" ht="15" customHeight="1" s="86">
      <c r="B711" s="101" t="n">
        <v>46143</v>
      </c>
      <c r="C711" s="102" t="inlineStr">
        <is>
          <t>Advogados - Honorários - 05/2026</t>
        </is>
      </c>
      <c r="D711" s="102" t="inlineStr">
        <is>
          <t>Saída</t>
        </is>
      </c>
      <c r="E711" s="102" t="inlineStr">
        <is>
          <t>Advogados - Honorários</t>
        </is>
      </c>
      <c r="F711" s="103" t="n">
        <v>2500</v>
      </c>
      <c r="G711" s="104" t="inlineStr">
        <is>
          <t>05/2026</t>
        </is>
      </c>
      <c r="H711" s="104" t="inlineStr">
        <is>
          <t>CODI</t>
        </is>
      </c>
    </row>
    <row r="712" ht="15" customHeight="1" s="86">
      <c r="B712" s="101" t="n">
        <v>46143</v>
      </c>
      <c r="C712" s="102" t="inlineStr">
        <is>
          <t>Consórcio - 05/2026</t>
        </is>
      </c>
      <c r="D712" s="102" t="inlineStr">
        <is>
          <t>Saída</t>
        </is>
      </c>
      <c r="E712" s="102" t="inlineStr">
        <is>
          <t>Consórcio</t>
        </is>
      </c>
      <c r="F712" s="103" t="n">
        <v>2077.21</v>
      </c>
      <c r="G712" s="104" t="inlineStr">
        <is>
          <t>05/2026</t>
        </is>
      </c>
      <c r="H712" s="104" t="inlineStr">
        <is>
          <t>CODI</t>
        </is>
      </c>
    </row>
    <row r="713" ht="15" customHeight="1" s="86">
      <c r="B713" s="101" t="n">
        <v>46143</v>
      </c>
      <c r="C713" s="102" t="inlineStr">
        <is>
          <t>Tráfego/Social Mídia - 05/2026</t>
        </is>
      </c>
      <c r="D713" s="102" t="inlineStr">
        <is>
          <t>Saída</t>
        </is>
      </c>
      <c r="E713" s="102" t="inlineStr">
        <is>
          <t>Tráfego/Social Mídia</t>
        </is>
      </c>
      <c r="F713" s="103" t="n">
        <v>6721.75</v>
      </c>
      <c r="G713" s="104" t="inlineStr">
        <is>
          <t>05/2026</t>
        </is>
      </c>
      <c r="H713" s="104" t="inlineStr">
        <is>
          <t>CODI</t>
        </is>
      </c>
    </row>
    <row r="714" ht="15" customHeight="1" s="86">
      <c r="B714" s="101" t="n">
        <v>46143</v>
      </c>
      <c r="C714" s="102" t="inlineStr">
        <is>
          <t>CONSERTO DE COMPUTADOR - 05/2026</t>
        </is>
      </c>
      <c r="D714" s="102" t="inlineStr">
        <is>
          <t>Saída</t>
        </is>
      </c>
      <c r="E714" s="102" t="inlineStr">
        <is>
          <t>CONSERTO DE COMPUTADOR</t>
        </is>
      </c>
      <c r="F714" s="103" t="n">
        <v>100</v>
      </c>
      <c r="G714" s="104" t="inlineStr">
        <is>
          <t>05/2026</t>
        </is>
      </c>
      <c r="H714" s="104" t="inlineStr">
        <is>
          <t>CODI</t>
        </is>
      </c>
    </row>
    <row r="715" ht="15" customHeight="1" s="86">
      <c r="B715" s="101" t="n">
        <v>46143</v>
      </c>
      <c r="C715" s="102" t="inlineStr">
        <is>
          <t>Empréstimos a Terceiros - 05/2026</t>
        </is>
      </c>
      <c r="D715" s="102" t="inlineStr">
        <is>
          <t>Saída</t>
        </is>
      </c>
      <c r="E715" s="102" t="inlineStr">
        <is>
          <t>Empréstimos a Terceiros</t>
        </is>
      </c>
      <c r="F715" s="103" t="n">
        <v>7750</v>
      </c>
      <c r="G715" s="104" t="inlineStr">
        <is>
          <t>05/2026</t>
        </is>
      </c>
      <c r="H715" s="104" t="inlineStr">
        <is>
          <t>CODI</t>
        </is>
      </c>
    </row>
    <row r="716" ht="15" customHeight="1" s="86">
      <c r="B716" s="101" t="n">
        <v>46143</v>
      </c>
      <c r="C716" s="102" t="inlineStr">
        <is>
          <t>ICMS - 05/2026</t>
        </is>
      </c>
      <c r="D716" s="102" t="inlineStr">
        <is>
          <t>Saída</t>
        </is>
      </c>
      <c r="E716" s="102" t="inlineStr">
        <is>
          <t>ICMS</t>
        </is>
      </c>
      <c r="F716" s="103" t="n">
        <v>130.21</v>
      </c>
      <c r="G716" s="104" t="inlineStr">
        <is>
          <t>05/2026</t>
        </is>
      </c>
      <c r="H716" s="104" t="inlineStr">
        <is>
          <t>CODI</t>
        </is>
      </c>
    </row>
    <row r="717" ht="15" customHeight="1" s="86">
      <c r="B717" s="101" t="n">
        <v>46143</v>
      </c>
      <c r="C717" s="102" t="inlineStr">
        <is>
          <t>SITE - 05/2026</t>
        </is>
      </c>
      <c r="D717" s="102" t="inlineStr">
        <is>
          <t>Saída</t>
        </is>
      </c>
      <c r="E717" s="102" t="inlineStr">
        <is>
          <t>SITE</t>
        </is>
      </c>
      <c r="F717" s="103" t="n">
        <v>499.4</v>
      </c>
      <c r="G717" s="104" t="inlineStr">
        <is>
          <t>05/2026</t>
        </is>
      </c>
      <c r="H717" s="104" t="inlineStr">
        <is>
          <t>CODI</t>
        </is>
      </c>
    </row>
    <row r="718">
      <c r="B718" s="109" t="n">
        <v>46174</v>
      </c>
      <c r="C718" s="110" t="inlineStr">
        <is>
          <t>Vendas - 06/2026</t>
        </is>
      </c>
      <c r="D718" s="110" t="inlineStr">
        <is>
          <t>Entrada</t>
        </is>
      </c>
      <c r="E718" s="110" t="inlineStr">
        <is>
          <t>Vendas</t>
        </is>
      </c>
      <c r="F718" s="111" t="n">
        <v>548296</v>
      </c>
      <c r="G718" s="104" t="inlineStr">
        <is>
          <t>06/2026</t>
        </is>
      </c>
      <c r="H718" s="104" t="inlineStr">
        <is>
          <t>CODI</t>
        </is>
      </c>
    </row>
    <row r="719">
      <c r="B719" s="109" t="n">
        <v>46174</v>
      </c>
      <c r="C719" s="110" t="inlineStr">
        <is>
          <t>Aluguéis e Condomínios - 06/2026</t>
        </is>
      </c>
      <c r="D719" s="110" t="inlineStr">
        <is>
          <t>Saída</t>
        </is>
      </c>
      <c r="E719" s="110" t="inlineStr">
        <is>
          <t>Aluguéis e Condomínios</t>
        </is>
      </c>
      <c r="F719" s="111" t="n">
        <v>6484</v>
      </c>
      <c r="G719" s="104" t="inlineStr">
        <is>
          <t>06/2026</t>
        </is>
      </c>
      <c r="H719" s="104" t="inlineStr">
        <is>
          <t>CODI</t>
        </is>
      </c>
    </row>
    <row r="720">
      <c r="B720" s="109" t="n">
        <v>46174</v>
      </c>
      <c r="C720" s="110" t="inlineStr">
        <is>
          <t>Aviamento - 06/2026</t>
        </is>
      </c>
      <c r="D720" s="110" t="inlineStr">
        <is>
          <t>Saída</t>
        </is>
      </c>
      <c r="E720" s="110" t="inlineStr">
        <is>
          <t>Aviamento</t>
        </is>
      </c>
      <c r="F720" s="111" t="n">
        <v>12328.85</v>
      </c>
      <c r="G720" s="104" t="inlineStr">
        <is>
          <t>06/2026</t>
        </is>
      </c>
      <c r="H720" s="104" t="inlineStr">
        <is>
          <t>CODI</t>
        </is>
      </c>
    </row>
    <row r="721">
      <c r="B721" s="109" t="n">
        <v>46174</v>
      </c>
      <c r="C721" s="110" t="inlineStr">
        <is>
          <t>Despesa não Identificada - 06/2026</t>
        </is>
      </c>
      <c r="D721" s="110" t="inlineStr">
        <is>
          <t>Saída</t>
        </is>
      </c>
      <c r="E721" s="110" t="inlineStr">
        <is>
          <t>Despesa não Identificada</t>
        </is>
      </c>
      <c r="F721" s="111" t="n">
        <v>12644.22</v>
      </c>
      <c r="G721" s="104" t="inlineStr">
        <is>
          <t>06/2026</t>
        </is>
      </c>
      <c r="H721" s="104" t="inlineStr">
        <is>
          <t>CODI</t>
        </is>
      </c>
    </row>
    <row r="722">
      <c r="B722" s="109" t="n">
        <v>46174</v>
      </c>
      <c r="C722" s="110" t="inlineStr">
        <is>
          <t>Energia Elétrica - 06/2026</t>
        </is>
      </c>
      <c r="D722" s="110" t="inlineStr">
        <is>
          <t>Saída</t>
        </is>
      </c>
      <c r="E722" s="110" t="inlineStr">
        <is>
          <t>Energia Elétrica</t>
        </is>
      </c>
      <c r="F722" s="111" t="n">
        <v>132.88</v>
      </c>
      <c r="G722" s="104" t="inlineStr">
        <is>
          <t>06/2026</t>
        </is>
      </c>
      <c r="H722" s="104" t="inlineStr">
        <is>
          <t>CODI</t>
        </is>
      </c>
    </row>
    <row r="723">
      <c r="B723" s="109" t="n">
        <v>46174</v>
      </c>
      <c r="C723" s="110" t="inlineStr">
        <is>
          <t>Etiquetas - 06/2026</t>
        </is>
      </c>
      <c r="D723" s="110" t="inlineStr">
        <is>
          <t>Saída</t>
        </is>
      </c>
      <c r="E723" s="110" t="inlineStr">
        <is>
          <t>Etiquetas</t>
        </is>
      </c>
      <c r="F723" s="111" t="n">
        <v>5829.33</v>
      </c>
      <c r="G723" s="104" t="inlineStr">
        <is>
          <t>06/2026</t>
        </is>
      </c>
      <c r="H723" s="104" t="inlineStr">
        <is>
          <t>CODI</t>
        </is>
      </c>
    </row>
    <row r="724">
      <c r="B724" s="109" t="n">
        <v>46174</v>
      </c>
      <c r="C724" s="110" t="inlineStr">
        <is>
          <t>Facção - 06/2026</t>
        </is>
      </c>
      <c r="D724" s="110" t="inlineStr">
        <is>
          <t>Saída</t>
        </is>
      </c>
      <c r="E724" s="110" t="inlineStr">
        <is>
          <t>Facção</t>
        </is>
      </c>
      <c r="F724" s="111" t="n">
        <v>73950.5</v>
      </c>
      <c r="G724" s="104" t="inlineStr">
        <is>
          <t>06/2026</t>
        </is>
      </c>
      <c r="H724" s="104" t="inlineStr">
        <is>
          <t>CODI</t>
        </is>
      </c>
    </row>
    <row r="725">
      <c r="B725" s="109" t="n">
        <v>46174</v>
      </c>
      <c r="C725" s="110" t="inlineStr">
        <is>
          <t>Frete e Transporte de Mercadorias - 06/2026</t>
        </is>
      </c>
      <c r="D725" s="110" t="inlineStr">
        <is>
          <t>Saída</t>
        </is>
      </c>
      <c r="E725" s="110" t="inlineStr">
        <is>
          <t>Frete e Transporte de Mercadorias</t>
        </is>
      </c>
      <c r="F725" s="111" t="n">
        <v>8130.73</v>
      </c>
      <c r="G725" s="104" t="inlineStr">
        <is>
          <t>06/2026</t>
        </is>
      </c>
      <c r="H725" s="104" t="inlineStr">
        <is>
          <t>CODI</t>
        </is>
      </c>
    </row>
    <row r="726">
      <c r="B726" s="109" t="n">
        <v>46174</v>
      </c>
      <c r="C726" s="110" t="inlineStr">
        <is>
          <t>Férias - 06/2026</t>
        </is>
      </c>
      <c r="D726" s="110" t="inlineStr">
        <is>
          <t>Saída</t>
        </is>
      </c>
      <c r="E726" s="110" t="inlineStr">
        <is>
          <t>Férias</t>
        </is>
      </c>
      <c r="F726" s="111" t="n">
        <v>3748.44</v>
      </c>
      <c r="G726" s="104" t="inlineStr">
        <is>
          <t>06/2026</t>
        </is>
      </c>
      <c r="H726" s="104" t="inlineStr">
        <is>
          <t>CODI</t>
        </is>
      </c>
    </row>
    <row r="727">
      <c r="B727" s="109" t="n">
        <v>46174</v>
      </c>
      <c r="C727" s="110" t="inlineStr">
        <is>
          <t>Honorários Contábeis (Contabilidade) - 06/2026</t>
        </is>
      </c>
      <c r="D727" s="110" t="inlineStr">
        <is>
          <t>Saída</t>
        </is>
      </c>
      <c r="E727" s="110" t="inlineStr">
        <is>
          <t>Honorários Contábeis (Contabilidade)</t>
        </is>
      </c>
      <c r="F727" s="111" t="n">
        <v>1100</v>
      </c>
      <c r="G727" s="104" t="inlineStr">
        <is>
          <t>06/2026</t>
        </is>
      </c>
      <c r="H727" s="104" t="inlineStr">
        <is>
          <t>CODI</t>
        </is>
      </c>
    </row>
    <row r="728">
      <c r="B728" s="109" t="n">
        <v>46174</v>
      </c>
      <c r="C728" s="110" t="inlineStr">
        <is>
          <t>Lavanderia - 06/2026</t>
        </is>
      </c>
      <c r="D728" s="110" t="inlineStr">
        <is>
          <t>Saída</t>
        </is>
      </c>
      <c r="E728" s="110" t="inlineStr">
        <is>
          <t>Lavanderia</t>
        </is>
      </c>
      <c r="F728" s="111" t="n">
        <v>32561.5</v>
      </c>
      <c r="G728" s="104" t="inlineStr">
        <is>
          <t>06/2026</t>
        </is>
      </c>
      <c r="H728" s="104" t="inlineStr">
        <is>
          <t>CODI</t>
        </is>
      </c>
    </row>
    <row r="729">
      <c r="B729" s="109" t="n">
        <v>46174</v>
      </c>
      <c r="C729" s="110" t="inlineStr">
        <is>
          <t>Outros Insumos - 06/2026</t>
        </is>
      </c>
      <c r="D729" s="110" t="inlineStr">
        <is>
          <t>Saída</t>
        </is>
      </c>
      <c r="E729" s="110" t="inlineStr">
        <is>
          <t>Outros Insumos</t>
        </is>
      </c>
      <c r="F729" s="111" t="n">
        <v>440</v>
      </c>
      <c r="G729" s="104" t="inlineStr">
        <is>
          <t>06/2026</t>
        </is>
      </c>
      <c r="H729" s="104" t="inlineStr">
        <is>
          <t>CODI</t>
        </is>
      </c>
    </row>
    <row r="730">
      <c r="B730" s="109" t="n">
        <v>46174</v>
      </c>
      <c r="C730" s="110" t="inlineStr">
        <is>
          <t>Publicidade - 06/2026</t>
        </is>
      </c>
      <c r="D730" s="110" t="inlineStr">
        <is>
          <t>Saída</t>
        </is>
      </c>
      <c r="E730" s="110" t="inlineStr">
        <is>
          <t>Publicidade</t>
        </is>
      </c>
      <c r="F730" s="111" t="n">
        <v>1960</v>
      </c>
      <c r="G730" s="104" t="inlineStr">
        <is>
          <t>06/2026</t>
        </is>
      </c>
      <c r="H730" s="104" t="inlineStr">
        <is>
          <t>CODI</t>
        </is>
      </c>
    </row>
    <row r="731">
      <c r="B731" s="109" t="n">
        <v>46174</v>
      </c>
      <c r="C731" s="110" t="inlineStr">
        <is>
          <t>Salário e Ordenados - 06/2026</t>
        </is>
      </c>
      <c r="D731" s="110" t="inlineStr">
        <is>
          <t>Saída</t>
        </is>
      </c>
      <c r="E731" s="110" t="inlineStr">
        <is>
          <t>Salário e Ordenados</t>
        </is>
      </c>
      <c r="F731" s="111" t="n">
        <v>26049.6</v>
      </c>
      <c r="G731" s="104" t="inlineStr">
        <is>
          <t>06/2026</t>
        </is>
      </c>
      <c r="H731" s="104" t="inlineStr">
        <is>
          <t>CODI</t>
        </is>
      </c>
    </row>
    <row r="732">
      <c r="B732" s="109" t="n">
        <v>46174</v>
      </c>
      <c r="C732" s="110" t="inlineStr">
        <is>
          <t>Segurança e Monitoramento - 06/2026</t>
        </is>
      </c>
      <c r="D732" s="110" t="inlineStr">
        <is>
          <t>Saída</t>
        </is>
      </c>
      <c r="E732" s="110" t="inlineStr">
        <is>
          <t>Segurança e Monitoramento</t>
        </is>
      </c>
      <c r="F732" s="111" t="n">
        <v>428</v>
      </c>
      <c r="G732" s="104" t="inlineStr">
        <is>
          <t>06/2026</t>
        </is>
      </c>
      <c r="H732" s="104" t="inlineStr">
        <is>
          <t>CODI</t>
        </is>
      </c>
    </row>
    <row r="733">
      <c r="B733" s="109" t="n">
        <v>46174</v>
      </c>
      <c r="C733" s="110" t="inlineStr">
        <is>
          <t>Seguros - 06/2026</t>
        </is>
      </c>
      <c r="D733" s="110" t="inlineStr">
        <is>
          <t>Saída</t>
        </is>
      </c>
      <c r="E733" s="110" t="inlineStr">
        <is>
          <t>Seguros</t>
        </is>
      </c>
      <c r="F733" s="111" t="n">
        <v>1195.98</v>
      </c>
      <c r="G733" s="104" t="inlineStr">
        <is>
          <t>06/2026</t>
        </is>
      </c>
      <c r="H733" s="104" t="inlineStr">
        <is>
          <t>CODI</t>
        </is>
      </c>
    </row>
    <row r="734">
      <c r="B734" s="109" t="n">
        <v>46174</v>
      </c>
      <c r="C734" s="110" t="inlineStr">
        <is>
          <t>Simples Nacional - 06/2026</t>
        </is>
      </c>
      <c r="D734" s="110" t="inlineStr">
        <is>
          <t>Saída</t>
        </is>
      </c>
      <c r="E734" s="110" t="inlineStr">
        <is>
          <t>Simples Nacional</t>
        </is>
      </c>
      <c r="F734" s="111" t="n">
        <v>17056.71</v>
      </c>
      <c r="G734" s="104" t="inlineStr">
        <is>
          <t>06/2026</t>
        </is>
      </c>
      <c r="H734" s="104" t="inlineStr">
        <is>
          <t>CODI</t>
        </is>
      </c>
    </row>
    <row r="735">
      <c r="B735" s="109" t="n">
        <v>46174</v>
      </c>
      <c r="C735" s="110" t="inlineStr">
        <is>
          <t>Tecidos - 06/2026</t>
        </is>
      </c>
      <c r="D735" s="110" t="inlineStr">
        <is>
          <t>Saída</t>
        </is>
      </c>
      <c r="E735" s="110" t="inlineStr">
        <is>
          <t>Tecidos</t>
        </is>
      </c>
      <c r="F735" s="111" t="n">
        <v>128279.87</v>
      </c>
      <c r="G735" s="104" t="inlineStr">
        <is>
          <t>06/2026</t>
        </is>
      </c>
      <c r="H735" s="104" t="inlineStr">
        <is>
          <t>CODI</t>
        </is>
      </c>
    </row>
    <row r="736">
      <c r="B736" s="109" t="n">
        <v>46174</v>
      </c>
      <c r="C736" s="110" t="inlineStr">
        <is>
          <t>Telefonia Fixa e Internet - 06/2026</t>
        </is>
      </c>
      <c r="D736" s="110" t="inlineStr">
        <is>
          <t>Saída</t>
        </is>
      </c>
      <c r="E736" s="110" t="inlineStr">
        <is>
          <t>Telefonia Fixa e Internet</t>
        </is>
      </c>
      <c r="F736" s="111" t="n">
        <v>130</v>
      </c>
      <c r="G736" s="104" t="inlineStr">
        <is>
          <t>06/2026</t>
        </is>
      </c>
      <c r="H736" s="104" t="inlineStr">
        <is>
          <t>CODI</t>
        </is>
      </c>
    </row>
    <row r="737">
      <c r="B737" s="109" t="n">
        <v>46174</v>
      </c>
      <c r="C737" s="110" t="inlineStr">
        <is>
          <t>Travete - 06/2026</t>
        </is>
      </c>
      <c r="D737" s="110" t="inlineStr">
        <is>
          <t>Saída</t>
        </is>
      </c>
      <c r="E737" s="110" t="inlineStr">
        <is>
          <t>Travete</t>
        </is>
      </c>
      <c r="F737" s="111" t="n">
        <v>7420.1</v>
      </c>
      <c r="G737" s="104" t="inlineStr">
        <is>
          <t>06/2026</t>
        </is>
      </c>
      <c r="H737" s="104" t="inlineStr">
        <is>
          <t>CODI</t>
        </is>
      </c>
    </row>
    <row r="738">
      <c r="B738" s="109" t="n">
        <v>46174</v>
      </c>
      <c r="C738" s="110" t="inlineStr">
        <is>
          <t>Vale Transporte - 06/2026</t>
        </is>
      </c>
      <c r="D738" s="110" t="inlineStr">
        <is>
          <t>Saída</t>
        </is>
      </c>
      <c r="E738" s="110" t="inlineStr">
        <is>
          <t>Vale Transporte</t>
        </is>
      </c>
      <c r="F738" s="111" t="n">
        <v>2400</v>
      </c>
      <c r="G738" s="104" t="inlineStr">
        <is>
          <t>06/2026</t>
        </is>
      </c>
      <c r="H738" s="104" t="inlineStr">
        <is>
          <t>CODI</t>
        </is>
      </c>
    </row>
    <row r="739">
      <c r="B739" s="109" t="n">
        <v>46174</v>
      </c>
      <c r="C739" s="110" t="inlineStr">
        <is>
          <t>Vales e Adiantamentos - 06/2026</t>
        </is>
      </c>
      <c r="D739" s="110" t="inlineStr">
        <is>
          <t>Saída</t>
        </is>
      </c>
      <c r="E739" s="110" t="inlineStr">
        <is>
          <t>Vales e Adiantamentos</t>
        </is>
      </c>
      <c r="F739" s="111" t="n">
        <v>3250</v>
      </c>
      <c r="G739" s="104" t="inlineStr">
        <is>
          <t>06/2026</t>
        </is>
      </c>
      <c r="H739" s="104" t="inlineStr">
        <is>
          <t>CODI</t>
        </is>
      </c>
    </row>
    <row r="740">
      <c r="B740" s="109" t="n">
        <v>46174</v>
      </c>
      <c r="C740" s="110" t="inlineStr">
        <is>
          <t>Web Site e Sistema ERP - 06/2026</t>
        </is>
      </c>
      <c r="D740" s="110" t="inlineStr">
        <is>
          <t>Saída</t>
        </is>
      </c>
      <c r="E740" s="110" t="inlineStr">
        <is>
          <t>Web Site e Sistema ERP</t>
        </is>
      </c>
      <c r="F740" s="111" t="n">
        <v>1456.4</v>
      </c>
      <c r="G740" s="104" t="inlineStr">
        <is>
          <t>06/2026</t>
        </is>
      </c>
      <c r="H740" s="104" t="inlineStr">
        <is>
          <t>CODI</t>
        </is>
      </c>
    </row>
    <row r="741">
      <c r="B741" s="109" t="n">
        <v>46174</v>
      </c>
      <c r="C741" s="110" t="inlineStr">
        <is>
          <t>Água - 06/2026</t>
        </is>
      </c>
      <c r="D741" s="110" t="inlineStr">
        <is>
          <t>Saída</t>
        </is>
      </c>
      <c r="E741" s="110" t="inlineStr">
        <is>
          <t>Água</t>
        </is>
      </c>
      <c r="F741" s="111" t="n">
        <v>314.64</v>
      </c>
      <c r="G741" s="104" t="inlineStr">
        <is>
          <t>06/2026</t>
        </is>
      </c>
      <c r="H741" s="104" t="inlineStr">
        <is>
          <t>CODI</t>
        </is>
      </c>
    </row>
    <row r="742">
      <c r="B742" s="109" t="n">
        <v>46174</v>
      </c>
      <c r="C742" s="110" t="inlineStr">
        <is>
          <t>Acabamento Externo - 06/2026</t>
        </is>
      </c>
      <c r="D742" s="110" t="inlineStr">
        <is>
          <t>Saída</t>
        </is>
      </c>
      <c r="E742" s="110" t="inlineStr">
        <is>
          <t>Acabamento Externo</t>
        </is>
      </c>
      <c r="F742" s="111" t="n">
        <v>13312.9</v>
      </c>
      <c r="G742" s="104" t="inlineStr">
        <is>
          <t>06/2026</t>
        </is>
      </c>
      <c r="H742" s="104" t="inlineStr">
        <is>
          <t>CODI</t>
        </is>
      </c>
    </row>
    <row r="743">
      <c r="B743" s="109" t="n">
        <v>46174</v>
      </c>
      <c r="C743" s="110" t="inlineStr">
        <is>
          <t>Alimentação - 06/2026</t>
        </is>
      </c>
      <c r="D743" s="110" t="inlineStr">
        <is>
          <t>Saída</t>
        </is>
      </c>
      <c r="E743" s="110" t="inlineStr">
        <is>
          <t>Alimentação</t>
        </is>
      </c>
      <c r="F743" s="111" t="n">
        <v>520</v>
      </c>
      <c r="G743" s="104" t="inlineStr">
        <is>
          <t>06/2026</t>
        </is>
      </c>
      <c r="H743" s="104" t="inlineStr">
        <is>
          <t>CODI</t>
        </is>
      </c>
    </row>
    <row r="744">
      <c r="B744" s="109" t="n">
        <v>46174</v>
      </c>
      <c r="C744" s="110" t="inlineStr">
        <is>
          <t>Combustíveis - 06/2026</t>
        </is>
      </c>
      <c r="D744" s="110" t="inlineStr">
        <is>
          <t>Saída</t>
        </is>
      </c>
      <c r="E744" s="110" t="inlineStr">
        <is>
          <t>Combustíveis</t>
        </is>
      </c>
      <c r="F744" s="111" t="n">
        <v>1088.32</v>
      </c>
      <c r="G744" s="104" t="inlineStr">
        <is>
          <t>06/2026</t>
        </is>
      </c>
      <c r="H744" s="104" t="inlineStr">
        <is>
          <t>CODI</t>
        </is>
      </c>
    </row>
    <row r="745">
      <c r="B745" s="109" t="n">
        <v>46174</v>
      </c>
      <c r="C745" s="110" t="inlineStr">
        <is>
          <t>Criação de Modelos - 06/2026</t>
        </is>
      </c>
      <c r="D745" s="110" t="inlineStr">
        <is>
          <t>Saída</t>
        </is>
      </c>
      <c r="E745" s="110" t="inlineStr">
        <is>
          <t>Criação de Modelos</t>
        </is>
      </c>
      <c r="F745" s="111" t="n">
        <v>7500</v>
      </c>
      <c r="G745" s="104" t="inlineStr">
        <is>
          <t>06/2026</t>
        </is>
      </c>
      <c r="H745" s="104" t="inlineStr">
        <is>
          <t>CODI</t>
        </is>
      </c>
    </row>
    <row r="746">
      <c r="B746" s="109" t="n">
        <v>46174</v>
      </c>
      <c r="C746" s="110" t="inlineStr">
        <is>
          <t>Darf - 06/2026</t>
        </is>
      </c>
      <c r="D746" s="110" t="inlineStr">
        <is>
          <t>Saída</t>
        </is>
      </c>
      <c r="E746" s="110" t="inlineStr">
        <is>
          <t>Darf</t>
        </is>
      </c>
      <c r="F746" s="111" t="n">
        <v>1505.96</v>
      </c>
      <c r="G746" s="104" t="inlineStr">
        <is>
          <t>06/2026</t>
        </is>
      </c>
      <c r="H746" s="104" t="inlineStr">
        <is>
          <t>CODI</t>
        </is>
      </c>
    </row>
    <row r="747">
      <c r="B747" s="109" t="n">
        <v>46174</v>
      </c>
      <c r="C747" s="110" t="inlineStr">
        <is>
          <t>Embalagens - 06/2026</t>
        </is>
      </c>
      <c r="D747" s="110" t="inlineStr">
        <is>
          <t>Saída</t>
        </is>
      </c>
      <c r="E747" s="110" t="inlineStr">
        <is>
          <t>Embalagens</t>
        </is>
      </c>
      <c r="F747" s="111" t="n">
        <v>1450</v>
      </c>
      <c r="G747" s="104" t="inlineStr">
        <is>
          <t>06/2026</t>
        </is>
      </c>
      <c r="H747" s="104" t="inlineStr">
        <is>
          <t>CODI</t>
        </is>
      </c>
    </row>
    <row r="748">
      <c r="B748" s="109" t="n">
        <v>46174</v>
      </c>
      <c r="C748" s="110" t="inlineStr">
        <is>
          <t>Exame Adminissional/Demissional - 06/2026</t>
        </is>
      </c>
      <c r="D748" s="110" t="inlineStr">
        <is>
          <t>Saída</t>
        </is>
      </c>
      <c r="E748" s="110" t="inlineStr">
        <is>
          <t>Exame Adminissional/Demissional</t>
        </is>
      </c>
      <c r="F748" s="111" t="n">
        <v>40</v>
      </c>
      <c r="G748" s="104" t="inlineStr">
        <is>
          <t>06/2026</t>
        </is>
      </c>
      <c r="H748" s="104" t="inlineStr">
        <is>
          <t>CODI</t>
        </is>
      </c>
    </row>
    <row r="749">
      <c r="B749" s="109" t="n">
        <v>46174</v>
      </c>
      <c r="C749" s="110" t="inlineStr">
        <is>
          <t>Manutenção de Máquinas e Peças - 06/2026</t>
        </is>
      </c>
      <c r="D749" s="110" t="inlineStr">
        <is>
          <t>Saída</t>
        </is>
      </c>
      <c r="E749" s="110" t="inlineStr">
        <is>
          <t>Manutenção de Máquinas e Peças</t>
        </is>
      </c>
      <c r="F749" s="111" t="n">
        <v>492</v>
      </c>
      <c r="G749" s="104" t="inlineStr">
        <is>
          <t>06/2026</t>
        </is>
      </c>
      <c r="H749" s="104" t="inlineStr">
        <is>
          <t>CODI</t>
        </is>
      </c>
    </row>
    <row r="750">
      <c r="B750" s="109" t="n">
        <v>46174</v>
      </c>
      <c r="C750" s="110" t="inlineStr">
        <is>
          <t>Comissão de vendedores - 06/2026</t>
        </is>
      </c>
      <c r="D750" s="110" t="inlineStr">
        <is>
          <t>Saída</t>
        </is>
      </c>
      <c r="E750" s="110" t="inlineStr">
        <is>
          <t>Comissão de vendedores</t>
        </is>
      </c>
      <c r="F750" s="111" t="n">
        <v>13919.71</v>
      </c>
      <c r="G750" s="104" t="inlineStr">
        <is>
          <t>06/2026</t>
        </is>
      </c>
      <c r="H750" s="104" t="inlineStr">
        <is>
          <t>CODI</t>
        </is>
      </c>
    </row>
    <row r="751">
      <c r="B751" s="109" t="n">
        <v>46174</v>
      </c>
      <c r="C751" s="110" t="inlineStr">
        <is>
          <t>Consulta de Crédito Cliente - 06/2026</t>
        </is>
      </c>
      <c r="D751" s="110" t="inlineStr">
        <is>
          <t>Saída</t>
        </is>
      </c>
      <c r="E751" s="110" t="inlineStr">
        <is>
          <t>Consulta de Crédito Cliente</t>
        </is>
      </c>
      <c r="F751" s="111" t="n">
        <v>327.05</v>
      </c>
      <c r="G751" s="104" t="inlineStr">
        <is>
          <t>06/2026</t>
        </is>
      </c>
      <c r="H751" s="104" t="inlineStr">
        <is>
          <t>CODI</t>
        </is>
      </c>
    </row>
    <row r="752">
      <c r="B752" s="109" t="n">
        <v>46174</v>
      </c>
      <c r="C752" s="110" t="inlineStr">
        <is>
          <t>Manutenção de Veiculos e Estacionamento - 06/2026</t>
        </is>
      </c>
      <c r="D752" s="110" t="inlineStr">
        <is>
          <t>Saída</t>
        </is>
      </c>
      <c r="E752" s="110" t="inlineStr">
        <is>
          <t>Manutenção de Veiculos e Estacionamento</t>
        </is>
      </c>
      <c r="F752" s="111" t="n">
        <v>350</v>
      </c>
      <c r="G752" s="104" t="inlineStr">
        <is>
          <t>06/2026</t>
        </is>
      </c>
      <c r="H752" s="104" t="inlineStr">
        <is>
          <t>CODI</t>
        </is>
      </c>
    </row>
    <row r="753">
      <c r="B753" s="109" t="n">
        <v>46174</v>
      </c>
      <c r="C753" s="110" t="inlineStr">
        <is>
          <t>Comissão de Assessores - 06/2026</t>
        </is>
      </c>
      <c r="D753" s="110" t="inlineStr">
        <is>
          <t>Saída</t>
        </is>
      </c>
      <c r="E753" s="110" t="inlineStr">
        <is>
          <t>Comissão de Assessores</t>
        </is>
      </c>
      <c r="F753" s="111" t="n">
        <v>104</v>
      </c>
      <c r="G753" s="104" t="inlineStr">
        <is>
          <t>06/2026</t>
        </is>
      </c>
      <c r="H753" s="104" t="inlineStr">
        <is>
          <t>CODI</t>
        </is>
      </c>
    </row>
    <row r="754">
      <c r="B754" s="109" t="n">
        <v>46174</v>
      </c>
      <c r="C754" s="110" t="inlineStr">
        <is>
          <t>Fgts, Gps e Pis - 06/2026</t>
        </is>
      </c>
      <c r="D754" s="110" t="inlineStr">
        <is>
          <t>Saída</t>
        </is>
      </c>
      <c r="E754" s="110" t="inlineStr">
        <is>
          <t>Fgts, Gps e Pis</t>
        </is>
      </c>
      <c r="F754" s="111" t="n">
        <v>5463.89</v>
      </c>
      <c r="G754" s="104" t="inlineStr">
        <is>
          <t>06/2026</t>
        </is>
      </c>
      <c r="H754" s="104" t="inlineStr">
        <is>
          <t>CODI</t>
        </is>
      </c>
    </row>
    <row r="755">
      <c r="B755" s="109" t="n">
        <v>46174</v>
      </c>
      <c r="C755" s="110" t="inlineStr">
        <is>
          <t>Produção Externa - 06/2026</t>
        </is>
      </c>
      <c r="D755" s="110" t="inlineStr">
        <is>
          <t>Saída</t>
        </is>
      </c>
      <c r="E755" s="110" t="inlineStr">
        <is>
          <t>Produção Externa</t>
        </is>
      </c>
      <c r="F755" s="111" t="n">
        <v>2145</v>
      </c>
      <c r="G755" s="104" t="inlineStr">
        <is>
          <t>06/2026</t>
        </is>
      </c>
      <c r="H755" s="104" t="inlineStr">
        <is>
          <t>CODI</t>
        </is>
      </c>
    </row>
    <row r="756">
      <c r="B756" s="109" t="n">
        <v>46174</v>
      </c>
      <c r="C756" s="110" t="inlineStr">
        <is>
          <t>Bordado Manual - 06/2026</t>
        </is>
      </c>
      <c r="D756" s="110" t="inlineStr">
        <is>
          <t>Saída</t>
        </is>
      </c>
      <c r="E756" s="110" t="inlineStr">
        <is>
          <t>Bordado Manual</t>
        </is>
      </c>
      <c r="F756" s="111" t="n">
        <v>1408</v>
      </c>
      <c r="G756" s="104" t="inlineStr">
        <is>
          <t>06/2026</t>
        </is>
      </c>
      <c r="H756" s="104" t="inlineStr">
        <is>
          <t>CODI</t>
        </is>
      </c>
    </row>
    <row r="757">
      <c r="B757" s="109" t="n">
        <v>46174</v>
      </c>
      <c r="C757" s="110" t="inlineStr">
        <is>
          <t>Material de Copa e Cozinha - 06/2026</t>
        </is>
      </c>
      <c r="D757" s="110" t="inlineStr">
        <is>
          <t>Saída</t>
        </is>
      </c>
      <c r="E757" s="110" t="inlineStr">
        <is>
          <t>Material de Copa e Cozinha</t>
        </is>
      </c>
      <c r="F757" s="111" t="n">
        <v>76.40000000000001</v>
      </c>
      <c r="G757" s="104" t="inlineStr">
        <is>
          <t>06/2026</t>
        </is>
      </c>
      <c r="H757" s="104" t="inlineStr">
        <is>
          <t>CODI</t>
        </is>
      </c>
    </row>
    <row r="758">
      <c r="B758" s="109" t="n">
        <v>46174</v>
      </c>
      <c r="C758" s="110" t="inlineStr">
        <is>
          <t>Assessoria Técnica Profissional - 06/2026</t>
        </is>
      </c>
      <c r="D758" s="110" t="inlineStr">
        <is>
          <t>Saída</t>
        </is>
      </c>
      <c r="E758" s="110" t="inlineStr">
        <is>
          <t>Assessoria Técnica Profissional</t>
        </is>
      </c>
      <c r="F758" s="111" t="n">
        <v>3500</v>
      </c>
      <c r="G758" s="104" t="inlineStr">
        <is>
          <t>06/2026</t>
        </is>
      </c>
      <c r="H758" s="104" t="inlineStr">
        <is>
          <t>CODI</t>
        </is>
      </c>
    </row>
    <row r="759">
      <c r="B759" s="109" t="n">
        <v>46174</v>
      </c>
      <c r="C759" s="110" t="inlineStr">
        <is>
          <t>Outros Tributos - 06/2026</t>
        </is>
      </c>
      <c r="D759" s="110" t="inlineStr">
        <is>
          <t>Saída</t>
        </is>
      </c>
      <c r="E759" s="110" t="inlineStr">
        <is>
          <t>Outros Tributos</t>
        </is>
      </c>
      <c r="F759" s="111" t="n">
        <v>626.6900000000001</v>
      </c>
      <c r="G759" s="104" t="inlineStr">
        <is>
          <t>06/2026</t>
        </is>
      </c>
      <c r="H759" s="104" t="inlineStr">
        <is>
          <t>CODI</t>
        </is>
      </c>
    </row>
    <row r="760">
      <c r="B760" s="109" t="n">
        <v>46174</v>
      </c>
      <c r="C760" s="110" t="inlineStr">
        <is>
          <t>Advogados - Honorários - 06/2026</t>
        </is>
      </c>
      <c r="D760" s="110" t="inlineStr">
        <is>
          <t>Saída</t>
        </is>
      </c>
      <c r="E760" s="110" t="inlineStr">
        <is>
          <t>Advogados - Honorários</t>
        </is>
      </c>
      <c r="F760" s="111" t="n">
        <v>2500</v>
      </c>
      <c r="G760" s="104" t="inlineStr">
        <is>
          <t>06/2026</t>
        </is>
      </c>
      <c r="H760" s="104" t="inlineStr">
        <is>
          <t>CODI</t>
        </is>
      </c>
    </row>
    <row r="761">
      <c r="B761" s="109" t="n">
        <v>46174</v>
      </c>
      <c r="C761" s="110" t="inlineStr">
        <is>
          <t>Consórcio - 06/2026</t>
        </is>
      </c>
      <c r="D761" s="110" t="inlineStr">
        <is>
          <t>Saída</t>
        </is>
      </c>
      <c r="E761" s="110" t="inlineStr">
        <is>
          <t>Consórcio</t>
        </is>
      </c>
      <c r="F761" s="111" t="n">
        <v>2087.56</v>
      </c>
      <c r="G761" s="104" t="inlineStr">
        <is>
          <t>06/2026</t>
        </is>
      </c>
      <c r="H761" s="104" t="inlineStr">
        <is>
          <t>CODI</t>
        </is>
      </c>
    </row>
    <row r="762">
      <c r="B762" s="109" t="n">
        <v>46174</v>
      </c>
      <c r="C762" s="110" t="inlineStr">
        <is>
          <t>Tráfego/Social Mídia - 06/2026</t>
        </is>
      </c>
      <c r="D762" s="110" t="inlineStr">
        <is>
          <t>Saída</t>
        </is>
      </c>
      <c r="E762" s="110" t="inlineStr">
        <is>
          <t>Tráfego/Social Mídia</t>
        </is>
      </c>
      <c r="F762" s="111" t="n">
        <v>7290.09</v>
      </c>
      <c r="G762" s="104" t="inlineStr">
        <is>
          <t>06/2026</t>
        </is>
      </c>
      <c r="H762" s="104" t="inlineStr">
        <is>
          <t>CODI</t>
        </is>
      </c>
    </row>
    <row r="763">
      <c r="B763" s="109" t="n">
        <v>46174</v>
      </c>
      <c r="C763" s="110" t="inlineStr">
        <is>
          <t>ICMS - 06/2026</t>
        </is>
      </c>
      <c r="D763" s="110" t="inlineStr">
        <is>
          <t>Saída</t>
        </is>
      </c>
      <c r="E763" s="110" t="inlineStr">
        <is>
          <t>ICMS</t>
        </is>
      </c>
      <c r="F763" s="111" t="n">
        <v>197.31</v>
      </c>
      <c r="G763" s="104" t="inlineStr">
        <is>
          <t>06/2026</t>
        </is>
      </c>
      <c r="H763" s="104" t="inlineStr">
        <is>
          <t>CODI</t>
        </is>
      </c>
    </row>
    <row r="764">
      <c r="B764" s="109" t="n">
        <v>46174</v>
      </c>
      <c r="C764" s="110" t="inlineStr">
        <is>
          <t>Hora Extra - 06/2026</t>
        </is>
      </c>
      <c r="D764" s="110" t="inlineStr">
        <is>
          <t>Saída</t>
        </is>
      </c>
      <c r="E764" s="110" t="inlineStr">
        <is>
          <t>Hora Extra</t>
        </is>
      </c>
      <c r="F764" s="111" t="n">
        <v>500</v>
      </c>
      <c r="G764" s="104" t="inlineStr">
        <is>
          <t>06/2026</t>
        </is>
      </c>
      <c r="H764" s="104" t="inlineStr">
        <is>
          <t>CODI</t>
        </is>
      </c>
    </row>
    <row r="765">
      <c r="B765" s="109" t="n">
        <v>46204</v>
      </c>
      <c r="C765" s="110" t="inlineStr">
        <is>
          <t>Vendas - 07/2026</t>
        </is>
      </c>
      <c r="D765" s="110" t="inlineStr">
        <is>
          <t>Entrada</t>
        </is>
      </c>
      <c r="E765" s="110" t="inlineStr">
        <is>
          <t>Vendas</t>
        </is>
      </c>
      <c r="F765" s="111" t="n">
        <v>2518.53</v>
      </c>
      <c r="G765" s="104" t="inlineStr">
        <is>
          <t>07/2026</t>
        </is>
      </c>
      <c r="H765" s="104" t="inlineStr">
        <is>
          <t>CODI</t>
        </is>
      </c>
    </row>
    <row r="766">
      <c r="B766" s="109" t="n">
        <v>46204</v>
      </c>
      <c r="C766" s="110" t="inlineStr">
        <is>
          <t>Vendas - 07/2026</t>
        </is>
      </c>
      <c r="D766" s="110" t="inlineStr">
        <is>
          <t>Entrada</t>
        </is>
      </c>
      <c r="E766" s="110" t="inlineStr">
        <is>
          <t>Vendas</t>
        </is>
      </c>
      <c r="F766" s="111" t="n">
        <v>666.67</v>
      </c>
      <c r="G766" s="104" t="inlineStr">
        <is>
          <t>07/2026</t>
        </is>
      </c>
      <c r="H766" s="104" t="inlineStr">
        <is>
          <t>CODI</t>
        </is>
      </c>
    </row>
    <row r="767">
      <c r="B767" s="109" t="n">
        <v>46204</v>
      </c>
      <c r="C767" s="110" t="inlineStr">
        <is>
          <t>Vendas - 07/2026</t>
        </is>
      </c>
      <c r="D767" s="110" t="inlineStr">
        <is>
          <t>Entrada</t>
        </is>
      </c>
      <c r="E767" s="110" t="inlineStr">
        <is>
          <t>Vendas</t>
        </is>
      </c>
      <c r="F767" s="111" t="n">
        <v>85</v>
      </c>
      <c r="G767" s="104" t="inlineStr">
        <is>
          <t>07/2026</t>
        </is>
      </c>
      <c r="H767" s="104" t="inlineStr">
        <is>
          <t>CODI</t>
        </is>
      </c>
    </row>
    <row r="768">
      <c r="B768" s="109" t="n">
        <v>46204</v>
      </c>
      <c r="C768" s="110" t="inlineStr">
        <is>
          <t>Vendas - 07/2026</t>
        </is>
      </c>
      <c r="D768" s="110" t="inlineStr">
        <is>
          <t>Entrada</t>
        </is>
      </c>
      <c r="E768" s="110" t="inlineStr">
        <is>
          <t>Vendas</t>
        </is>
      </c>
      <c r="F768" s="111" t="n">
        <v>133.9</v>
      </c>
      <c r="G768" s="104" t="inlineStr">
        <is>
          <t>07/2026</t>
        </is>
      </c>
      <c r="H768" s="104" t="inlineStr">
        <is>
          <t>CODI</t>
        </is>
      </c>
    </row>
    <row r="769">
      <c r="B769" s="109" t="n">
        <v>46204</v>
      </c>
      <c r="C769" s="110" t="inlineStr">
        <is>
          <t>Vendas - 07/2026</t>
        </is>
      </c>
      <c r="D769" s="110" t="inlineStr">
        <is>
          <t>Entrada</t>
        </is>
      </c>
      <c r="E769" s="110" t="inlineStr">
        <is>
          <t>Vendas</t>
        </is>
      </c>
      <c r="F769" s="111" t="n">
        <v>1000</v>
      </c>
      <c r="G769" s="104" t="inlineStr">
        <is>
          <t>07/2026</t>
        </is>
      </c>
      <c r="H769" s="104" t="inlineStr">
        <is>
          <t>CODI</t>
        </is>
      </c>
    </row>
    <row r="770">
      <c r="B770" s="109" t="n">
        <v>46204</v>
      </c>
      <c r="C770" s="110" t="inlineStr">
        <is>
          <t>Vendas - 07/2026</t>
        </is>
      </c>
      <c r="D770" s="110" t="inlineStr">
        <is>
          <t>Entrada</t>
        </is>
      </c>
      <c r="E770" s="110" t="inlineStr">
        <is>
          <t>Vendas</t>
        </is>
      </c>
      <c r="F770" s="111" t="n">
        <v>1470</v>
      </c>
      <c r="G770" s="104" t="inlineStr">
        <is>
          <t>07/2026</t>
        </is>
      </c>
      <c r="H770" s="104" t="inlineStr">
        <is>
          <t>CODI</t>
        </is>
      </c>
    </row>
    <row r="771">
      <c r="B771" s="109" t="n">
        <v>46204</v>
      </c>
      <c r="C771" s="110" t="inlineStr">
        <is>
          <t>Vendas - 07/2026</t>
        </is>
      </c>
      <c r="D771" s="110" t="inlineStr">
        <is>
          <t>Entrada</t>
        </is>
      </c>
      <c r="E771" s="110" t="inlineStr">
        <is>
          <t>Vendas</t>
        </is>
      </c>
      <c r="F771" s="111" t="n">
        <v>160</v>
      </c>
      <c r="G771" s="104" t="inlineStr">
        <is>
          <t>07/2026</t>
        </is>
      </c>
      <c r="H771" s="104" t="inlineStr">
        <is>
          <t>CODI</t>
        </is>
      </c>
    </row>
    <row r="772">
      <c r="B772" s="109" t="n">
        <v>46204</v>
      </c>
      <c r="C772" s="110" t="inlineStr">
        <is>
          <t>Vendas - 07/2026</t>
        </is>
      </c>
      <c r="D772" s="110" t="inlineStr">
        <is>
          <t>Entrada</t>
        </is>
      </c>
      <c r="E772" s="110" t="inlineStr">
        <is>
          <t>Vendas</t>
        </is>
      </c>
      <c r="F772" s="111" t="n">
        <v>2000</v>
      </c>
      <c r="G772" s="104" t="inlineStr">
        <is>
          <t>07/2026</t>
        </is>
      </c>
      <c r="H772" s="104" t="inlineStr">
        <is>
          <t>CODI</t>
        </is>
      </c>
    </row>
    <row r="773">
      <c r="B773" s="109" t="n">
        <v>46204</v>
      </c>
      <c r="C773" s="110" t="inlineStr">
        <is>
          <t>Vendas - 07/2026</t>
        </is>
      </c>
      <c r="D773" s="110" t="inlineStr">
        <is>
          <t>Entrada</t>
        </is>
      </c>
      <c r="E773" s="110" t="inlineStr">
        <is>
          <t>Vendas</t>
        </is>
      </c>
      <c r="F773" s="111" t="n">
        <v>941.51</v>
      </c>
      <c r="G773" s="104" t="inlineStr">
        <is>
          <t>07/2026</t>
        </is>
      </c>
      <c r="H773" s="104" t="inlineStr">
        <is>
          <t>CODI</t>
        </is>
      </c>
    </row>
    <row r="774">
      <c r="B774" s="109" t="n">
        <v>46204</v>
      </c>
      <c r="C774" s="110" t="inlineStr">
        <is>
          <t>Vendas - 07/2026</t>
        </is>
      </c>
      <c r="D774" s="110" t="inlineStr">
        <is>
          <t>Entrada</t>
        </is>
      </c>
      <c r="E774" s="110" t="inlineStr">
        <is>
          <t>Vendas</t>
        </is>
      </c>
      <c r="F774" s="111" t="n">
        <v>560</v>
      </c>
      <c r="G774" s="104" t="inlineStr">
        <is>
          <t>07/2026</t>
        </is>
      </c>
      <c r="H774" s="104" t="inlineStr">
        <is>
          <t>CODI</t>
        </is>
      </c>
    </row>
    <row r="775">
      <c r="B775" s="109" t="n">
        <v>46204</v>
      </c>
      <c r="C775" s="110" t="inlineStr">
        <is>
          <t>Vendas - 07/2026</t>
        </is>
      </c>
      <c r="D775" s="110" t="inlineStr">
        <is>
          <t>Entrada</t>
        </is>
      </c>
      <c r="E775" s="110" t="inlineStr">
        <is>
          <t>Vendas</t>
        </is>
      </c>
      <c r="F775" s="111" t="n">
        <v>704</v>
      </c>
      <c r="G775" s="104" t="inlineStr">
        <is>
          <t>07/2026</t>
        </is>
      </c>
      <c r="H775" s="104" t="inlineStr">
        <is>
          <t>CODI</t>
        </is>
      </c>
    </row>
    <row r="776">
      <c r="B776" s="109" t="n">
        <v>46204</v>
      </c>
      <c r="C776" s="110" t="inlineStr">
        <is>
          <t>Vendas - 07/2026</t>
        </is>
      </c>
      <c r="D776" s="110" t="inlineStr">
        <is>
          <t>Entrada</t>
        </is>
      </c>
      <c r="E776" s="110" t="inlineStr">
        <is>
          <t>Vendas</t>
        </is>
      </c>
      <c r="F776" s="111" t="n">
        <v>1632</v>
      </c>
      <c r="G776" s="104" t="inlineStr">
        <is>
          <t>07/2026</t>
        </is>
      </c>
      <c r="H776" s="104" t="inlineStr">
        <is>
          <t>CODI</t>
        </is>
      </c>
    </row>
    <row r="777">
      <c r="B777" s="109" t="n">
        <v>46204</v>
      </c>
      <c r="C777" s="110" t="inlineStr">
        <is>
          <t>Vendas - 07/2026</t>
        </is>
      </c>
      <c r="D777" s="110" t="inlineStr">
        <is>
          <t>Entrada</t>
        </is>
      </c>
      <c r="E777" s="110" t="inlineStr">
        <is>
          <t>Vendas</t>
        </is>
      </c>
      <c r="F777" s="111" t="n">
        <v>2290</v>
      </c>
      <c r="G777" s="104" t="inlineStr">
        <is>
          <t>07/2026</t>
        </is>
      </c>
      <c r="H777" s="104" t="inlineStr">
        <is>
          <t>CODI</t>
        </is>
      </c>
    </row>
    <row r="778">
      <c r="B778" s="109" t="n">
        <v>46204</v>
      </c>
      <c r="C778" s="110" t="inlineStr">
        <is>
          <t>Vendas - 07/2026</t>
        </is>
      </c>
      <c r="D778" s="110" t="inlineStr">
        <is>
          <t>Entrada</t>
        </is>
      </c>
      <c r="E778" s="110" t="inlineStr">
        <is>
          <t>Vendas</t>
        </is>
      </c>
      <c r="F778" s="111" t="n">
        <v>737.03</v>
      </c>
      <c r="G778" s="104" t="inlineStr">
        <is>
          <t>07/2026</t>
        </is>
      </c>
      <c r="H778" s="104" t="inlineStr">
        <is>
          <t>CODI</t>
        </is>
      </c>
    </row>
    <row r="779">
      <c r="B779" s="109" t="n">
        <v>46204</v>
      </c>
      <c r="C779" s="110" t="inlineStr">
        <is>
          <t>Vendas - 07/2026</t>
        </is>
      </c>
      <c r="D779" s="110" t="inlineStr">
        <is>
          <t>Entrada</t>
        </is>
      </c>
      <c r="E779" s="110" t="inlineStr">
        <is>
          <t>Vendas</t>
        </is>
      </c>
      <c r="F779" s="111" t="n">
        <v>4700</v>
      </c>
      <c r="G779" s="104" t="inlineStr">
        <is>
          <t>07/2026</t>
        </is>
      </c>
      <c r="H779" s="104" t="inlineStr">
        <is>
          <t>CODI</t>
        </is>
      </c>
    </row>
    <row r="780">
      <c r="B780" s="109" t="n">
        <v>46204</v>
      </c>
      <c r="C780" s="110" t="inlineStr">
        <is>
          <t>Vendas - 07/2026</t>
        </is>
      </c>
      <c r="D780" s="110" t="inlineStr">
        <is>
          <t>Entrada</t>
        </is>
      </c>
      <c r="E780" s="110" t="inlineStr">
        <is>
          <t>Vendas</t>
        </is>
      </c>
      <c r="F780" s="111" t="n">
        <v>722</v>
      </c>
      <c r="G780" s="104" t="inlineStr">
        <is>
          <t>07/2026</t>
        </is>
      </c>
      <c r="H780" s="104" t="inlineStr">
        <is>
          <t>CODI</t>
        </is>
      </c>
    </row>
    <row r="781">
      <c r="B781" s="109" t="n">
        <v>46204</v>
      </c>
      <c r="C781" s="110" t="inlineStr">
        <is>
          <t>Vendas - 07/2026</t>
        </is>
      </c>
      <c r="D781" s="110" t="inlineStr">
        <is>
          <t>Entrada</t>
        </is>
      </c>
      <c r="E781" s="110" t="inlineStr">
        <is>
          <t>Vendas</t>
        </is>
      </c>
      <c r="F781" s="111" t="n">
        <v>1331.67</v>
      </c>
      <c r="G781" s="104" t="inlineStr">
        <is>
          <t>07/2026</t>
        </is>
      </c>
      <c r="H781" s="104" t="inlineStr">
        <is>
          <t>CODI</t>
        </is>
      </c>
    </row>
    <row r="782">
      <c r="B782" s="109" t="n">
        <v>46204</v>
      </c>
      <c r="C782" s="110" t="inlineStr">
        <is>
          <t>Vendas - 07/2026</t>
        </is>
      </c>
      <c r="D782" s="110" t="inlineStr">
        <is>
          <t>Entrada</t>
        </is>
      </c>
      <c r="E782" s="110" t="inlineStr">
        <is>
          <t>Vendas</t>
        </is>
      </c>
      <c r="F782" s="111" t="n">
        <v>4295</v>
      </c>
      <c r="G782" s="104" t="inlineStr">
        <is>
          <t>07/2026</t>
        </is>
      </c>
      <c r="H782" s="104" t="inlineStr">
        <is>
          <t>CODI</t>
        </is>
      </c>
    </row>
    <row r="783">
      <c r="B783" s="109" t="n">
        <v>46204</v>
      </c>
      <c r="C783" s="110" t="inlineStr">
        <is>
          <t>Vendas - 07/2026</t>
        </is>
      </c>
      <c r="D783" s="110" t="inlineStr">
        <is>
          <t>Entrada</t>
        </is>
      </c>
      <c r="E783" s="110" t="inlineStr">
        <is>
          <t>Vendas</t>
        </is>
      </c>
      <c r="F783" s="111" t="n">
        <v>370.62</v>
      </c>
      <c r="G783" s="104" t="inlineStr">
        <is>
          <t>07/2026</t>
        </is>
      </c>
      <c r="H783" s="104" t="inlineStr">
        <is>
          <t>CODI</t>
        </is>
      </c>
    </row>
    <row r="784">
      <c r="B784" s="109" t="n">
        <v>46204</v>
      </c>
      <c r="C784" s="110" t="inlineStr">
        <is>
          <t>Vendas - 07/2026</t>
        </is>
      </c>
      <c r="D784" s="110" t="inlineStr">
        <is>
          <t>Entrada</t>
        </is>
      </c>
      <c r="E784" s="110" t="inlineStr">
        <is>
          <t>Vendas</t>
        </is>
      </c>
      <c r="F784" s="111" t="n">
        <v>3753.75</v>
      </c>
      <c r="G784" s="104" t="inlineStr">
        <is>
          <t>07/2026</t>
        </is>
      </c>
      <c r="H784" s="104" t="inlineStr">
        <is>
          <t>CODI</t>
        </is>
      </c>
    </row>
    <row r="785">
      <c r="B785" s="109" t="n">
        <v>46204</v>
      </c>
      <c r="C785" s="110" t="inlineStr">
        <is>
          <t>Vendas - 07/2026</t>
        </is>
      </c>
      <c r="D785" s="110" t="inlineStr">
        <is>
          <t>Entrada</t>
        </is>
      </c>
      <c r="E785" s="110" t="inlineStr">
        <is>
          <t>Vendas</t>
        </is>
      </c>
      <c r="F785" s="111" t="n">
        <v>1222.5</v>
      </c>
      <c r="G785" s="104" t="inlineStr">
        <is>
          <t>07/2026</t>
        </is>
      </c>
      <c r="H785" s="104" t="inlineStr">
        <is>
          <t>CODI</t>
        </is>
      </c>
    </row>
    <row r="786">
      <c r="B786" s="109" t="n">
        <v>46204</v>
      </c>
      <c r="C786" s="110" t="inlineStr">
        <is>
          <t>Vendas - 07/2026</t>
        </is>
      </c>
      <c r="D786" s="110" t="inlineStr">
        <is>
          <t>Entrada</t>
        </is>
      </c>
      <c r="E786" s="110" t="inlineStr">
        <is>
          <t>Vendas</t>
        </is>
      </c>
      <c r="F786" s="111" t="n">
        <v>1695.76</v>
      </c>
      <c r="G786" s="104" t="inlineStr">
        <is>
          <t>07/2026</t>
        </is>
      </c>
      <c r="H786" s="104" t="inlineStr">
        <is>
          <t>CODI</t>
        </is>
      </c>
    </row>
    <row r="787">
      <c r="B787" s="109" t="n">
        <v>46204</v>
      </c>
      <c r="C787" s="110" t="inlineStr">
        <is>
          <t>Vendas - 07/2026</t>
        </is>
      </c>
      <c r="D787" s="110" t="inlineStr">
        <is>
          <t>Entrada</t>
        </is>
      </c>
      <c r="E787" s="110" t="inlineStr">
        <is>
          <t>Vendas</t>
        </is>
      </c>
      <c r="F787" s="111" t="n">
        <v>1400</v>
      </c>
      <c r="G787" s="104" t="inlineStr">
        <is>
          <t>07/2026</t>
        </is>
      </c>
      <c r="H787" s="104" t="inlineStr">
        <is>
          <t>CODI</t>
        </is>
      </c>
    </row>
    <row r="788">
      <c r="B788" s="109" t="n">
        <v>46204</v>
      </c>
      <c r="C788" s="110" t="inlineStr">
        <is>
          <t>Vendas - 07/2026</t>
        </is>
      </c>
      <c r="D788" s="110" t="inlineStr">
        <is>
          <t>Entrada</t>
        </is>
      </c>
      <c r="E788" s="110" t="inlineStr">
        <is>
          <t>Vendas</t>
        </is>
      </c>
      <c r="F788" s="111" t="n">
        <v>623.75</v>
      </c>
      <c r="G788" s="104" t="inlineStr">
        <is>
          <t>07/2026</t>
        </is>
      </c>
      <c r="H788" s="104" t="inlineStr">
        <is>
          <t>CODI</t>
        </is>
      </c>
    </row>
    <row r="789">
      <c r="B789" s="109" t="n">
        <v>46204</v>
      </c>
      <c r="C789" s="110" t="inlineStr">
        <is>
          <t>Vendas - 07/2026</t>
        </is>
      </c>
      <c r="D789" s="110" t="inlineStr">
        <is>
          <t>Entrada</t>
        </is>
      </c>
      <c r="E789" s="110" t="inlineStr">
        <is>
          <t>Vendas</t>
        </is>
      </c>
      <c r="F789" s="111" t="n">
        <v>623.75</v>
      </c>
      <c r="G789" s="104" t="inlineStr">
        <is>
          <t>07/2026</t>
        </is>
      </c>
      <c r="H789" s="104" t="inlineStr">
        <is>
          <t>CODI</t>
        </is>
      </c>
    </row>
    <row r="790">
      <c r="B790" s="109" t="n">
        <v>46204</v>
      </c>
      <c r="C790" s="110" t="inlineStr">
        <is>
          <t>Vendas - 07/2026</t>
        </is>
      </c>
      <c r="D790" s="110" t="inlineStr">
        <is>
          <t>Entrada</t>
        </is>
      </c>
      <c r="E790" s="110" t="inlineStr">
        <is>
          <t>Vendas</t>
        </is>
      </c>
      <c r="F790" s="111" t="n">
        <v>623.75</v>
      </c>
      <c r="G790" s="104" t="inlineStr">
        <is>
          <t>07/2026</t>
        </is>
      </c>
      <c r="H790" s="104" t="inlineStr">
        <is>
          <t>CODI</t>
        </is>
      </c>
    </row>
    <row r="791">
      <c r="B791" s="109" t="n">
        <v>46204</v>
      </c>
      <c r="C791" s="110" t="inlineStr">
        <is>
          <t>Vendas - 07/2026</t>
        </is>
      </c>
      <c r="D791" s="110" t="inlineStr">
        <is>
          <t>Entrada</t>
        </is>
      </c>
      <c r="E791" s="110" t="inlineStr">
        <is>
          <t>Vendas</t>
        </is>
      </c>
      <c r="F791" s="111" t="n">
        <v>623.75</v>
      </c>
      <c r="G791" s="104" t="inlineStr">
        <is>
          <t>07/2026</t>
        </is>
      </c>
      <c r="H791" s="104" t="inlineStr">
        <is>
          <t>CODI</t>
        </is>
      </c>
    </row>
    <row r="792">
      <c r="B792" s="109" t="n">
        <v>46204</v>
      </c>
      <c r="C792" s="110" t="inlineStr">
        <is>
          <t>Vendas - 07/2026</t>
        </is>
      </c>
      <c r="D792" s="110" t="inlineStr">
        <is>
          <t>Entrada</t>
        </is>
      </c>
      <c r="E792" s="110" t="inlineStr">
        <is>
          <t>Vendas</t>
        </is>
      </c>
      <c r="F792" s="111" t="n">
        <v>70.42</v>
      </c>
      <c r="G792" s="104" t="inlineStr">
        <is>
          <t>07/2026</t>
        </is>
      </c>
      <c r="H792" s="104" t="inlineStr">
        <is>
          <t>CODI</t>
        </is>
      </c>
    </row>
    <row r="793">
      <c r="B793" s="109" t="n">
        <v>46204</v>
      </c>
      <c r="C793" s="110" t="inlineStr">
        <is>
          <t>Vendas - 07/2026</t>
        </is>
      </c>
      <c r="D793" s="110" t="inlineStr">
        <is>
          <t>Entrada</t>
        </is>
      </c>
      <c r="E793" s="110" t="inlineStr">
        <is>
          <t>Vendas</t>
        </is>
      </c>
      <c r="F793" s="111" t="n">
        <v>70.42</v>
      </c>
      <c r="G793" s="104" t="inlineStr">
        <is>
          <t>07/2026</t>
        </is>
      </c>
      <c r="H793" s="104" t="inlineStr">
        <is>
          <t>CODI</t>
        </is>
      </c>
    </row>
    <row r="794">
      <c r="B794" s="109" t="n">
        <v>46204</v>
      </c>
      <c r="C794" s="110" t="inlineStr">
        <is>
          <t>Vendas - 07/2026</t>
        </is>
      </c>
      <c r="D794" s="110" t="inlineStr">
        <is>
          <t>Entrada</t>
        </is>
      </c>
      <c r="E794" s="110" t="inlineStr">
        <is>
          <t>Vendas</t>
        </is>
      </c>
      <c r="F794" s="111" t="n">
        <v>70.42</v>
      </c>
      <c r="G794" s="104" t="inlineStr">
        <is>
          <t>07/2026</t>
        </is>
      </c>
      <c r="H794" s="104" t="inlineStr">
        <is>
          <t>CODI</t>
        </is>
      </c>
    </row>
    <row r="795">
      <c r="B795" s="109" t="n">
        <v>46204</v>
      </c>
      <c r="C795" s="110" t="inlineStr">
        <is>
          <t>Vendas - 07/2026</t>
        </is>
      </c>
      <c r="D795" s="110" t="inlineStr">
        <is>
          <t>Entrada</t>
        </is>
      </c>
      <c r="E795" s="110" t="inlineStr">
        <is>
          <t>Vendas</t>
        </is>
      </c>
      <c r="F795" s="111" t="n">
        <v>896.4</v>
      </c>
      <c r="G795" s="104" t="inlineStr">
        <is>
          <t>07/2026</t>
        </is>
      </c>
      <c r="H795" s="104" t="inlineStr">
        <is>
          <t>CODI</t>
        </is>
      </c>
    </row>
    <row r="796">
      <c r="B796" s="109" t="n">
        <v>46204</v>
      </c>
      <c r="C796" s="110" t="inlineStr">
        <is>
          <t>Vendas - 07/2026</t>
        </is>
      </c>
      <c r="D796" s="110" t="inlineStr">
        <is>
          <t>Entrada</t>
        </is>
      </c>
      <c r="E796" s="110" t="inlineStr">
        <is>
          <t>Vendas</t>
        </is>
      </c>
      <c r="F796" s="111" t="n">
        <v>17270</v>
      </c>
      <c r="G796" s="104" t="inlineStr">
        <is>
          <t>07/2026</t>
        </is>
      </c>
      <c r="H796" s="104" t="inlineStr">
        <is>
          <t>CODI</t>
        </is>
      </c>
    </row>
    <row r="797">
      <c r="B797" s="109" t="n">
        <v>46204</v>
      </c>
      <c r="C797" s="110" t="inlineStr">
        <is>
          <t>Vendas - 07/2026</t>
        </is>
      </c>
      <c r="D797" s="110" t="inlineStr">
        <is>
          <t>Entrada</t>
        </is>
      </c>
      <c r="E797" s="110" t="inlineStr">
        <is>
          <t>Vendas</t>
        </is>
      </c>
      <c r="F797" s="111" t="n">
        <v>453.9</v>
      </c>
      <c r="G797" s="104" t="inlineStr">
        <is>
          <t>07/2026</t>
        </is>
      </c>
      <c r="H797" s="104" t="inlineStr">
        <is>
          <t>CODI</t>
        </is>
      </c>
    </row>
    <row r="798">
      <c r="B798" s="109" t="n">
        <v>46204</v>
      </c>
      <c r="C798" s="110" t="inlineStr">
        <is>
          <t>Vendas - 07/2026</t>
        </is>
      </c>
      <c r="D798" s="110" t="inlineStr">
        <is>
          <t>Entrada</t>
        </is>
      </c>
      <c r="E798" s="110" t="inlineStr">
        <is>
          <t>Vendas</t>
        </is>
      </c>
      <c r="F798" s="111" t="n">
        <v>453.9</v>
      </c>
      <c r="G798" s="104" t="inlineStr">
        <is>
          <t>07/2026</t>
        </is>
      </c>
      <c r="H798" s="104" t="inlineStr">
        <is>
          <t>CODI</t>
        </is>
      </c>
    </row>
    <row r="799">
      <c r="B799" s="109" t="n">
        <v>46204</v>
      </c>
      <c r="C799" s="110" t="inlineStr">
        <is>
          <t>Vendas - 07/2026</t>
        </is>
      </c>
      <c r="D799" s="110" t="inlineStr">
        <is>
          <t>Entrada</t>
        </is>
      </c>
      <c r="E799" s="110" t="inlineStr">
        <is>
          <t>Vendas</t>
        </is>
      </c>
      <c r="F799" s="111" t="n">
        <v>290.92</v>
      </c>
      <c r="G799" s="104" t="inlineStr">
        <is>
          <t>07/2026</t>
        </is>
      </c>
      <c r="H799" s="104" t="inlineStr">
        <is>
          <t>CODI</t>
        </is>
      </c>
    </row>
    <row r="800">
      <c r="B800" s="109" t="n">
        <v>46204</v>
      </c>
      <c r="C800" s="110" t="inlineStr">
        <is>
          <t>Vendas - 07/2026</t>
        </is>
      </c>
      <c r="D800" s="110" t="inlineStr">
        <is>
          <t>Entrada</t>
        </is>
      </c>
      <c r="E800" s="110" t="inlineStr">
        <is>
          <t>Vendas</t>
        </is>
      </c>
      <c r="F800" s="111" t="n">
        <v>290.92</v>
      </c>
      <c r="G800" s="104" t="inlineStr">
        <is>
          <t>07/2026</t>
        </is>
      </c>
      <c r="H800" s="104" t="inlineStr">
        <is>
          <t>CODI</t>
        </is>
      </c>
    </row>
    <row r="801">
      <c r="B801" s="109" t="n">
        <v>46204</v>
      </c>
      <c r="C801" s="110" t="inlineStr">
        <is>
          <t>Vendas - 07/2026</t>
        </is>
      </c>
      <c r="D801" s="110" t="inlineStr">
        <is>
          <t>Entrada</t>
        </is>
      </c>
      <c r="E801" s="110" t="inlineStr">
        <is>
          <t>Vendas</t>
        </is>
      </c>
      <c r="F801" s="111" t="n">
        <v>290.91</v>
      </c>
      <c r="G801" s="104" t="inlineStr">
        <is>
          <t>07/2026</t>
        </is>
      </c>
      <c r="H801" s="104" t="inlineStr">
        <is>
          <t>CODI</t>
        </is>
      </c>
    </row>
    <row r="802">
      <c r="B802" s="109" t="n">
        <v>46204</v>
      </c>
      <c r="C802" s="110" t="inlineStr">
        <is>
          <t>Vendas - 07/2026</t>
        </is>
      </c>
      <c r="D802" s="110" t="inlineStr">
        <is>
          <t>Entrada</t>
        </is>
      </c>
      <c r="E802" s="110" t="inlineStr">
        <is>
          <t>Vendas</t>
        </is>
      </c>
      <c r="F802" s="111" t="n">
        <v>2895.75</v>
      </c>
      <c r="G802" s="104" t="inlineStr">
        <is>
          <t>07/2026</t>
        </is>
      </c>
      <c r="H802" s="104" t="inlineStr">
        <is>
          <t>CODI</t>
        </is>
      </c>
    </row>
    <row r="803">
      <c r="B803" s="109" t="n">
        <v>46204</v>
      </c>
      <c r="C803" s="110" t="inlineStr">
        <is>
          <t>Vendas - 07/2026</t>
        </is>
      </c>
      <c r="D803" s="110" t="inlineStr">
        <is>
          <t>Entrada</t>
        </is>
      </c>
      <c r="E803" s="110" t="inlineStr">
        <is>
          <t>Vendas</t>
        </is>
      </c>
      <c r="F803" s="111" t="n">
        <v>574.9400000000001</v>
      </c>
      <c r="G803" s="104" t="inlineStr">
        <is>
          <t>07/2026</t>
        </is>
      </c>
      <c r="H803" s="104" t="inlineStr">
        <is>
          <t>CODI</t>
        </is>
      </c>
    </row>
    <row r="804">
      <c r="B804" s="109" t="n">
        <v>46204</v>
      </c>
      <c r="C804" s="110" t="inlineStr">
        <is>
          <t>Vendas - 07/2026</t>
        </is>
      </c>
      <c r="D804" s="110" t="inlineStr">
        <is>
          <t>Entrada</t>
        </is>
      </c>
      <c r="E804" s="110" t="inlineStr">
        <is>
          <t>Vendas</t>
        </is>
      </c>
      <c r="F804" s="111" t="n">
        <v>4126.04</v>
      </c>
      <c r="G804" s="104" t="inlineStr">
        <is>
          <t>07/2026</t>
        </is>
      </c>
      <c r="H804" s="104" t="inlineStr">
        <is>
          <t>CODI</t>
        </is>
      </c>
    </row>
    <row r="805">
      <c r="B805" s="109" t="n">
        <v>46204</v>
      </c>
      <c r="C805" s="110" t="inlineStr">
        <is>
          <t>Vendas - 07/2026</t>
        </is>
      </c>
      <c r="D805" s="110" t="inlineStr">
        <is>
          <t>Entrada</t>
        </is>
      </c>
      <c r="E805" s="110" t="inlineStr">
        <is>
          <t>Vendas</t>
        </is>
      </c>
      <c r="F805" s="111" t="n">
        <v>555.65</v>
      </c>
      <c r="G805" s="104" t="inlineStr">
        <is>
          <t>07/2026</t>
        </is>
      </c>
      <c r="H805" s="104" t="inlineStr">
        <is>
          <t>CODI</t>
        </is>
      </c>
    </row>
    <row r="806">
      <c r="B806" s="109" t="n">
        <v>46204</v>
      </c>
      <c r="C806" s="110" t="inlineStr">
        <is>
          <t>Vendas - 07/2026</t>
        </is>
      </c>
      <c r="D806" s="110" t="inlineStr">
        <is>
          <t>Entrada</t>
        </is>
      </c>
      <c r="E806" s="110" t="inlineStr">
        <is>
          <t>Vendas</t>
        </is>
      </c>
      <c r="F806" s="111" t="n">
        <v>1134.75</v>
      </c>
      <c r="G806" s="104" t="inlineStr">
        <is>
          <t>07/2026</t>
        </is>
      </c>
      <c r="H806" s="104" t="inlineStr">
        <is>
          <t>CODI</t>
        </is>
      </c>
    </row>
    <row r="807">
      <c r="B807" s="109" t="n">
        <v>46204</v>
      </c>
      <c r="C807" s="110" t="inlineStr">
        <is>
          <t>Vendas - 07/2026</t>
        </is>
      </c>
      <c r="D807" s="110" t="inlineStr">
        <is>
          <t>Entrada</t>
        </is>
      </c>
      <c r="E807" s="110" t="inlineStr">
        <is>
          <t>Vendas</t>
        </is>
      </c>
      <c r="F807" s="111" t="n">
        <v>4419.9</v>
      </c>
      <c r="G807" s="104" t="inlineStr">
        <is>
          <t>07/2026</t>
        </is>
      </c>
      <c r="H807" s="104" t="inlineStr">
        <is>
          <t>CODI</t>
        </is>
      </c>
    </row>
    <row r="808">
      <c r="B808" s="109" t="n">
        <v>46204</v>
      </c>
      <c r="C808" s="110" t="inlineStr">
        <is>
          <t>Vendas - 07/2026</t>
        </is>
      </c>
      <c r="D808" s="110" t="inlineStr">
        <is>
          <t>Entrada</t>
        </is>
      </c>
      <c r="E808" s="110" t="inlineStr">
        <is>
          <t>Vendas</t>
        </is>
      </c>
      <c r="F808" s="111" t="n">
        <v>911.25</v>
      </c>
      <c r="G808" s="104" t="inlineStr">
        <is>
          <t>07/2026</t>
        </is>
      </c>
      <c r="H808" s="104" t="inlineStr">
        <is>
          <t>CODI</t>
        </is>
      </c>
    </row>
    <row r="809">
      <c r="B809" s="109" t="n">
        <v>46204</v>
      </c>
      <c r="C809" s="110" t="inlineStr">
        <is>
          <t>Vendas - 07/2026</t>
        </is>
      </c>
      <c r="D809" s="110" t="inlineStr">
        <is>
          <t>Entrada</t>
        </is>
      </c>
      <c r="E809" s="110" t="inlineStr">
        <is>
          <t>Vendas</t>
        </is>
      </c>
      <c r="F809" s="111" t="n">
        <v>824</v>
      </c>
      <c r="G809" s="104" t="inlineStr">
        <is>
          <t>07/2026</t>
        </is>
      </c>
      <c r="H809" s="104" t="inlineStr">
        <is>
          <t>VAREN</t>
        </is>
      </c>
    </row>
    <row r="810">
      <c r="B810" s="109" t="n">
        <v>46204</v>
      </c>
      <c r="C810" s="110" t="inlineStr">
        <is>
          <t>Vendas - 07/2026</t>
        </is>
      </c>
      <c r="D810" s="110" t="inlineStr">
        <is>
          <t>Entrada</t>
        </is>
      </c>
      <c r="E810" s="110" t="inlineStr">
        <is>
          <t>Vendas</t>
        </is>
      </c>
      <c r="F810" s="111" t="n">
        <v>3899.06</v>
      </c>
      <c r="G810" s="104" t="inlineStr">
        <is>
          <t>07/2026</t>
        </is>
      </c>
      <c r="H810" s="104" t="inlineStr">
        <is>
          <t>VAREN</t>
        </is>
      </c>
    </row>
    <row r="811">
      <c r="B811" s="109" t="n">
        <v>46204</v>
      </c>
      <c r="C811" s="110" t="inlineStr">
        <is>
          <t>Vendas - 07/2026</t>
        </is>
      </c>
      <c r="D811" s="110" t="inlineStr">
        <is>
          <t>Entrada</t>
        </is>
      </c>
      <c r="E811" s="110" t="inlineStr">
        <is>
          <t>Vendas</t>
        </is>
      </c>
      <c r="F811" s="111" t="n">
        <v>1258.75</v>
      </c>
      <c r="G811" s="104" t="inlineStr">
        <is>
          <t>07/2026</t>
        </is>
      </c>
      <c r="H811" s="104" t="inlineStr">
        <is>
          <t>CODI</t>
        </is>
      </c>
    </row>
    <row r="812">
      <c r="B812" s="109" t="n">
        <v>46204</v>
      </c>
      <c r="C812" s="110" t="inlineStr">
        <is>
          <t>Vendas - 07/2026</t>
        </is>
      </c>
      <c r="D812" s="110" t="inlineStr">
        <is>
          <t>Entrada</t>
        </is>
      </c>
      <c r="E812" s="110" t="inlineStr">
        <is>
          <t>Vendas</t>
        </is>
      </c>
      <c r="F812" s="111" t="n">
        <v>3160</v>
      </c>
      <c r="G812" s="104" t="inlineStr">
        <is>
          <t>07/2026</t>
        </is>
      </c>
      <c r="H812" s="104" t="inlineStr">
        <is>
          <t>CODI</t>
        </is>
      </c>
    </row>
    <row r="813">
      <c r="B813" s="109" t="n">
        <v>46204</v>
      </c>
      <c r="C813" s="110" t="inlineStr">
        <is>
          <t>Vendas - 07/2026</t>
        </is>
      </c>
      <c r="D813" s="110" t="inlineStr">
        <is>
          <t>Entrada</t>
        </is>
      </c>
      <c r="E813" s="110" t="inlineStr">
        <is>
          <t>Vendas</t>
        </is>
      </c>
      <c r="F813" s="111" t="n">
        <v>10070</v>
      </c>
      <c r="G813" s="104" t="inlineStr">
        <is>
          <t>07/2026</t>
        </is>
      </c>
      <c r="H813" s="104" t="inlineStr">
        <is>
          <t>CODI</t>
        </is>
      </c>
    </row>
    <row r="814">
      <c r="B814" s="109" t="n">
        <v>46204</v>
      </c>
      <c r="C814" s="110" t="inlineStr">
        <is>
          <t>Vendas - 07/2026</t>
        </is>
      </c>
      <c r="D814" s="110" t="inlineStr">
        <is>
          <t>Entrada</t>
        </is>
      </c>
      <c r="E814" s="110" t="inlineStr">
        <is>
          <t>Vendas</t>
        </is>
      </c>
      <c r="F814" s="111" t="n">
        <v>1160</v>
      </c>
      <c r="G814" s="104" t="inlineStr">
        <is>
          <t>07/2026</t>
        </is>
      </c>
      <c r="H814" s="104" t="inlineStr">
        <is>
          <t>CODI</t>
        </is>
      </c>
    </row>
    <row r="815">
      <c r="B815" s="109" t="n">
        <v>46204</v>
      </c>
      <c r="C815" s="110" t="inlineStr">
        <is>
          <t>Vendas - 07/2026</t>
        </is>
      </c>
      <c r="D815" s="110" t="inlineStr">
        <is>
          <t>Entrada</t>
        </is>
      </c>
      <c r="E815" s="110" t="inlineStr">
        <is>
          <t>Vendas</t>
        </is>
      </c>
      <c r="F815" s="111" t="n">
        <v>1265</v>
      </c>
      <c r="G815" s="104" t="inlineStr">
        <is>
          <t>07/2026</t>
        </is>
      </c>
      <c r="H815" s="104" t="inlineStr">
        <is>
          <t>CODI</t>
        </is>
      </c>
    </row>
    <row r="816">
      <c r="B816" s="109" t="n">
        <v>46204</v>
      </c>
      <c r="C816" s="110" t="inlineStr">
        <is>
          <t>Vendas - 07/2026</t>
        </is>
      </c>
      <c r="D816" s="110" t="inlineStr">
        <is>
          <t>Entrada</t>
        </is>
      </c>
      <c r="E816" s="110" t="inlineStr">
        <is>
          <t>Vendas</t>
        </is>
      </c>
      <c r="F816" s="111" t="n">
        <v>4800</v>
      </c>
      <c r="G816" s="104" t="inlineStr">
        <is>
          <t>07/2026</t>
        </is>
      </c>
      <c r="H816" s="104" t="inlineStr">
        <is>
          <t>CODI</t>
        </is>
      </c>
    </row>
    <row r="817">
      <c r="B817" s="109" t="n">
        <v>46204</v>
      </c>
      <c r="C817" s="110" t="inlineStr">
        <is>
          <t>Vendas - 07/2026</t>
        </is>
      </c>
      <c r="D817" s="110" t="inlineStr">
        <is>
          <t>Entrada</t>
        </is>
      </c>
      <c r="E817" s="110" t="inlineStr">
        <is>
          <t>Vendas</t>
        </is>
      </c>
      <c r="F817" s="111" t="n">
        <v>2000</v>
      </c>
      <c r="G817" s="104" t="inlineStr">
        <is>
          <t>07/2026</t>
        </is>
      </c>
      <c r="H817" s="104" t="inlineStr">
        <is>
          <t>CODI</t>
        </is>
      </c>
    </row>
    <row r="818">
      <c r="B818" s="109" t="n">
        <v>46204</v>
      </c>
      <c r="C818" s="110" t="inlineStr">
        <is>
          <t>Vendas - 07/2026</t>
        </is>
      </c>
      <c r="D818" s="110" t="inlineStr">
        <is>
          <t>Entrada</t>
        </is>
      </c>
      <c r="E818" s="110" t="inlineStr">
        <is>
          <t>Vendas</t>
        </is>
      </c>
      <c r="F818" s="111" t="n">
        <v>140</v>
      </c>
      <c r="G818" s="104" t="inlineStr">
        <is>
          <t>07/2026</t>
        </is>
      </c>
      <c r="H818" s="104" t="inlineStr">
        <is>
          <t>CODI</t>
        </is>
      </c>
    </row>
    <row r="819">
      <c r="B819" s="109" t="n">
        <v>46204</v>
      </c>
      <c r="C819" s="110" t="inlineStr">
        <is>
          <t>Vendas - 07/2026</t>
        </is>
      </c>
      <c r="D819" s="110" t="inlineStr">
        <is>
          <t>Entrada</t>
        </is>
      </c>
      <c r="E819" s="110" t="inlineStr">
        <is>
          <t>Vendas</t>
        </is>
      </c>
      <c r="F819" s="111" t="n">
        <v>1232</v>
      </c>
      <c r="G819" s="104" t="inlineStr">
        <is>
          <t>07/2026</t>
        </is>
      </c>
      <c r="H819" s="104" t="inlineStr">
        <is>
          <t>CODI</t>
        </is>
      </c>
    </row>
    <row r="820">
      <c r="B820" s="109" t="n">
        <v>46204</v>
      </c>
      <c r="C820" s="110" t="inlineStr">
        <is>
          <t>Vendas - 07/2026</t>
        </is>
      </c>
      <c r="D820" s="110" t="inlineStr">
        <is>
          <t>Entrada</t>
        </is>
      </c>
      <c r="E820" s="110" t="inlineStr">
        <is>
          <t>Vendas</t>
        </is>
      </c>
      <c r="F820" s="111" t="n">
        <v>208.46</v>
      </c>
      <c r="G820" s="104" t="inlineStr">
        <is>
          <t>07/2026</t>
        </is>
      </c>
      <c r="H820" s="104" t="inlineStr">
        <is>
          <t>CODI</t>
        </is>
      </c>
    </row>
    <row r="821">
      <c r="B821" s="109" t="n">
        <v>46204</v>
      </c>
      <c r="C821" s="110" t="inlineStr">
        <is>
          <t>Vendas - 07/2026</t>
        </is>
      </c>
      <c r="D821" s="110" t="inlineStr">
        <is>
          <t>Entrada</t>
        </is>
      </c>
      <c r="E821" s="110" t="inlineStr">
        <is>
          <t>Vendas</t>
        </is>
      </c>
      <c r="F821" s="111" t="n">
        <v>385.44</v>
      </c>
      <c r="G821" s="104" t="inlineStr">
        <is>
          <t>07/2026</t>
        </is>
      </c>
      <c r="H821" s="104" t="inlineStr">
        <is>
          <t>CODI</t>
        </is>
      </c>
    </row>
    <row r="822">
      <c r="B822" s="109" t="n">
        <v>46204</v>
      </c>
      <c r="C822" s="110" t="inlineStr">
        <is>
          <t>Vendas - 07/2026</t>
        </is>
      </c>
      <c r="D822" s="110" t="inlineStr">
        <is>
          <t>Entrada</t>
        </is>
      </c>
      <c r="E822" s="110" t="inlineStr">
        <is>
          <t>Vendas</t>
        </is>
      </c>
      <c r="F822" s="111" t="n">
        <v>6004</v>
      </c>
      <c r="G822" s="104" t="inlineStr">
        <is>
          <t>07/2026</t>
        </is>
      </c>
      <c r="H822" s="104" t="inlineStr">
        <is>
          <t>CODI</t>
        </is>
      </c>
    </row>
    <row r="823">
      <c r="B823" s="109" t="n">
        <v>46204</v>
      </c>
      <c r="C823" s="110" t="inlineStr">
        <is>
          <t>Vendas - 07/2026</t>
        </is>
      </c>
      <c r="D823" s="110" t="inlineStr">
        <is>
          <t>Entrada</t>
        </is>
      </c>
      <c r="E823" s="110" t="inlineStr">
        <is>
          <t>Vendas</t>
        </is>
      </c>
      <c r="F823" s="111" t="n">
        <v>240.29</v>
      </c>
      <c r="G823" s="104" t="inlineStr">
        <is>
          <t>07/2026</t>
        </is>
      </c>
      <c r="H823" s="104" t="inlineStr">
        <is>
          <t>CODI</t>
        </is>
      </c>
    </row>
    <row r="824">
      <c r="B824" s="109" t="n">
        <v>46204</v>
      </c>
      <c r="C824" s="110" t="inlineStr">
        <is>
          <t>Vendas - 07/2026</t>
        </is>
      </c>
      <c r="D824" s="110" t="inlineStr">
        <is>
          <t>Entrada</t>
        </is>
      </c>
      <c r="E824" s="110" t="inlineStr">
        <is>
          <t>Vendas</t>
        </is>
      </c>
      <c r="F824" s="111" t="n">
        <v>5101.5</v>
      </c>
      <c r="G824" s="104" t="inlineStr">
        <is>
          <t>07/2026</t>
        </is>
      </c>
      <c r="H824" s="104" t="inlineStr">
        <is>
          <t>CODI</t>
        </is>
      </c>
    </row>
    <row r="825">
      <c r="B825" s="109" t="n">
        <v>46204</v>
      </c>
      <c r="C825" s="110" t="inlineStr">
        <is>
          <t>Vendas - 07/2026</t>
        </is>
      </c>
      <c r="D825" s="110" t="inlineStr">
        <is>
          <t>Entrada</t>
        </is>
      </c>
      <c r="E825" s="110" t="inlineStr">
        <is>
          <t>Vendas</t>
        </is>
      </c>
      <c r="F825" s="111" t="n">
        <v>223</v>
      </c>
      <c r="G825" s="104" t="inlineStr">
        <is>
          <t>07/2026</t>
        </is>
      </c>
      <c r="H825" s="104" t="inlineStr">
        <is>
          <t>CODI</t>
        </is>
      </c>
    </row>
    <row r="826">
      <c r="B826" s="109" t="n">
        <v>46204</v>
      </c>
      <c r="C826" s="110" t="inlineStr">
        <is>
          <t>Vendas - 07/2026</t>
        </is>
      </c>
      <c r="D826" s="110" t="inlineStr">
        <is>
          <t>Entrada</t>
        </is>
      </c>
      <c r="E826" s="110" t="inlineStr">
        <is>
          <t>Vendas</t>
        </is>
      </c>
      <c r="F826" s="111" t="n">
        <v>170</v>
      </c>
      <c r="G826" s="104" t="inlineStr">
        <is>
          <t>07/2026</t>
        </is>
      </c>
      <c r="H826" s="104" t="inlineStr">
        <is>
          <t>CODI</t>
        </is>
      </c>
    </row>
    <row r="827">
      <c r="B827" s="109" t="n">
        <v>46204</v>
      </c>
      <c r="C827" s="110" t="inlineStr">
        <is>
          <t>Vendas - 07/2026</t>
        </is>
      </c>
      <c r="D827" s="110" t="inlineStr">
        <is>
          <t>Entrada</t>
        </is>
      </c>
      <c r="E827" s="110" t="inlineStr">
        <is>
          <t>Vendas</t>
        </is>
      </c>
      <c r="F827" s="111" t="n">
        <v>2270</v>
      </c>
      <c r="G827" s="104" t="inlineStr">
        <is>
          <t>07/2026</t>
        </is>
      </c>
      <c r="H827" s="104" t="inlineStr">
        <is>
          <t>CODI</t>
        </is>
      </c>
    </row>
    <row r="828">
      <c r="B828" s="109" t="n">
        <v>46204</v>
      </c>
      <c r="C828" s="110" t="inlineStr">
        <is>
          <t>Vendas - 07/2026</t>
        </is>
      </c>
      <c r="D828" s="110" t="inlineStr">
        <is>
          <t>Entrada</t>
        </is>
      </c>
      <c r="E828" s="110" t="inlineStr">
        <is>
          <t>Vendas</t>
        </is>
      </c>
      <c r="F828" s="111" t="n">
        <v>710.99</v>
      </c>
      <c r="G828" s="104" t="inlineStr">
        <is>
          <t>07/2026</t>
        </is>
      </c>
      <c r="H828" s="104" t="inlineStr">
        <is>
          <t>CODI</t>
        </is>
      </c>
    </row>
    <row r="829">
      <c r="B829" s="109" t="n">
        <v>46204</v>
      </c>
      <c r="C829" s="110" t="inlineStr">
        <is>
          <t>Vendas - 07/2026</t>
        </is>
      </c>
      <c r="D829" s="110" t="inlineStr">
        <is>
          <t>Entrada</t>
        </is>
      </c>
      <c r="E829" s="110" t="inlineStr">
        <is>
          <t>Vendas</t>
        </is>
      </c>
      <c r="F829" s="111" t="n">
        <v>400</v>
      </c>
      <c r="G829" s="104" t="inlineStr">
        <is>
          <t>07/2026</t>
        </is>
      </c>
      <c r="H829" s="104" t="inlineStr">
        <is>
          <t>CODI</t>
        </is>
      </c>
    </row>
    <row r="830">
      <c r="B830" s="109" t="n">
        <v>46204</v>
      </c>
      <c r="C830" s="110" t="inlineStr">
        <is>
          <t>Vendas - 07/2026</t>
        </is>
      </c>
      <c r="D830" s="110" t="inlineStr">
        <is>
          <t>Entrada</t>
        </is>
      </c>
      <c r="E830" s="110" t="inlineStr">
        <is>
          <t>Vendas</t>
        </is>
      </c>
      <c r="F830" s="111" t="n">
        <v>510</v>
      </c>
      <c r="G830" s="104" t="inlineStr">
        <is>
          <t>07/2026</t>
        </is>
      </c>
      <c r="H830" s="104" t="inlineStr">
        <is>
          <t>CODI</t>
        </is>
      </c>
    </row>
    <row r="831">
      <c r="B831" s="109" t="n">
        <v>46204</v>
      </c>
      <c r="C831" s="110" t="inlineStr">
        <is>
          <t>Vendas - 07/2026</t>
        </is>
      </c>
      <c r="D831" s="110" t="inlineStr">
        <is>
          <t>Entrada</t>
        </is>
      </c>
      <c r="E831" s="110" t="inlineStr">
        <is>
          <t>Vendas</t>
        </is>
      </c>
      <c r="F831" s="111" t="n">
        <v>755</v>
      </c>
      <c r="G831" s="104" t="inlineStr">
        <is>
          <t>07/2026</t>
        </is>
      </c>
      <c r="H831" s="104" t="inlineStr">
        <is>
          <t>CODI</t>
        </is>
      </c>
    </row>
    <row r="832">
      <c r="B832" s="109" t="n">
        <v>46204</v>
      </c>
      <c r="C832" s="110" t="inlineStr">
        <is>
          <t>Vendas - 07/2026</t>
        </is>
      </c>
      <c r="D832" s="110" t="inlineStr">
        <is>
          <t>Entrada</t>
        </is>
      </c>
      <c r="E832" s="110" t="inlineStr">
        <is>
          <t>Vendas</t>
        </is>
      </c>
      <c r="F832" s="111" t="n">
        <v>4335</v>
      </c>
      <c r="G832" s="104" t="inlineStr">
        <is>
          <t>07/2026</t>
        </is>
      </c>
      <c r="H832" s="104" t="inlineStr">
        <is>
          <t>CODI</t>
        </is>
      </c>
    </row>
    <row r="833">
      <c r="B833" s="109" t="n">
        <v>46204</v>
      </c>
      <c r="C833" s="110" t="inlineStr">
        <is>
          <t>Vendas - 07/2026</t>
        </is>
      </c>
      <c r="D833" s="110" t="inlineStr">
        <is>
          <t>Entrada</t>
        </is>
      </c>
      <c r="E833" s="110" t="inlineStr">
        <is>
          <t>Vendas</t>
        </is>
      </c>
      <c r="F833" s="111" t="n">
        <v>5850</v>
      </c>
      <c r="G833" s="104" t="inlineStr">
        <is>
          <t>07/2026</t>
        </is>
      </c>
      <c r="H833" s="104" t="inlineStr">
        <is>
          <t>CODI</t>
        </is>
      </c>
    </row>
    <row r="834">
      <c r="B834" s="109" t="n">
        <v>46204</v>
      </c>
      <c r="C834" s="110" t="inlineStr">
        <is>
          <t>Vendas - 07/2026</t>
        </is>
      </c>
      <c r="D834" s="110" t="inlineStr">
        <is>
          <t>Entrada</t>
        </is>
      </c>
      <c r="E834" s="110" t="inlineStr">
        <is>
          <t>Vendas</t>
        </is>
      </c>
      <c r="F834" s="111" t="n">
        <v>1445</v>
      </c>
      <c r="G834" s="104" t="inlineStr">
        <is>
          <t>07/2026</t>
        </is>
      </c>
      <c r="H834" s="104" t="inlineStr">
        <is>
          <t>CODI</t>
        </is>
      </c>
    </row>
    <row r="835">
      <c r="B835" s="109" t="n">
        <v>46204</v>
      </c>
      <c r="C835" s="110" t="inlineStr">
        <is>
          <t>Vendas - 07/2026</t>
        </is>
      </c>
      <c r="D835" s="110" t="inlineStr">
        <is>
          <t>Entrada</t>
        </is>
      </c>
      <c r="E835" s="110" t="inlineStr">
        <is>
          <t>Vendas</t>
        </is>
      </c>
      <c r="F835" s="111" t="n">
        <v>1270</v>
      </c>
      <c r="G835" s="104" t="inlineStr">
        <is>
          <t>07/2026</t>
        </is>
      </c>
      <c r="H835" s="104" t="inlineStr">
        <is>
          <t>CODI</t>
        </is>
      </c>
    </row>
    <row r="836">
      <c r="B836" s="109" t="n">
        <v>46204</v>
      </c>
      <c r="C836" s="110" t="inlineStr">
        <is>
          <t>Vendas - 07/2026</t>
        </is>
      </c>
      <c r="D836" s="110" t="inlineStr">
        <is>
          <t>Entrada</t>
        </is>
      </c>
      <c r="E836" s="110" t="inlineStr">
        <is>
          <t>Vendas</t>
        </is>
      </c>
      <c r="F836" s="111" t="n">
        <v>860</v>
      </c>
      <c r="G836" s="104" t="inlineStr">
        <is>
          <t>07/2026</t>
        </is>
      </c>
      <c r="H836" s="104" t="inlineStr">
        <is>
          <t>CODI</t>
        </is>
      </c>
    </row>
    <row r="837">
      <c r="B837" s="109" t="n">
        <v>46204</v>
      </c>
      <c r="C837" s="110" t="inlineStr">
        <is>
          <t>Vendas - 07/2026</t>
        </is>
      </c>
      <c r="D837" s="110" t="inlineStr">
        <is>
          <t>Entrada</t>
        </is>
      </c>
      <c r="E837" s="110" t="inlineStr">
        <is>
          <t>Vendas</t>
        </is>
      </c>
      <c r="F837" s="111" t="n">
        <v>2060</v>
      </c>
      <c r="G837" s="104" t="inlineStr">
        <is>
          <t>07/2026</t>
        </is>
      </c>
      <c r="H837" s="104" t="inlineStr">
        <is>
          <t>CODI</t>
        </is>
      </c>
    </row>
    <row r="838">
      <c r="B838" s="109" t="n">
        <v>46204</v>
      </c>
      <c r="C838" s="110" t="inlineStr">
        <is>
          <t>Vendas - 07/2026</t>
        </is>
      </c>
      <c r="D838" s="110" t="inlineStr">
        <is>
          <t>Entrada</t>
        </is>
      </c>
      <c r="E838" s="110" t="inlineStr">
        <is>
          <t>Vendas</t>
        </is>
      </c>
      <c r="F838" s="111" t="n">
        <v>3070</v>
      </c>
      <c r="G838" s="104" t="inlineStr">
        <is>
          <t>07/2026</t>
        </is>
      </c>
      <c r="H838" s="104" t="inlineStr">
        <is>
          <t>CODI</t>
        </is>
      </c>
    </row>
    <row r="839">
      <c r="B839" s="109" t="n">
        <v>46204</v>
      </c>
      <c r="C839" s="110" t="inlineStr">
        <is>
          <t>Vendas - 07/2026</t>
        </is>
      </c>
      <c r="D839" s="110" t="inlineStr">
        <is>
          <t>Entrada</t>
        </is>
      </c>
      <c r="E839" s="110" t="inlineStr">
        <is>
          <t>Vendas</t>
        </is>
      </c>
      <c r="F839" s="111" t="n">
        <v>1750</v>
      </c>
      <c r="G839" s="104" t="inlineStr">
        <is>
          <t>07/2026</t>
        </is>
      </c>
      <c r="H839" s="104" t="inlineStr">
        <is>
          <t>CODI</t>
        </is>
      </c>
    </row>
    <row r="840">
      <c r="B840" s="109" t="n">
        <v>46204</v>
      </c>
      <c r="C840" s="110" t="inlineStr">
        <is>
          <t>Vendas - 07/2026</t>
        </is>
      </c>
      <c r="D840" s="110" t="inlineStr">
        <is>
          <t>Entrada</t>
        </is>
      </c>
      <c r="E840" s="110" t="inlineStr">
        <is>
          <t>Vendas</t>
        </is>
      </c>
      <c r="F840" s="111" t="n">
        <v>3145</v>
      </c>
      <c r="G840" s="104" t="inlineStr">
        <is>
          <t>07/2026</t>
        </is>
      </c>
      <c r="H840" s="104" t="inlineStr">
        <is>
          <t>CODI</t>
        </is>
      </c>
    </row>
    <row r="841">
      <c r="B841" s="109" t="n">
        <v>46204</v>
      </c>
      <c r="C841" s="110" t="inlineStr">
        <is>
          <t>Vendas - 07/2026</t>
        </is>
      </c>
      <c r="D841" s="110" t="inlineStr">
        <is>
          <t>Entrada</t>
        </is>
      </c>
      <c r="E841" s="110" t="inlineStr">
        <is>
          <t>Vendas</t>
        </is>
      </c>
      <c r="F841" s="111" t="n">
        <v>1619.75</v>
      </c>
      <c r="G841" s="104" t="inlineStr">
        <is>
          <t>07/2026</t>
        </is>
      </c>
      <c r="H841" s="104" t="inlineStr">
        <is>
          <t>CODI</t>
        </is>
      </c>
    </row>
    <row r="842">
      <c r="B842" s="109" t="n">
        <v>46204</v>
      </c>
      <c r="C842" s="110" t="inlineStr">
        <is>
          <t>Vendas - 07/2026</t>
        </is>
      </c>
      <c r="D842" s="110" t="inlineStr">
        <is>
          <t>Entrada</t>
        </is>
      </c>
      <c r="E842" s="110" t="inlineStr">
        <is>
          <t>Vendas</t>
        </is>
      </c>
      <c r="F842" s="111" t="n">
        <v>42.34</v>
      </c>
      <c r="G842" s="104" t="inlineStr">
        <is>
          <t>07/2026</t>
        </is>
      </c>
      <c r="H842" s="104" t="inlineStr">
        <is>
          <t>CODI</t>
        </is>
      </c>
    </row>
    <row r="843">
      <c r="B843" s="109" t="n">
        <v>46204</v>
      </c>
      <c r="C843" s="110" t="inlineStr">
        <is>
          <t>Vendas - 07/2026</t>
        </is>
      </c>
      <c r="D843" s="110" t="inlineStr">
        <is>
          <t>Entrada</t>
        </is>
      </c>
      <c r="E843" s="110" t="inlineStr">
        <is>
          <t>Vendas</t>
        </is>
      </c>
      <c r="F843" s="111" t="n">
        <v>42.34</v>
      </c>
      <c r="G843" s="104" t="inlineStr">
        <is>
          <t>07/2026</t>
        </is>
      </c>
      <c r="H843" s="104" t="inlineStr">
        <is>
          <t>CODI</t>
        </is>
      </c>
    </row>
    <row r="844">
      <c r="B844" s="109" t="n">
        <v>46204</v>
      </c>
      <c r="C844" s="110" t="inlineStr">
        <is>
          <t>Vendas - 07/2026</t>
        </is>
      </c>
      <c r="D844" s="110" t="inlineStr">
        <is>
          <t>Entrada</t>
        </is>
      </c>
      <c r="E844" s="110" t="inlineStr">
        <is>
          <t>Vendas</t>
        </is>
      </c>
      <c r="F844" s="111" t="n">
        <v>42.34</v>
      </c>
      <c r="G844" s="104" t="inlineStr">
        <is>
          <t>07/2026</t>
        </is>
      </c>
      <c r="H844" s="104" t="inlineStr">
        <is>
          <t>CODI</t>
        </is>
      </c>
    </row>
    <row r="845">
      <c r="B845" s="109" t="n">
        <v>46204</v>
      </c>
      <c r="C845" s="110" t="inlineStr">
        <is>
          <t>Vendas - 07/2026</t>
        </is>
      </c>
      <c r="D845" s="110" t="inlineStr">
        <is>
          <t>Entrada</t>
        </is>
      </c>
      <c r="E845" s="110" t="inlineStr">
        <is>
          <t>Vendas</t>
        </is>
      </c>
      <c r="F845" s="111" t="n">
        <v>42.34</v>
      </c>
      <c r="G845" s="104" t="inlineStr">
        <is>
          <t>07/2026</t>
        </is>
      </c>
      <c r="H845" s="104" t="inlineStr">
        <is>
          <t>CODI</t>
        </is>
      </c>
    </row>
    <row r="846">
      <c r="B846" s="109" t="n">
        <v>46204</v>
      </c>
      <c r="C846" s="110" t="inlineStr">
        <is>
          <t>Vendas - 07/2026</t>
        </is>
      </c>
      <c r="D846" s="110" t="inlineStr">
        <is>
          <t>Entrada</t>
        </is>
      </c>
      <c r="E846" s="110" t="inlineStr">
        <is>
          <t>Vendas</t>
        </is>
      </c>
      <c r="F846" s="111" t="n">
        <v>42.34</v>
      </c>
      <c r="G846" s="104" t="inlineStr">
        <is>
          <t>07/2026</t>
        </is>
      </c>
      <c r="H846" s="104" t="inlineStr">
        <is>
          <t>CODI</t>
        </is>
      </c>
    </row>
    <row r="847">
      <c r="B847" s="109" t="n">
        <v>46204</v>
      </c>
      <c r="C847" s="110" t="inlineStr">
        <is>
          <t>Vendas - 07/2026</t>
        </is>
      </c>
      <c r="D847" s="110" t="inlineStr">
        <is>
          <t>Entrada</t>
        </is>
      </c>
      <c r="E847" s="110" t="inlineStr">
        <is>
          <t>Vendas</t>
        </is>
      </c>
      <c r="F847" s="111" t="n">
        <v>455</v>
      </c>
      <c r="G847" s="104" t="inlineStr">
        <is>
          <t>07/2026</t>
        </is>
      </c>
      <c r="H847" s="104" t="inlineStr">
        <is>
          <t>CODI</t>
        </is>
      </c>
    </row>
    <row r="848">
      <c r="B848" s="109" t="n">
        <v>46204</v>
      </c>
      <c r="C848" s="110" t="inlineStr">
        <is>
          <t>Vendas - 07/2026</t>
        </is>
      </c>
      <c r="D848" s="110" t="inlineStr">
        <is>
          <t>Entrada</t>
        </is>
      </c>
      <c r="E848" s="110" t="inlineStr">
        <is>
          <t>Vendas</t>
        </is>
      </c>
      <c r="F848" s="111" t="n">
        <v>160</v>
      </c>
      <c r="G848" s="104" t="inlineStr">
        <is>
          <t>07/2026</t>
        </is>
      </c>
      <c r="H848" s="104" t="inlineStr">
        <is>
          <t>CODI</t>
        </is>
      </c>
    </row>
    <row r="849">
      <c r="B849" s="109" t="n">
        <v>46204</v>
      </c>
      <c r="C849" s="110" t="inlineStr">
        <is>
          <t>Vendas - 07/2026</t>
        </is>
      </c>
      <c r="D849" s="110" t="inlineStr">
        <is>
          <t>Entrada</t>
        </is>
      </c>
      <c r="E849" s="110" t="inlineStr">
        <is>
          <t>Vendas</t>
        </is>
      </c>
      <c r="F849" s="111" t="n">
        <v>80</v>
      </c>
      <c r="G849" s="104" t="inlineStr">
        <is>
          <t>07/2026</t>
        </is>
      </c>
      <c r="H849" s="104" t="inlineStr">
        <is>
          <t>CODI</t>
        </is>
      </c>
    </row>
    <row r="850">
      <c r="B850" s="109" t="n">
        <v>46204</v>
      </c>
      <c r="C850" s="110" t="inlineStr">
        <is>
          <t>Vendas - 07/2026</t>
        </is>
      </c>
      <c r="D850" s="110" t="inlineStr">
        <is>
          <t>Entrada</t>
        </is>
      </c>
      <c r="E850" s="110" t="inlineStr">
        <is>
          <t>Vendas</t>
        </is>
      </c>
      <c r="F850" s="111" t="n">
        <v>3520</v>
      </c>
      <c r="G850" s="104" t="inlineStr">
        <is>
          <t>07/2026</t>
        </is>
      </c>
      <c r="H850" s="104" t="inlineStr">
        <is>
          <t>CODI</t>
        </is>
      </c>
    </row>
    <row r="851">
      <c r="B851" s="109" t="n">
        <v>46204</v>
      </c>
      <c r="C851" s="110" t="inlineStr">
        <is>
          <t>Vendas - 07/2026</t>
        </is>
      </c>
      <c r="D851" s="110" t="inlineStr">
        <is>
          <t>Entrada</t>
        </is>
      </c>
      <c r="E851" s="110" t="inlineStr">
        <is>
          <t>Vendas</t>
        </is>
      </c>
      <c r="F851" s="111" t="n">
        <v>925</v>
      </c>
      <c r="G851" s="104" t="inlineStr">
        <is>
          <t>07/2026</t>
        </is>
      </c>
      <c r="H851" s="104" t="inlineStr">
        <is>
          <t>CODI</t>
        </is>
      </c>
    </row>
    <row r="852">
      <c r="B852" s="109" t="n">
        <v>46204</v>
      </c>
      <c r="C852" s="110" t="inlineStr">
        <is>
          <t>Vendas - 07/2026</t>
        </is>
      </c>
      <c r="D852" s="110" t="inlineStr">
        <is>
          <t>Entrada</t>
        </is>
      </c>
      <c r="E852" s="110" t="inlineStr">
        <is>
          <t>Vendas</t>
        </is>
      </c>
      <c r="F852" s="111" t="n">
        <v>580</v>
      </c>
      <c r="G852" s="104" t="inlineStr">
        <is>
          <t>07/2026</t>
        </is>
      </c>
      <c r="H852" s="104" t="inlineStr">
        <is>
          <t>CODI</t>
        </is>
      </c>
    </row>
    <row r="853">
      <c r="B853" s="109" t="n">
        <v>46204</v>
      </c>
      <c r="C853" s="110" t="inlineStr">
        <is>
          <t>Vendas - 07/2026</t>
        </is>
      </c>
      <c r="D853" s="110" t="inlineStr">
        <is>
          <t>Entrada</t>
        </is>
      </c>
      <c r="E853" s="110" t="inlineStr">
        <is>
          <t>Vendas</t>
        </is>
      </c>
      <c r="F853" s="111" t="n">
        <v>500</v>
      </c>
      <c r="G853" s="104" t="inlineStr">
        <is>
          <t>07/2026</t>
        </is>
      </c>
      <c r="H853" s="104" t="inlineStr">
        <is>
          <t>CODI</t>
        </is>
      </c>
    </row>
    <row r="854">
      <c r="B854" s="109" t="n">
        <v>46204</v>
      </c>
      <c r="C854" s="110" t="inlineStr">
        <is>
          <t>Vendas - 07/2026</t>
        </is>
      </c>
      <c r="D854" s="110" t="inlineStr">
        <is>
          <t>Entrada</t>
        </is>
      </c>
      <c r="E854" s="110" t="inlineStr">
        <is>
          <t>Vendas</t>
        </is>
      </c>
      <c r="F854" s="111" t="n">
        <v>900</v>
      </c>
      <c r="G854" s="104" t="inlineStr">
        <is>
          <t>07/2026</t>
        </is>
      </c>
      <c r="H854" s="104" t="inlineStr">
        <is>
          <t>CODI</t>
        </is>
      </c>
    </row>
    <row r="855">
      <c r="B855" s="109" t="n">
        <v>46204</v>
      </c>
      <c r="C855" s="110" t="inlineStr">
        <is>
          <t>Vendas - 07/2026</t>
        </is>
      </c>
      <c r="D855" s="110" t="inlineStr">
        <is>
          <t>Entrada</t>
        </is>
      </c>
      <c r="E855" s="110" t="inlineStr">
        <is>
          <t>Vendas</t>
        </is>
      </c>
      <c r="F855" s="111" t="n">
        <v>2075</v>
      </c>
      <c r="G855" s="104" t="inlineStr">
        <is>
          <t>07/2026</t>
        </is>
      </c>
      <c r="H855" s="104" t="inlineStr">
        <is>
          <t>CODI</t>
        </is>
      </c>
    </row>
    <row r="856">
      <c r="B856" s="109" t="n">
        <v>46204</v>
      </c>
      <c r="C856" s="110" t="inlineStr">
        <is>
          <t>Vendas - 07/2026</t>
        </is>
      </c>
      <c r="D856" s="110" t="inlineStr">
        <is>
          <t>Entrada</t>
        </is>
      </c>
      <c r="E856" s="110" t="inlineStr">
        <is>
          <t>Vendas</t>
        </is>
      </c>
      <c r="F856" s="111" t="n">
        <v>240</v>
      </c>
      <c r="G856" s="104" t="inlineStr">
        <is>
          <t>07/2026</t>
        </is>
      </c>
      <c r="H856" s="104" t="inlineStr">
        <is>
          <t>CODI</t>
        </is>
      </c>
    </row>
    <row r="857">
      <c r="B857" s="109" t="n">
        <v>46204</v>
      </c>
      <c r="C857" s="110" t="inlineStr">
        <is>
          <t>Vendas - 07/2026</t>
        </is>
      </c>
      <c r="D857" s="110" t="inlineStr">
        <is>
          <t>Entrada</t>
        </is>
      </c>
      <c r="E857" s="110" t="inlineStr">
        <is>
          <t>Vendas</t>
        </is>
      </c>
      <c r="F857" s="111" t="n">
        <v>400</v>
      </c>
      <c r="G857" s="104" t="inlineStr">
        <is>
          <t>07/2026</t>
        </is>
      </c>
      <c r="H857" s="104" t="inlineStr">
        <is>
          <t>CODI</t>
        </is>
      </c>
    </row>
    <row r="858">
      <c r="B858" s="109" t="n">
        <v>46204</v>
      </c>
      <c r="C858" s="110" t="inlineStr">
        <is>
          <t>Vendas - 07/2026</t>
        </is>
      </c>
      <c r="D858" s="110" t="inlineStr">
        <is>
          <t>Entrada</t>
        </is>
      </c>
      <c r="E858" s="110" t="inlineStr">
        <is>
          <t>Vendas</t>
        </is>
      </c>
      <c r="F858" s="111" t="n">
        <v>80</v>
      </c>
      <c r="G858" s="104" t="inlineStr">
        <is>
          <t>07/2026</t>
        </is>
      </c>
      <c r="H858" s="104" t="inlineStr">
        <is>
          <t>CODI</t>
        </is>
      </c>
    </row>
    <row r="859">
      <c r="B859" s="109" t="n">
        <v>46204</v>
      </c>
      <c r="C859" s="110" t="inlineStr">
        <is>
          <t>Vendas - 07/2026</t>
        </is>
      </c>
      <c r="D859" s="110" t="inlineStr">
        <is>
          <t>Entrada</t>
        </is>
      </c>
      <c r="E859" s="110" t="inlineStr">
        <is>
          <t>Vendas</t>
        </is>
      </c>
      <c r="F859" s="111" t="n">
        <v>2310</v>
      </c>
      <c r="G859" s="104" t="inlineStr">
        <is>
          <t>07/2026</t>
        </is>
      </c>
      <c r="H859" s="104" t="inlineStr">
        <is>
          <t>CODI</t>
        </is>
      </c>
    </row>
    <row r="860">
      <c r="B860" s="109" t="n">
        <v>46204</v>
      </c>
      <c r="C860" s="110" t="inlineStr">
        <is>
          <t>Vendas - 07/2026</t>
        </is>
      </c>
      <c r="D860" s="110" t="inlineStr">
        <is>
          <t>Entrada</t>
        </is>
      </c>
      <c r="E860" s="110" t="inlineStr">
        <is>
          <t>Vendas</t>
        </is>
      </c>
      <c r="F860" s="111" t="n">
        <v>800</v>
      </c>
      <c r="G860" s="104" t="inlineStr">
        <is>
          <t>07/2026</t>
        </is>
      </c>
      <c r="H860" s="104" t="inlineStr">
        <is>
          <t>CODI</t>
        </is>
      </c>
    </row>
    <row r="861">
      <c r="B861" s="109" t="n">
        <v>46204</v>
      </c>
      <c r="C861" s="110" t="inlineStr">
        <is>
          <t>Vendas - 07/2026</t>
        </is>
      </c>
      <c r="D861" s="110" t="inlineStr">
        <is>
          <t>Entrada</t>
        </is>
      </c>
      <c r="E861" s="110" t="inlineStr">
        <is>
          <t>Vendas</t>
        </is>
      </c>
      <c r="F861" s="111" t="n">
        <v>47</v>
      </c>
      <c r="G861" s="104" t="inlineStr">
        <is>
          <t>07/2026</t>
        </is>
      </c>
      <c r="H861" s="104" t="inlineStr">
        <is>
          <t>CODI</t>
        </is>
      </c>
    </row>
    <row r="862">
      <c r="B862" s="109" t="n">
        <v>46204</v>
      </c>
      <c r="C862" s="110" t="inlineStr">
        <is>
          <t>Vendas - 07/2026</t>
        </is>
      </c>
      <c r="D862" s="110" t="inlineStr">
        <is>
          <t>Entrada</t>
        </is>
      </c>
      <c r="E862" s="110" t="inlineStr">
        <is>
          <t>Vendas</t>
        </is>
      </c>
      <c r="F862" s="111" t="n">
        <v>2470</v>
      </c>
      <c r="G862" s="104" t="inlineStr">
        <is>
          <t>07/2026</t>
        </is>
      </c>
      <c r="H862" s="104" t="inlineStr">
        <is>
          <t>CODI</t>
        </is>
      </c>
    </row>
    <row r="863">
      <c r="B863" s="109" t="n">
        <v>46204</v>
      </c>
      <c r="C863" s="110" t="inlineStr">
        <is>
          <t>Vendas - 07/2026</t>
        </is>
      </c>
      <c r="D863" s="110" t="inlineStr">
        <is>
          <t>Entrada</t>
        </is>
      </c>
      <c r="E863" s="110" t="inlineStr">
        <is>
          <t>Vendas</t>
        </is>
      </c>
      <c r="F863" s="111" t="n">
        <v>3846</v>
      </c>
      <c r="G863" s="104" t="inlineStr">
        <is>
          <t>07/2026</t>
        </is>
      </c>
      <c r="H863" s="104" t="inlineStr">
        <is>
          <t>CODI</t>
        </is>
      </c>
    </row>
    <row r="864">
      <c r="B864" s="109" t="n">
        <v>46204</v>
      </c>
      <c r="C864" s="110" t="inlineStr">
        <is>
          <t>Vendas - 07/2026</t>
        </is>
      </c>
      <c r="D864" s="110" t="inlineStr">
        <is>
          <t>Entrada</t>
        </is>
      </c>
      <c r="E864" s="110" t="inlineStr">
        <is>
          <t>Vendas</t>
        </is>
      </c>
      <c r="F864" s="111" t="n">
        <v>2144</v>
      </c>
      <c r="G864" s="104" t="inlineStr">
        <is>
          <t>07/2026</t>
        </is>
      </c>
      <c r="H864" s="104" t="inlineStr">
        <is>
          <t>CODI</t>
        </is>
      </c>
    </row>
    <row r="865">
      <c r="B865" s="109" t="n">
        <v>46204</v>
      </c>
      <c r="C865" s="110" t="inlineStr">
        <is>
          <t>Vendas - 07/2026</t>
        </is>
      </c>
      <c r="D865" s="110" t="inlineStr">
        <is>
          <t>Entrada</t>
        </is>
      </c>
      <c r="E865" s="110" t="inlineStr">
        <is>
          <t>Vendas</t>
        </is>
      </c>
      <c r="F865" s="111" t="n">
        <v>1222.5</v>
      </c>
      <c r="G865" s="104" t="inlineStr">
        <is>
          <t>07/2026</t>
        </is>
      </c>
      <c r="H865" s="104" t="inlineStr">
        <is>
          <t>CODI</t>
        </is>
      </c>
    </row>
    <row r="866">
      <c r="B866" s="109" t="n">
        <v>46204</v>
      </c>
      <c r="C866" s="110" t="inlineStr">
        <is>
          <t>Vendas - 07/2026</t>
        </is>
      </c>
      <c r="D866" s="110" t="inlineStr">
        <is>
          <t>Entrada</t>
        </is>
      </c>
      <c r="E866" s="110" t="inlineStr">
        <is>
          <t>Vendas</t>
        </is>
      </c>
      <c r="F866" s="111" t="n">
        <v>1522.8</v>
      </c>
      <c r="G866" s="104" t="inlineStr">
        <is>
          <t>07/2026</t>
        </is>
      </c>
      <c r="H866" s="104" t="inlineStr">
        <is>
          <t>CODI</t>
        </is>
      </c>
    </row>
    <row r="867">
      <c r="B867" s="109" t="n">
        <v>46204</v>
      </c>
      <c r="C867" s="110" t="inlineStr">
        <is>
          <t>Vendas - 07/2026</t>
        </is>
      </c>
      <c r="D867" s="110" t="inlineStr">
        <is>
          <t>Entrada</t>
        </is>
      </c>
      <c r="E867" s="110" t="inlineStr">
        <is>
          <t>Vendas</t>
        </is>
      </c>
      <c r="F867" s="111" t="n">
        <v>1746.95</v>
      </c>
      <c r="G867" s="104" t="inlineStr">
        <is>
          <t>07/2026</t>
        </is>
      </c>
      <c r="H867" s="104" t="inlineStr">
        <is>
          <t>CODI</t>
        </is>
      </c>
    </row>
    <row r="868">
      <c r="B868" s="109" t="n">
        <v>46204</v>
      </c>
      <c r="C868" s="110" t="inlineStr">
        <is>
          <t>Vendas - 07/2026</t>
        </is>
      </c>
      <c r="D868" s="110" t="inlineStr">
        <is>
          <t>Entrada</t>
        </is>
      </c>
      <c r="E868" s="110" t="inlineStr">
        <is>
          <t>Vendas</t>
        </is>
      </c>
      <c r="F868" s="111" t="n">
        <v>500</v>
      </c>
      <c r="G868" s="104" t="inlineStr">
        <is>
          <t>07/2026</t>
        </is>
      </c>
      <c r="H868" s="104" t="inlineStr">
        <is>
          <t>CODI</t>
        </is>
      </c>
    </row>
    <row r="869">
      <c r="B869" s="109" t="n">
        <v>46204</v>
      </c>
      <c r="C869" s="110" t="inlineStr">
        <is>
          <t>Vendas - 07/2026</t>
        </is>
      </c>
      <c r="D869" s="110" t="inlineStr">
        <is>
          <t>Entrada</t>
        </is>
      </c>
      <c r="E869" s="110" t="inlineStr">
        <is>
          <t>Vendas</t>
        </is>
      </c>
      <c r="F869" s="111" t="n">
        <v>1680</v>
      </c>
      <c r="G869" s="104" t="inlineStr">
        <is>
          <t>07/2026</t>
        </is>
      </c>
      <c r="H869" s="104" t="inlineStr">
        <is>
          <t>CODI</t>
        </is>
      </c>
    </row>
    <row r="870">
      <c r="B870" s="109" t="n">
        <v>46204</v>
      </c>
      <c r="C870" s="110" t="inlineStr">
        <is>
          <t>Vendas - 07/2026</t>
        </is>
      </c>
      <c r="D870" s="110" t="inlineStr">
        <is>
          <t>Entrada</t>
        </is>
      </c>
      <c r="E870" s="110" t="inlineStr">
        <is>
          <t>Vendas</t>
        </is>
      </c>
      <c r="F870" s="111" t="n">
        <v>342.5</v>
      </c>
      <c r="G870" s="104" t="inlineStr">
        <is>
          <t>07/2026</t>
        </is>
      </c>
      <c r="H870" s="104" t="inlineStr">
        <is>
          <t>CODI</t>
        </is>
      </c>
    </row>
    <row r="871">
      <c r="B871" s="109" t="n">
        <v>46204</v>
      </c>
      <c r="C871" s="110" t="inlineStr">
        <is>
          <t>Vendas - 07/2026</t>
        </is>
      </c>
      <c r="D871" s="110" t="inlineStr">
        <is>
          <t>Entrada</t>
        </is>
      </c>
      <c r="E871" s="110" t="inlineStr">
        <is>
          <t>Vendas</t>
        </is>
      </c>
      <c r="F871" s="111" t="n">
        <v>342.5</v>
      </c>
      <c r="G871" s="104" t="inlineStr">
        <is>
          <t>07/2026</t>
        </is>
      </c>
      <c r="H871" s="104" t="inlineStr">
        <is>
          <t>CODI</t>
        </is>
      </c>
    </row>
    <row r="872">
      <c r="B872" s="109" t="n">
        <v>46204</v>
      </c>
      <c r="C872" s="110" t="inlineStr">
        <is>
          <t>Vendas - 07/2026</t>
        </is>
      </c>
      <c r="D872" s="110" t="inlineStr">
        <is>
          <t>Entrada</t>
        </is>
      </c>
      <c r="E872" s="110" t="inlineStr">
        <is>
          <t>Vendas</t>
        </is>
      </c>
      <c r="F872" s="111" t="n">
        <v>342.5</v>
      </c>
      <c r="G872" s="104" t="inlineStr">
        <is>
          <t>07/2026</t>
        </is>
      </c>
      <c r="H872" s="104" t="inlineStr">
        <is>
          <t>CODI</t>
        </is>
      </c>
    </row>
    <row r="873">
      <c r="B873" s="109" t="n">
        <v>46204</v>
      </c>
      <c r="C873" s="110" t="inlineStr">
        <is>
          <t>Vendas - 07/2026</t>
        </is>
      </c>
      <c r="D873" s="110" t="inlineStr">
        <is>
          <t>Entrada</t>
        </is>
      </c>
      <c r="E873" s="110" t="inlineStr">
        <is>
          <t>Vendas</t>
        </is>
      </c>
      <c r="F873" s="111" t="n">
        <v>342.5</v>
      </c>
      <c r="G873" s="104" t="inlineStr">
        <is>
          <t>07/2026</t>
        </is>
      </c>
      <c r="H873" s="104" t="inlineStr">
        <is>
          <t>CODI</t>
        </is>
      </c>
    </row>
    <row r="874">
      <c r="B874" s="109" t="n">
        <v>46204</v>
      </c>
      <c r="C874" s="110" t="inlineStr">
        <is>
          <t>Vendas - 07/2026</t>
        </is>
      </c>
      <c r="D874" s="110" t="inlineStr">
        <is>
          <t>Entrada</t>
        </is>
      </c>
      <c r="E874" s="110" t="inlineStr">
        <is>
          <t>Vendas</t>
        </is>
      </c>
      <c r="F874" s="111" t="n">
        <v>18.63</v>
      </c>
      <c r="G874" s="104" t="inlineStr">
        <is>
          <t>07/2026</t>
        </is>
      </c>
      <c r="H874" s="104" t="inlineStr">
        <is>
          <t>CODI</t>
        </is>
      </c>
    </row>
    <row r="875">
      <c r="B875" s="109" t="n">
        <v>46204</v>
      </c>
      <c r="C875" s="110" t="inlineStr">
        <is>
          <t>Vendas - 07/2026</t>
        </is>
      </c>
      <c r="D875" s="110" t="inlineStr">
        <is>
          <t>Entrada</t>
        </is>
      </c>
      <c r="E875" s="110" t="inlineStr">
        <is>
          <t>Vendas</t>
        </is>
      </c>
      <c r="F875" s="111" t="n">
        <v>18.63</v>
      </c>
      <c r="G875" s="104" t="inlineStr">
        <is>
          <t>07/2026</t>
        </is>
      </c>
      <c r="H875" s="104" t="inlineStr">
        <is>
          <t>CODI</t>
        </is>
      </c>
    </row>
    <row r="876">
      <c r="B876" s="109" t="n">
        <v>46204</v>
      </c>
      <c r="C876" s="110" t="inlineStr">
        <is>
          <t>Vendas - 07/2026</t>
        </is>
      </c>
      <c r="D876" s="110" t="inlineStr">
        <is>
          <t>Entrada</t>
        </is>
      </c>
      <c r="E876" s="110" t="inlineStr">
        <is>
          <t>Vendas</t>
        </is>
      </c>
      <c r="F876" s="111" t="n">
        <v>18.63</v>
      </c>
      <c r="G876" s="104" t="inlineStr">
        <is>
          <t>07/2026</t>
        </is>
      </c>
      <c r="H876" s="104" t="inlineStr">
        <is>
          <t>CODI</t>
        </is>
      </c>
    </row>
    <row r="877">
      <c r="B877" s="109" t="n">
        <v>46204</v>
      </c>
      <c r="C877" s="110" t="inlineStr">
        <is>
          <t>Vendas - 07/2026</t>
        </is>
      </c>
      <c r="D877" s="110" t="inlineStr">
        <is>
          <t>Entrada</t>
        </is>
      </c>
      <c r="E877" s="110" t="inlineStr">
        <is>
          <t>Vendas</t>
        </is>
      </c>
      <c r="F877" s="111" t="n">
        <v>18.63</v>
      </c>
      <c r="G877" s="104" t="inlineStr">
        <is>
          <t>07/2026</t>
        </is>
      </c>
      <c r="H877" s="104" t="inlineStr">
        <is>
          <t>CODI</t>
        </is>
      </c>
    </row>
    <row r="878">
      <c r="B878" s="109" t="n">
        <v>46204</v>
      </c>
      <c r="C878" s="110" t="inlineStr">
        <is>
          <t>Vendas - 07/2026</t>
        </is>
      </c>
      <c r="D878" s="110" t="inlineStr">
        <is>
          <t>Entrada</t>
        </is>
      </c>
      <c r="E878" s="110" t="inlineStr">
        <is>
          <t>Vendas</t>
        </is>
      </c>
      <c r="F878" s="111" t="n">
        <v>18.63</v>
      </c>
      <c r="G878" s="104" t="inlineStr">
        <is>
          <t>07/2026</t>
        </is>
      </c>
      <c r="H878" s="104" t="inlineStr">
        <is>
          <t>CODI</t>
        </is>
      </c>
    </row>
    <row r="879">
      <c r="B879" s="109" t="n">
        <v>46204</v>
      </c>
      <c r="C879" s="110" t="inlineStr">
        <is>
          <t>Vendas - 07/2026</t>
        </is>
      </c>
      <c r="D879" s="110" t="inlineStr">
        <is>
          <t>Entrada</t>
        </is>
      </c>
      <c r="E879" s="110" t="inlineStr">
        <is>
          <t>Vendas</t>
        </is>
      </c>
      <c r="F879" s="111" t="n">
        <v>18.65</v>
      </c>
      <c r="G879" s="104" t="inlineStr">
        <is>
          <t>07/2026</t>
        </is>
      </c>
      <c r="H879" s="104" t="inlineStr">
        <is>
          <t>CODI</t>
        </is>
      </c>
    </row>
    <row r="880">
      <c r="B880" s="109" t="n">
        <v>46204</v>
      </c>
      <c r="C880" s="110" t="inlineStr">
        <is>
          <t>Vendas - 07/2026</t>
        </is>
      </c>
      <c r="D880" s="110" t="inlineStr">
        <is>
          <t>Entrada</t>
        </is>
      </c>
      <c r="E880" s="110" t="inlineStr">
        <is>
          <t>Vendas</t>
        </is>
      </c>
      <c r="F880" s="111" t="n">
        <v>3000</v>
      </c>
      <c r="G880" s="104" t="inlineStr">
        <is>
          <t>07/2026</t>
        </is>
      </c>
      <c r="H880" s="104" t="inlineStr">
        <is>
          <t>CODI</t>
        </is>
      </c>
    </row>
    <row r="881">
      <c r="B881" s="109" t="n">
        <v>46204</v>
      </c>
      <c r="C881" s="110" t="inlineStr">
        <is>
          <t>Vendas - 07/2026</t>
        </is>
      </c>
      <c r="D881" s="110" t="inlineStr">
        <is>
          <t>Entrada</t>
        </is>
      </c>
      <c r="E881" s="110" t="inlineStr">
        <is>
          <t>Vendas</t>
        </is>
      </c>
      <c r="F881" s="111" t="n">
        <v>1497</v>
      </c>
      <c r="G881" s="104" t="inlineStr">
        <is>
          <t>07/2026</t>
        </is>
      </c>
      <c r="H881" s="104" t="inlineStr">
        <is>
          <t>CODI</t>
        </is>
      </c>
    </row>
    <row r="882">
      <c r="B882" s="109" t="n">
        <v>46204</v>
      </c>
      <c r="C882" s="110" t="inlineStr">
        <is>
          <t>Vendas - 07/2026</t>
        </is>
      </c>
      <c r="D882" s="110" t="inlineStr">
        <is>
          <t>Entrada</t>
        </is>
      </c>
      <c r="E882" s="110" t="inlineStr">
        <is>
          <t>Vendas</t>
        </is>
      </c>
      <c r="F882" s="111" t="n">
        <v>963.3</v>
      </c>
      <c r="G882" s="104" t="inlineStr">
        <is>
          <t>07/2026</t>
        </is>
      </c>
      <c r="H882" s="104" t="inlineStr">
        <is>
          <t>CODI</t>
        </is>
      </c>
    </row>
    <row r="883">
      <c r="B883" s="109" t="n">
        <v>46204</v>
      </c>
      <c r="C883" s="110" t="inlineStr">
        <is>
          <t>Vendas - 07/2026</t>
        </is>
      </c>
      <c r="D883" s="110" t="inlineStr">
        <is>
          <t>Entrada</t>
        </is>
      </c>
      <c r="E883" s="110" t="inlineStr">
        <is>
          <t>Vendas</t>
        </is>
      </c>
      <c r="F883" s="111" t="n">
        <v>2005</v>
      </c>
      <c r="G883" s="104" t="inlineStr">
        <is>
          <t>07/2026</t>
        </is>
      </c>
      <c r="H883" s="104" t="inlineStr">
        <is>
          <t>CODI</t>
        </is>
      </c>
    </row>
    <row r="884">
      <c r="B884" s="109" t="n">
        <v>46204</v>
      </c>
      <c r="C884" s="110" t="inlineStr">
        <is>
          <t>Vendas - 07/2026</t>
        </is>
      </c>
      <c r="D884" s="110" t="inlineStr">
        <is>
          <t>Entrada</t>
        </is>
      </c>
      <c r="E884" s="110" t="inlineStr">
        <is>
          <t>Vendas</t>
        </is>
      </c>
      <c r="F884" s="111" t="n">
        <v>2750</v>
      </c>
      <c r="G884" s="104" t="inlineStr">
        <is>
          <t>07/2026</t>
        </is>
      </c>
      <c r="H884" s="104" t="inlineStr">
        <is>
          <t>CODI</t>
        </is>
      </c>
    </row>
    <row r="885">
      <c r="B885" s="109" t="n">
        <v>46204</v>
      </c>
      <c r="C885" s="110" t="inlineStr">
        <is>
          <t>Vendas - 07/2026</t>
        </is>
      </c>
      <c r="D885" s="110" t="inlineStr">
        <is>
          <t>Entrada</t>
        </is>
      </c>
      <c r="E885" s="110" t="inlineStr">
        <is>
          <t>Vendas</t>
        </is>
      </c>
      <c r="F885" s="111" t="n">
        <v>2295</v>
      </c>
      <c r="G885" s="104" t="inlineStr">
        <is>
          <t>07/2026</t>
        </is>
      </c>
      <c r="H885" s="104" t="inlineStr">
        <is>
          <t>CODI</t>
        </is>
      </c>
    </row>
    <row r="886">
      <c r="B886" s="109" t="n">
        <v>46204</v>
      </c>
      <c r="C886" s="110" t="inlineStr">
        <is>
          <t>Vendas - 07/2026</t>
        </is>
      </c>
      <c r="D886" s="110" t="inlineStr">
        <is>
          <t>Entrada</t>
        </is>
      </c>
      <c r="E886" s="110" t="inlineStr">
        <is>
          <t>Vendas</t>
        </is>
      </c>
      <c r="F886" s="111" t="n">
        <v>1690</v>
      </c>
      <c r="G886" s="104" t="inlineStr">
        <is>
          <t>07/2026</t>
        </is>
      </c>
      <c r="H886" s="104" t="inlineStr">
        <is>
          <t>CODI</t>
        </is>
      </c>
    </row>
    <row r="887">
      <c r="B887" s="109" t="n">
        <v>46204</v>
      </c>
      <c r="C887" s="110" t="inlineStr">
        <is>
          <t>Vendas - 07/2026</t>
        </is>
      </c>
      <c r="D887" s="110" t="inlineStr">
        <is>
          <t>Entrada</t>
        </is>
      </c>
      <c r="E887" s="110" t="inlineStr">
        <is>
          <t>Vendas</t>
        </is>
      </c>
      <c r="F887" s="111" t="n">
        <v>38.61</v>
      </c>
      <c r="G887" s="104" t="inlineStr">
        <is>
          <t>07/2026</t>
        </is>
      </c>
      <c r="H887" s="104" t="inlineStr">
        <is>
          <t>CODI</t>
        </is>
      </c>
    </row>
    <row r="888">
      <c r="B888" s="109" t="n">
        <v>46204</v>
      </c>
      <c r="C888" s="110" t="inlineStr">
        <is>
          <t>Vendas - 07/2026</t>
        </is>
      </c>
      <c r="D888" s="110" t="inlineStr">
        <is>
          <t>Entrada</t>
        </is>
      </c>
      <c r="E888" s="110" t="inlineStr">
        <is>
          <t>Vendas</t>
        </is>
      </c>
      <c r="F888" s="111" t="n">
        <v>38.61</v>
      </c>
      <c r="G888" s="104" t="inlineStr">
        <is>
          <t>07/2026</t>
        </is>
      </c>
      <c r="H888" s="104" t="inlineStr">
        <is>
          <t>CODI</t>
        </is>
      </c>
    </row>
    <row r="889">
      <c r="B889" s="109" t="n">
        <v>46204</v>
      </c>
      <c r="C889" s="110" t="inlineStr">
        <is>
          <t>Vendas - 07/2026</t>
        </is>
      </c>
      <c r="D889" s="110" t="inlineStr">
        <is>
          <t>Entrada</t>
        </is>
      </c>
      <c r="E889" s="110" t="inlineStr">
        <is>
          <t>Vendas</t>
        </is>
      </c>
      <c r="F889" s="111" t="n">
        <v>38.61</v>
      </c>
      <c r="G889" s="104" t="inlineStr">
        <is>
          <t>07/2026</t>
        </is>
      </c>
      <c r="H889" s="104" t="inlineStr">
        <is>
          <t>CODI</t>
        </is>
      </c>
    </row>
    <row r="890">
      <c r="B890" s="109" t="n">
        <v>46204</v>
      </c>
      <c r="C890" s="110" t="inlineStr">
        <is>
          <t>Vendas - 07/2026</t>
        </is>
      </c>
      <c r="D890" s="110" t="inlineStr">
        <is>
          <t>Entrada</t>
        </is>
      </c>
      <c r="E890" s="110" t="inlineStr">
        <is>
          <t>Vendas</t>
        </is>
      </c>
      <c r="F890" s="111" t="n">
        <v>38.61</v>
      </c>
      <c r="G890" s="104" t="inlineStr">
        <is>
          <t>07/2026</t>
        </is>
      </c>
      <c r="H890" s="104" t="inlineStr">
        <is>
          <t>CODI</t>
        </is>
      </c>
    </row>
    <row r="891">
      <c r="B891" s="109" t="n">
        <v>46204</v>
      </c>
      <c r="C891" s="110" t="inlineStr">
        <is>
          <t>Vendas - 07/2026</t>
        </is>
      </c>
      <c r="D891" s="110" t="inlineStr">
        <is>
          <t>Entrada</t>
        </is>
      </c>
      <c r="E891" s="110" t="inlineStr">
        <is>
          <t>Vendas</t>
        </is>
      </c>
      <c r="F891" s="111" t="n">
        <v>38.61</v>
      </c>
      <c r="G891" s="104" t="inlineStr">
        <is>
          <t>07/2026</t>
        </is>
      </c>
      <c r="H891" s="104" t="inlineStr">
        <is>
          <t>CODI</t>
        </is>
      </c>
    </row>
    <row r="892">
      <c r="B892" s="109" t="n">
        <v>46204</v>
      </c>
      <c r="C892" s="110" t="inlineStr">
        <is>
          <t>Vendas - 07/2026</t>
        </is>
      </c>
      <c r="D892" s="110" t="inlineStr">
        <is>
          <t>Entrada</t>
        </is>
      </c>
      <c r="E892" s="110" t="inlineStr">
        <is>
          <t>Vendas</t>
        </is>
      </c>
      <c r="F892" s="111" t="n">
        <v>38.63</v>
      </c>
      <c r="G892" s="104" t="inlineStr">
        <is>
          <t>07/2026</t>
        </is>
      </c>
      <c r="H892" s="104" t="inlineStr">
        <is>
          <t>CODI</t>
        </is>
      </c>
    </row>
    <row r="893">
      <c r="B893" s="109" t="n">
        <v>46204</v>
      </c>
      <c r="C893" s="110" t="inlineStr">
        <is>
          <t>Vendas - 07/2026</t>
        </is>
      </c>
      <c r="D893" s="110" t="inlineStr">
        <is>
          <t>Entrada</t>
        </is>
      </c>
      <c r="E893" s="110" t="inlineStr">
        <is>
          <t>Vendas</t>
        </is>
      </c>
      <c r="F893" s="111" t="n">
        <v>1315.6</v>
      </c>
      <c r="G893" s="104" t="inlineStr">
        <is>
          <t>07/2026</t>
        </is>
      </c>
      <c r="H893" s="104" t="inlineStr">
        <is>
          <t>CODI</t>
        </is>
      </c>
    </row>
    <row r="894">
      <c r="B894" s="109" t="n">
        <v>46204</v>
      </c>
      <c r="C894" s="110" t="inlineStr">
        <is>
          <t>Vendas - 07/2026</t>
        </is>
      </c>
      <c r="D894" s="110" t="inlineStr">
        <is>
          <t>Entrada</t>
        </is>
      </c>
      <c r="E894" s="110" t="inlineStr">
        <is>
          <t>Vendas</t>
        </is>
      </c>
      <c r="F894" s="111" t="n">
        <v>51200</v>
      </c>
      <c r="G894" s="104" t="inlineStr">
        <is>
          <t>07/2026</t>
        </is>
      </c>
      <c r="H894" s="104" t="inlineStr">
        <is>
          <t>CODI</t>
        </is>
      </c>
    </row>
    <row r="895">
      <c r="B895" s="109" t="n">
        <v>46204</v>
      </c>
      <c r="C895" s="110" t="inlineStr">
        <is>
          <t>Vendas - 07/2026</t>
        </is>
      </c>
      <c r="D895" s="110" t="inlineStr">
        <is>
          <t>Entrada</t>
        </is>
      </c>
      <c r="E895" s="110" t="inlineStr">
        <is>
          <t>Vendas</t>
        </is>
      </c>
      <c r="F895" s="111" t="n">
        <v>80</v>
      </c>
      <c r="G895" s="104" t="inlineStr">
        <is>
          <t>07/2026</t>
        </is>
      </c>
      <c r="H895" s="104" t="inlineStr">
        <is>
          <t>CODI</t>
        </is>
      </c>
    </row>
    <row r="896">
      <c r="B896" s="109" t="n">
        <v>46204</v>
      </c>
      <c r="C896" s="110" t="inlineStr">
        <is>
          <t>Vendas - 07/2026</t>
        </is>
      </c>
      <c r="D896" s="110" t="inlineStr">
        <is>
          <t>Entrada</t>
        </is>
      </c>
      <c r="E896" s="110" t="inlineStr">
        <is>
          <t>Vendas</t>
        </is>
      </c>
      <c r="F896" s="111" t="n">
        <v>70</v>
      </c>
      <c r="G896" s="104" t="inlineStr">
        <is>
          <t>07/2026</t>
        </is>
      </c>
      <c r="H896" s="104" t="inlineStr">
        <is>
          <t>CODI</t>
        </is>
      </c>
    </row>
    <row r="897">
      <c r="B897" s="109" t="n">
        <v>46204</v>
      </c>
      <c r="C897" s="110" t="inlineStr">
        <is>
          <t>Vendas - 07/2026</t>
        </is>
      </c>
      <c r="D897" s="110" t="inlineStr">
        <is>
          <t>Entrada</t>
        </is>
      </c>
      <c r="E897" s="110" t="inlineStr">
        <is>
          <t>Vendas</t>
        </is>
      </c>
      <c r="F897" s="111" t="n">
        <v>30</v>
      </c>
      <c r="G897" s="104" t="inlineStr">
        <is>
          <t>07/2026</t>
        </is>
      </c>
      <c r="H897" s="104" t="inlineStr">
        <is>
          <t>CODI</t>
        </is>
      </c>
    </row>
    <row r="898">
      <c r="B898" s="109" t="n">
        <v>46204</v>
      </c>
      <c r="C898" s="110" t="inlineStr">
        <is>
          <t>Vendas - 07/2026</t>
        </is>
      </c>
      <c r="D898" s="110" t="inlineStr">
        <is>
          <t>Entrada</t>
        </is>
      </c>
      <c r="E898" s="110" t="inlineStr">
        <is>
          <t>Vendas</t>
        </is>
      </c>
      <c r="F898" s="111" t="n">
        <v>1200</v>
      </c>
      <c r="G898" s="104" t="inlineStr">
        <is>
          <t>07/2026</t>
        </is>
      </c>
      <c r="H898" s="104" t="inlineStr">
        <is>
          <t>CODI</t>
        </is>
      </c>
    </row>
    <row r="899">
      <c r="B899" s="109" t="n">
        <v>46204</v>
      </c>
      <c r="C899" s="110" t="inlineStr">
        <is>
          <t>Vendas - 07/2026</t>
        </is>
      </c>
      <c r="D899" s="110" t="inlineStr">
        <is>
          <t>Entrada</t>
        </is>
      </c>
      <c r="E899" s="110" t="inlineStr">
        <is>
          <t>Vendas</t>
        </is>
      </c>
      <c r="F899" s="111" t="n">
        <v>75</v>
      </c>
      <c r="G899" s="104" t="inlineStr">
        <is>
          <t>07/2026</t>
        </is>
      </c>
      <c r="H899" s="104" t="inlineStr">
        <is>
          <t>CODI</t>
        </is>
      </c>
    </row>
    <row r="900">
      <c r="B900" s="109" t="n">
        <v>46204</v>
      </c>
      <c r="C900" s="110" t="inlineStr">
        <is>
          <t>Vendas - 07/2026</t>
        </is>
      </c>
      <c r="D900" s="110" t="inlineStr">
        <is>
          <t>Entrada</t>
        </is>
      </c>
      <c r="E900" s="110" t="inlineStr">
        <is>
          <t>Vendas</t>
        </is>
      </c>
      <c r="F900" s="111" t="n">
        <v>820</v>
      </c>
      <c r="G900" s="104" t="inlineStr">
        <is>
          <t>07/2026</t>
        </is>
      </c>
      <c r="H900" s="104" t="inlineStr">
        <is>
          <t>CODI</t>
        </is>
      </c>
    </row>
    <row r="901">
      <c r="B901" s="109" t="n">
        <v>46204</v>
      </c>
      <c r="C901" s="110" t="inlineStr">
        <is>
          <t>Vendas - 07/2026</t>
        </is>
      </c>
      <c r="D901" s="110" t="inlineStr">
        <is>
          <t>Entrada</t>
        </is>
      </c>
      <c r="E901" s="110" t="inlineStr">
        <is>
          <t>Vendas</t>
        </is>
      </c>
      <c r="F901" s="111" t="n">
        <v>515.8099999999999</v>
      </c>
      <c r="G901" s="104" t="inlineStr">
        <is>
          <t>07/2026</t>
        </is>
      </c>
      <c r="H901" s="104" t="inlineStr">
        <is>
          <t>CODI</t>
        </is>
      </c>
    </row>
    <row r="902">
      <c r="B902" s="109" t="n">
        <v>46204</v>
      </c>
      <c r="C902" s="110" t="inlineStr">
        <is>
          <t>Vendas - 07/2026</t>
        </is>
      </c>
      <c r="D902" s="110" t="inlineStr">
        <is>
          <t>Entrada</t>
        </is>
      </c>
      <c r="E902" s="110" t="inlineStr">
        <is>
          <t>Vendas</t>
        </is>
      </c>
      <c r="F902" s="111" t="n">
        <v>2410</v>
      </c>
      <c r="G902" s="104" t="inlineStr">
        <is>
          <t>07/2026</t>
        </is>
      </c>
      <c r="H902" s="104" t="inlineStr">
        <is>
          <t>CODI</t>
        </is>
      </c>
    </row>
    <row r="903">
      <c r="B903" s="109" t="n">
        <v>46204</v>
      </c>
      <c r="C903" s="110" t="inlineStr">
        <is>
          <t>Vendas - 07/2026</t>
        </is>
      </c>
      <c r="D903" s="110" t="inlineStr">
        <is>
          <t>Entrada</t>
        </is>
      </c>
      <c r="E903" s="110" t="inlineStr">
        <is>
          <t>Vendas</t>
        </is>
      </c>
      <c r="F903" s="111" t="n">
        <v>1180</v>
      </c>
      <c r="G903" s="104" t="inlineStr">
        <is>
          <t>07/2026</t>
        </is>
      </c>
      <c r="H903" s="104" t="inlineStr">
        <is>
          <t>CODI</t>
        </is>
      </c>
    </row>
    <row r="904">
      <c r="B904" s="109" t="n">
        <v>46204</v>
      </c>
      <c r="C904" s="110" t="inlineStr">
        <is>
          <t>Vendas - 07/2026</t>
        </is>
      </c>
      <c r="D904" s="110" t="inlineStr">
        <is>
          <t>Entrada</t>
        </is>
      </c>
      <c r="E904" s="110" t="inlineStr">
        <is>
          <t>Vendas</t>
        </is>
      </c>
      <c r="F904" s="111" t="n">
        <v>1190</v>
      </c>
      <c r="G904" s="104" t="inlineStr">
        <is>
          <t>07/2026</t>
        </is>
      </c>
      <c r="H904" s="104" t="inlineStr">
        <is>
          <t>CODI</t>
        </is>
      </c>
    </row>
    <row r="905">
      <c r="B905" s="109" t="n">
        <v>46204</v>
      </c>
      <c r="C905" s="110" t="inlineStr">
        <is>
          <t>Vendas - 07/2026</t>
        </is>
      </c>
      <c r="D905" s="110" t="inlineStr">
        <is>
          <t>Entrada</t>
        </is>
      </c>
      <c r="E905" s="110" t="inlineStr">
        <is>
          <t>Vendas</t>
        </is>
      </c>
      <c r="F905" s="111" t="n">
        <v>215.8</v>
      </c>
      <c r="G905" s="104" t="inlineStr">
        <is>
          <t>07/2026</t>
        </is>
      </c>
      <c r="H905" s="104" t="inlineStr">
        <is>
          <t>CODI</t>
        </is>
      </c>
    </row>
    <row r="906">
      <c r="B906" s="109" t="n">
        <v>46204</v>
      </c>
      <c r="C906" s="110" t="inlineStr">
        <is>
          <t>Vendas - 07/2026</t>
        </is>
      </c>
      <c r="D906" s="110" t="inlineStr">
        <is>
          <t>Entrada</t>
        </is>
      </c>
      <c r="E906" s="110" t="inlineStr">
        <is>
          <t>Vendas</t>
        </is>
      </c>
      <c r="F906" s="111" t="n">
        <v>1600</v>
      </c>
      <c r="G906" s="104" t="inlineStr">
        <is>
          <t>07/2026</t>
        </is>
      </c>
      <c r="H906" s="104" t="inlineStr">
        <is>
          <t>CODI</t>
        </is>
      </c>
    </row>
    <row r="907">
      <c r="B907" s="109" t="n">
        <v>46204</v>
      </c>
      <c r="C907" s="110" t="inlineStr">
        <is>
          <t>Vendas - 07/2026</t>
        </is>
      </c>
      <c r="D907" s="110" t="inlineStr">
        <is>
          <t>Entrada</t>
        </is>
      </c>
      <c r="E907" s="110" t="inlineStr">
        <is>
          <t>Vendas</t>
        </is>
      </c>
      <c r="F907" s="111" t="n">
        <v>160</v>
      </c>
      <c r="G907" s="104" t="inlineStr">
        <is>
          <t>07/2026</t>
        </is>
      </c>
      <c r="H907" s="104" t="inlineStr">
        <is>
          <t>CODI</t>
        </is>
      </c>
    </row>
    <row r="908">
      <c r="B908" s="109" t="n">
        <v>46204</v>
      </c>
      <c r="C908" s="110" t="inlineStr">
        <is>
          <t>Vendas - 07/2026</t>
        </is>
      </c>
      <c r="D908" s="110" t="inlineStr">
        <is>
          <t>Entrada</t>
        </is>
      </c>
      <c r="E908" s="110" t="inlineStr">
        <is>
          <t>Vendas</t>
        </is>
      </c>
      <c r="F908" s="111" t="n">
        <v>245</v>
      </c>
      <c r="G908" s="104" t="inlineStr">
        <is>
          <t>07/2026</t>
        </is>
      </c>
      <c r="H908" s="104" t="inlineStr">
        <is>
          <t>VAREN</t>
        </is>
      </c>
    </row>
    <row r="909">
      <c r="B909" s="109" t="n">
        <v>46204</v>
      </c>
      <c r="C909" s="110" t="inlineStr">
        <is>
          <t>Vendas - 07/2026</t>
        </is>
      </c>
      <c r="D909" s="110" t="inlineStr">
        <is>
          <t>Entrada</t>
        </is>
      </c>
      <c r="E909" s="110" t="inlineStr">
        <is>
          <t>Vendas</t>
        </is>
      </c>
      <c r="F909" s="111" t="n">
        <v>1687.5</v>
      </c>
      <c r="G909" s="104" t="inlineStr">
        <is>
          <t>07/2026</t>
        </is>
      </c>
      <c r="H909" s="104" t="inlineStr">
        <is>
          <t>CODI</t>
        </is>
      </c>
    </row>
    <row r="910">
      <c r="B910" s="109" t="n">
        <v>46204</v>
      </c>
      <c r="C910" s="110" t="inlineStr">
        <is>
          <t>Vendas - 07/2026</t>
        </is>
      </c>
      <c r="D910" s="110" t="inlineStr">
        <is>
          <t>Entrada</t>
        </is>
      </c>
      <c r="E910" s="110" t="inlineStr">
        <is>
          <t>Vendas</t>
        </is>
      </c>
      <c r="F910" s="111" t="n">
        <v>521.1</v>
      </c>
      <c r="G910" s="104" t="inlineStr">
        <is>
          <t>07/2026</t>
        </is>
      </c>
      <c r="H910" s="104" t="inlineStr">
        <is>
          <t>CODI</t>
        </is>
      </c>
    </row>
    <row r="911">
      <c r="B911" s="109" t="n">
        <v>46204</v>
      </c>
      <c r="C911" s="110" t="inlineStr">
        <is>
          <t>Vendas - 07/2026</t>
        </is>
      </c>
      <c r="D911" s="110" t="inlineStr">
        <is>
          <t>Entrada</t>
        </is>
      </c>
      <c r="E911" s="110" t="inlineStr">
        <is>
          <t>Vendas</t>
        </is>
      </c>
      <c r="F911" s="111" t="n">
        <v>993.6</v>
      </c>
      <c r="G911" s="104" t="inlineStr">
        <is>
          <t>07/2026</t>
        </is>
      </c>
      <c r="H911" s="104" t="inlineStr">
        <is>
          <t>CODI</t>
        </is>
      </c>
    </row>
    <row r="912">
      <c r="B912" s="109" t="n">
        <v>46204</v>
      </c>
      <c r="C912" s="110" t="inlineStr">
        <is>
          <t>Vendas - 07/2026</t>
        </is>
      </c>
      <c r="D912" s="110" t="inlineStr">
        <is>
          <t>Entrada</t>
        </is>
      </c>
      <c r="E912" s="110" t="inlineStr">
        <is>
          <t>Vendas</t>
        </is>
      </c>
      <c r="F912" s="111" t="n">
        <v>1359.85</v>
      </c>
      <c r="G912" s="104" t="inlineStr">
        <is>
          <t>07/2026</t>
        </is>
      </c>
      <c r="H912" s="104" t="inlineStr">
        <is>
          <t>CODI</t>
        </is>
      </c>
    </row>
    <row r="913">
      <c r="B913" s="109" t="n">
        <v>46204</v>
      </c>
      <c r="C913" s="110" t="inlineStr">
        <is>
          <t>Vendas - 07/2026</t>
        </is>
      </c>
      <c r="D913" s="110" t="inlineStr">
        <is>
          <t>Entrada</t>
        </is>
      </c>
      <c r="E913" s="110" t="inlineStr">
        <is>
          <t>Vendas</t>
        </is>
      </c>
      <c r="F913" s="111" t="n">
        <v>1620</v>
      </c>
      <c r="G913" s="104" t="inlineStr">
        <is>
          <t>07/2026</t>
        </is>
      </c>
      <c r="H913" s="104" t="inlineStr">
        <is>
          <t>CODI</t>
        </is>
      </c>
    </row>
    <row r="914">
      <c r="B914" s="109" t="n">
        <v>46204</v>
      </c>
      <c r="C914" s="110" t="inlineStr">
        <is>
          <t>Vendas - 07/2026</t>
        </is>
      </c>
      <c r="D914" s="110" t="inlineStr">
        <is>
          <t>Entrada</t>
        </is>
      </c>
      <c r="E914" s="110" t="inlineStr">
        <is>
          <t>Vendas</t>
        </is>
      </c>
      <c r="F914" s="111" t="n">
        <v>4060.5</v>
      </c>
      <c r="G914" s="104" t="inlineStr">
        <is>
          <t>07/2026</t>
        </is>
      </c>
      <c r="H914" s="104" t="inlineStr">
        <is>
          <t>CODI</t>
        </is>
      </c>
    </row>
    <row r="915">
      <c r="B915" s="109" t="n">
        <v>46204</v>
      </c>
      <c r="C915" s="110" t="inlineStr">
        <is>
          <t>Vendas - 07/2026</t>
        </is>
      </c>
      <c r="D915" s="110" t="inlineStr">
        <is>
          <t>Entrada</t>
        </is>
      </c>
      <c r="E915" s="110" t="inlineStr">
        <is>
          <t>Vendas</t>
        </is>
      </c>
      <c r="F915" s="111" t="n">
        <v>1632</v>
      </c>
      <c r="G915" s="104" t="inlineStr">
        <is>
          <t>07/2026</t>
        </is>
      </c>
      <c r="H915" s="104" t="inlineStr">
        <is>
          <t>CODI</t>
        </is>
      </c>
    </row>
    <row r="916">
      <c r="B916" s="109" t="n">
        <v>46204</v>
      </c>
      <c r="C916" s="110" t="inlineStr">
        <is>
          <t>Vendas - 07/2026</t>
        </is>
      </c>
      <c r="D916" s="110" t="inlineStr">
        <is>
          <t>Entrada</t>
        </is>
      </c>
      <c r="E916" s="110" t="inlineStr">
        <is>
          <t>Vendas</t>
        </is>
      </c>
      <c r="F916" s="111" t="n">
        <v>704</v>
      </c>
      <c r="G916" s="104" t="inlineStr">
        <is>
          <t>07/2026</t>
        </is>
      </c>
      <c r="H916" s="104" t="inlineStr">
        <is>
          <t>CODI</t>
        </is>
      </c>
    </row>
    <row r="917">
      <c r="B917" s="109" t="n">
        <v>46204</v>
      </c>
      <c r="C917" s="110" t="inlineStr">
        <is>
          <t>Vendas - 07/2026</t>
        </is>
      </c>
      <c r="D917" s="110" t="inlineStr">
        <is>
          <t>Entrada</t>
        </is>
      </c>
      <c r="E917" s="110" t="inlineStr">
        <is>
          <t>Vendas</t>
        </is>
      </c>
      <c r="F917" s="111" t="n">
        <v>560</v>
      </c>
      <c r="G917" s="104" t="inlineStr">
        <is>
          <t>07/2026</t>
        </is>
      </c>
      <c r="H917" s="104" t="inlineStr">
        <is>
          <t>CODI</t>
        </is>
      </c>
    </row>
    <row r="918">
      <c r="B918" s="109" t="n">
        <v>46204</v>
      </c>
      <c r="C918" s="110" t="inlineStr">
        <is>
          <t>Vendas - 07/2026</t>
        </is>
      </c>
      <c r="D918" s="110" t="inlineStr">
        <is>
          <t>Entrada</t>
        </is>
      </c>
      <c r="E918" s="110" t="inlineStr">
        <is>
          <t>Vendas</t>
        </is>
      </c>
      <c r="F918" s="111" t="n">
        <v>874.8</v>
      </c>
      <c r="G918" s="104" t="inlineStr">
        <is>
          <t>07/2026</t>
        </is>
      </c>
      <c r="H918" s="104" t="inlineStr">
        <is>
          <t>CODI</t>
        </is>
      </c>
    </row>
    <row r="919">
      <c r="B919" s="109" t="n">
        <v>46204</v>
      </c>
      <c r="C919" s="110" t="inlineStr">
        <is>
          <t>Vendas - 07/2026</t>
        </is>
      </c>
      <c r="D919" s="110" t="inlineStr">
        <is>
          <t>Entrada</t>
        </is>
      </c>
      <c r="E919" s="110" t="inlineStr">
        <is>
          <t>Vendas</t>
        </is>
      </c>
      <c r="F919" s="111" t="n">
        <v>722</v>
      </c>
      <c r="G919" s="104" t="inlineStr">
        <is>
          <t>07/2026</t>
        </is>
      </c>
      <c r="H919" s="104" t="inlineStr">
        <is>
          <t>CODI</t>
        </is>
      </c>
    </row>
    <row r="920">
      <c r="B920" s="109" t="n">
        <v>46204</v>
      </c>
      <c r="C920" s="110" t="inlineStr">
        <is>
          <t>Vendas - 07/2026</t>
        </is>
      </c>
      <c r="D920" s="110" t="inlineStr">
        <is>
          <t>Entrada</t>
        </is>
      </c>
      <c r="E920" s="110" t="inlineStr">
        <is>
          <t>Vendas</t>
        </is>
      </c>
      <c r="F920" s="111" t="n">
        <v>418.3</v>
      </c>
      <c r="G920" s="104" t="inlineStr">
        <is>
          <t>07/2026</t>
        </is>
      </c>
      <c r="H920" s="104" t="inlineStr">
        <is>
          <t>CODI</t>
        </is>
      </c>
    </row>
    <row r="921">
      <c r="B921" s="109" t="n">
        <v>46204</v>
      </c>
      <c r="C921" s="110" t="inlineStr">
        <is>
          <t>Vendas - 07/2026</t>
        </is>
      </c>
      <c r="D921" s="110" t="inlineStr">
        <is>
          <t>Entrada</t>
        </is>
      </c>
      <c r="E921" s="110" t="inlineStr">
        <is>
          <t>Vendas</t>
        </is>
      </c>
      <c r="F921" s="111" t="n">
        <v>45.96</v>
      </c>
      <c r="G921" s="104" t="inlineStr">
        <is>
          <t>07/2026</t>
        </is>
      </c>
      <c r="H921" s="104" t="inlineStr">
        <is>
          <t>CODI</t>
        </is>
      </c>
    </row>
    <row r="922">
      <c r="B922" s="109" t="n">
        <v>46204</v>
      </c>
      <c r="C922" s="110" t="inlineStr">
        <is>
          <t>Vendas - 07/2026</t>
        </is>
      </c>
      <c r="D922" s="110" t="inlineStr">
        <is>
          <t>Entrada</t>
        </is>
      </c>
      <c r="E922" s="110" t="inlineStr">
        <is>
          <t>Vendas</t>
        </is>
      </c>
      <c r="F922" s="111" t="n">
        <v>45.96</v>
      </c>
      <c r="G922" s="104" t="inlineStr">
        <is>
          <t>07/2026</t>
        </is>
      </c>
      <c r="H922" s="104" t="inlineStr">
        <is>
          <t>CODI</t>
        </is>
      </c>
    </row>
    <row r="923">
      <c r="B923" s="109" t="n">
        <v>46204</v>
      </c>
      <c r="C923" s="110" t="inlineStr">
        <is>
          <t>Vendas - 07/2026</t>
        </is>
      </c>
      <c r="D923" s="110" t="inlineStr">
        <is>
          <t>Entrada</t>
        </is>
      </c>
      <c r="E923" s="110" t="inlineStr">
        <is>
          <t>Vendas</t>
        </is>
      </c>
      <c r="F923" s="111" t="n">
        <v>45.96</v>
      </c>
      <c r="G923" s="104" t="inlineStr">
        <is>
          <t>07/2026</t>
        </is>
      </c>
      <c r="H923" s="104" t="inlineStr">
        <is>
          <t>CODI</t>
        </is>
      </c>
    </row>
    <row r="924">
      <c r="B924" s="109" t="n">
        <v>46204</v>
      </c>
      <c r="C924" s="110" t="inlineStr">
        <is>
          <t>Vendas - 07/2026</t>
        </is>
      </c>
      <c r="D924" s="110" t="inlineStr">
        <is>
          <t>Entrada</t>
        </is>
      </c>
      <c r="E924" s="110" t="inlineStr">
        <is>
          <t>Vendas</t>
        </is>
      </c>
      <c r="F924" s="111" t="n">
        <v>45.95</v>
      </c>
      <c r="G924" s="104" t="inlineStr">
        <is>
          <t>07/2026</t>
        </is>
      </c>
      <c r="H924" s="104" t="inlineStr">
        <is>
          <t>CODI</t>
        </is>
      </c>
    </row>
    <row r="925">
      <c r="B925" s="109" t="n">
        <v>46204</v>
      </c>
      <c r="C925" s="110" t="inlineStr">
        <is>
          <t>Vendas - 07/2026</t>
        </is>
      </c>
      <c r="D925" s="110" t="inlineStr">
        <is>
          <t>Entrada</t>
        </is>
      </c>
      <c r="E925" s="110" t="inlineStr">
        <is>
          <t>Vendas</t>
        </is>
      </c>
      <c r="F925" s="111" t="n">
        <v>63.76</v>
      </c>
      <c r="G925" s="104" t="inlineStr">
        <is>
          <t>07/2026</t>
        </is>
      </c>
      <c r="H925" s="104" t="inlineStr">
        <is>
          <t>CODI</t>
        </is>
      </c>
    </row>
    <row r="926">
      <c r="B926" s="109" t="n">
        <v>46204</v>
      </c>
      <c r="C926" s="110" t="inlineStr">
        <is>
          <t>Vendas - 07/2026</t>
        </is>
      </c>
      <c r="D926" s="110" t="inlineStr">
        <is>
          <t>Entrada</t>
        </is>
      </c>
      <c r="E926" s="110" t="inlineStr">
        <is>
          <t>Vendas</t>
        </is>
      </c>
      <c r="F926" s="111" t="n">
        <v>63.76</v>
      </c>
      <c r="G926" s="104" t="inlineStr">
        <is>
          <t>07/2026</t>
        </is>
      </c>
      <c r="H926" s="104" t="inlineStr">
        <is>
          <t>CODI</t>
        </is>
      </c>
    </row>
    <row r="927">
      <c r="B927" s="109" t="n">
        <v>46204</v>
      </c>
      <c r="C927" s="110" t="inlineStr">
        <is>
          <t>Vendas - 07/2026</t>
        </is>
      </c>
      <c r="D927" s="110" t="inlineStr">
        <is>
          <t>Entrada</t>
        </is>
      </c>
      <c r="E927" s="110" t="inlineStr">
        <is>
          <t>Vendas</t>
        </is>
      </c>
      <c r="F927" s="111" t="n">
        <v>63.75</v>
      </c>
      <c r="G927" s="104" t="inlineStr">
        <is>
          <t>07/2026</t>
        </is>
      </c>
      <c r="H927" s="104" t="inlineStr">
        <is>
          <t>CODI</t>
        </is>
      </c>
    </row>
    <row r="928">
      <c r="B928" s="109" t="n">
        <v>46204</v>
      </c>
      <c r="C928" s="110" t="inlineStr">
        <is>
          <t>Vendas - 07/2026</t>
        </is>
      </c>
      <c r="D928" s="110" t="inlineStr">
        <is>
          <t>Entrada</t>
        </is>
      </c>
      <c r="E928" s="110" t="inlineStr">
        <is>
          <t>Vendas</t>
        </is>
      </c>
      <c r="F928" s="111" t="n">
        <v>2492.95</v>
      </c>
      <c r="G928" s="104" t="inlineStr">
        <is>
          <t>07/2026</t>
        </is>
      </c>
      <c r="H928" s="104" t="inlineStr">
        <is>
          <t>CODI</t>
        </is>
      </c>
    </row>
    <row r="929">
      <c r="B929" s="109" t="n">
        <v>46204</v>
      </c>
      <c r="C929" s="110" t="inlineStr">
        <is>
          <t>Vendas - 07/2026</t>
        </is>
      </c>
      <c r="D929" s="110" t="inlineStr">
        <is>
          <t>Entrada</t>
        </is>
      </c>
      <c r="E929" s="110" t="inlineStr">
        <is>
          <t>Vendas</t>
        </is>
      </c>
      <c r="F929" s="111" t="n">
        <v>2492.95</v>
      </c>
      <c r="G929" s="104" t="inlineStr">
        <is>
          <t>07/2026</t>
        </is>
      </c>
      <c r="H929" s="104" t="inlineStr">
        <is>
          <t>CODI</t>
        </is>
      </c>
    </row>
    <row r="930">
      <c r="B930" s="109" t="n">
        <v>46204</v>
      </c>
      <c r="C930" s="110" t="inlineStr">
        <is>
          <t>Vendas - 07/2026</t>
        </is>
      </c>
      <c r="D930" s="110" t="inlineStr">
        <is>
          <t>Entrada</t>
        </is>
      </c>
      <c r="E930" s="110" t="inlineStr">
        <is>
          <t>Vendas</t>
        </is>
      </c>
      <c r="F930" s="111" t="n">
        <v>3430.96</v>
      </c>
      <c r="G930" s="104" t="inlineStr">
        <is>
          <t>07/2026</t>
        </is>
      </c>
      <c r="H930" s="104" t="inlineStr">
        <is>
          <t>CODI</t>
        </is>
      </c>
    </row>
    <row r="931">
      <c r="B931" s="109" t="n">
        <v>46204</v>
      </c>
      <c r="C931" s="110" t="inlineStr">
        <is>
          <t>Vendas - 07/2026</t>
        </is>
      </c>
      <c r="D931" s="110" t="inlineStr">
        <is>
          <t>Entrada</t>
        </is>
      </c>
      <c r="E931" s="110" t="inlineStr">
        <is>
          <t>Vendas</t>
        </is>
      </c>
      <c r="F931" s="111" t="n">
        <v>8293.799999999999</v>
      </c>
      <c r="G931" s="104" t="inlineStr">
        <is>
          <t>07/2026</t>
        </is>
      </c>
      <c r="H931" s="104" t="inlineStr">
        <is>
          <t>CODI</t>
        </is>
      </c>
    </row>
    <row r="932">
      <c r="B932" s="109" t="n">
        <v>46204</v>
      </c>
      <c r="C932" s="110" t="inlineStr">
        <is>
          <t>Vendas - 07/2026</t>
        </is>
      </c>
      <c r="D932" s="110" t="inlineStr">
        <is>
          <t>Entrada</t>
        </is>
      </c>
      <c r="E932" s="110" t="inlineStr">
        <is>
          <t>Vendas</t>
        </is>
      </c>
      <c r="F932" s="111" t="n">
        <v>4859.8</v>
      </c>
      <c r="G932" s="104" t="inlineStr">
        <is>
          <t>07/2026</t>
        </is>
      </c>
      <c r="H932" s="104" t="inlineStr">
        <is>
          <t>CODI</t>
        </is>
      </c>
    </row>
    <row r="933">
      <c r="B933" s="109" t="n">
        <v>46204</v>
      </c>
      <c r="C933" s="110" t="inlineStr">
        <is>
          <t>Vendas - 07/2026</t>
        </is>
      </c>
      <c r="D933" s="110" t="inlineStr">
        <is>
          <t>Entrada</t>
        </is>
      </c>
      <c r="E933" s="110" t="inlineStr">
        <is>
          <t>Vendas</t>
        </is>
      </c>
      <c r="F933" s="111" t="n">
        <v>10250</v>
      </c>
      <c r="G933" s="104" t="inlineStr">
        <is>
          <t>07/2026</t>
        </is>
      </c>
      <c r="H933" s="104" t="inlineStr">
        <is>
          <t>CODI</t>
        </is>
      </c>
    </row>
    <row r="934">
      <c r="B934" s="109" t="n">
        <v>46204</v>
      </c>
      <c r="C934" s="110" t="inlineStr">
        <is>
          <t>Vendas - 07/2026</t>
        </is>
      </c>
      <c r="D934" s="110" t="inlineStr">
        <is>
          <t>Entrada</t>
        </is>
      </c>
      <c r="E934" s="110" t="inlineStr">
        <is>
          <t>Vendas</t>
        </is>
      </c>
      <c r="F934" s="111" t="n">
        <v>80</v>
      </c>
      <c r="G934" s="104" t="inlineStr">
        <is>
          <t>07/2026</t>
        </is>
      </c>
      <c r="H934" s="104" t="inlineStr">
        <is>
          <t>CODI</t>
        </is>
      </c>
    </row>
    <row r="935">
      <c r="B935" s="109" t="n">
        <v>46204</v>
      </c>
      <c r="C935" s="110" t="inlineStr">
        <is>
          <t>Vendas - 07/2026</t>
        </is>
      </c>
      <c r="D935" s="110" t="inlineStr">
        <is>
          <t>Entrada</t>
        </is>
      </c>
      <c r="E935" s="110" t="inlineStr">
        <is>
          <t>Vendas</t>
        </is>
      </c>
      <c r="F935" s="111" t="n">
        <v>2473</v>
      </c>
      <c r="G935" s="104" t="inlineStr">
        <is>
          <t>07/2026</t>
        </is>
      </c>
      <c r="H935" s="104" t="inlineStr">
        <is>
          <t>CODI</t>
        </is>
      </c>
    </row>
    <row r="936">
      <c r="B936" s="109" t="n">
        <v>46204</v>
      </c>
      <c r="C936" s="110" t="inlineStr">
        <is>
          <t>Vendas - 07/2026</t>
        </is>
      </c>
      <c r="D936" s="110" t="inlineStr">
        <is>
          <t>Entrada</t>
        </is>
      </c>
      <c r="E936" s="110" t="inlineStr">
        <is>
          <t>Vendas</t>
        </is>
      </c>
      <c r="F936" s="111" t="n">
        <v>960</v>
      </c>
      <c r="G936" s="104" t="inlineStr">
        <is>
          <t>07/2026</t>
        </is>
      </c>
      <c r="H936" s="104" t="inlineStr">
        <is>
          <t>CODI</t>
        </is>
      </c>
    </row>
    <row r="937">
      <c r="B937" s="109" t="n">
        <v>46204</v>
      </c>
      <c r="C937" s="110" t="inlineStr">
        <is>
          <t>Vendas - 07/2026</t>
        </is>
      </c>
      <c r="D937" s="110" t="inlineStr">
        <is>
          <t>Entrada</t>
        </is>
      </c>
      <c r="E937" s="110" t="inlineStr">
        <is>
          <t>Vendas</t>
        </is>
      </c>
      <c r="F937" s="111" t="n">
        <v>1055.42</v>
      </c>
      <c r="G937" s="104" t="inlineStr">
        <is>
          <t>07/2026</t>
        </is>
      </c>
      <c r="H937" s="104" t="inlineStr">
        <is>
          <t>CODI</t>
        </is>
      </c>
    </row>
    <row r="938">
      <c r="B938" s="109" t="n">
        <v>46204</v>
      </c>
      <c r="C938" s="110" t="inlineStr">
        <is>
          <t>Vendas - 07/2026</t>
        </is>
      </c>
      <c r="D938" s="110" t="inlineStr">
        <is>
          <t>Entrada</t>
        </is>
      </c>
      <c r="E938" s="110" t="inlineStr">
        <is>
          <t>Vendas</t>
        </is>
      </c>
      <c r="F938" s="111" t="n">
        <v>2412.45</v>
      </c>
      <c r="G938" s="104" t="inlineStr">
        <is>
          <t>07/2026</t>
        </is>
      </c>
      <c r="H938" s="104" t="inlineStr">
        <is>
          <t>CODI</t>
        </is>
      </c>
    </row>
    <row r="939">
      <c r="B939" s="109" t="n">
        <v>46204</v>
      </c>
      <c r="C939" s="110" t="inlineStr">
        <is>
          <t>Vendas - 07/2026</t>
        </is>
      </c>
      <c r="D939" s="110" t="inlineStr">
        <is>
          <t>Entrada</t>
        </is>
      </c>
      <c r="E939" s="110" t="inlineStr">
        <is>
          <t>Vendas</t>
        </is>
      </c>
      <c r="F939" s="111" t="n">
        <v>1792.5</v>
      </c>
      <c r="G939" s="104" t="inlineStr">
        <is>
          <t>07/2026</t>
        </is>
      </c>
      <c r="H939" s="104" t="inlineStr">
        <is>
          <t>CODI</t>
        </is>
      </c>
    </row>
    <row r="940">
      <c r="B940" s="109" t="n">
        <v>46204</v>
      </c>
      <c r="C940" s="110" t="inlineStr">
        <is>
          <t>Vendas - 07/2026</t>
        </is>
      </c>
      <c r="D940" s="110" t="inlineStr">
        <is>
          <t>Entrada</t>
        </is>
      </c>
      <c r="E940" s="110" t="inlineStr">
        <is>
          <t>Vendas</t>
        </is>
      </c>
      <c r="F940" s="111" t="n">
        <v>432.25</v>
      </c>
      <c r="G940" s="104" t="inlineStr">
        <is>
          <t>07/2026</t>
        </is>
      </c>
      <c r="H940" s="104" t="inlineStr">
        <is>
          <t>CODI</t>
        </is>
      </c>
    </row>
    <row r="941">
      <c r="B941" s="109" t="n">
        <v>46204</v>
      </c>
      <c r="C941" s="110" t="inlineStr">
        <is>
          <t>Vendas - 07/2026</t>
        </is>
      </c>
      <c r="D941" s="110" t="inlineStr">
        <is>
          <t>Entrada</t>
        </is>
      </c>
      <c r="E941" s="110" t="inlineStr">
        <is>
          <t>Vendas</t>
        </is>
      </c>
      <c r="F941" s="111" t="n">
        <v>2970</v>
      </c>
      <c r="G941" s="104" t="inlineStr">
        <is>
          <t>07/2026</t>
        </is>
      </c>
      <c r="H941" s="104" t="inlineStr">
        <is>
          <t>CODI</t>
        </is>
      </c>
    </row>
    <row r="942">
      <c r="B942" s="109" t="n">
        <v>46204</v>
      </c>
      <c r="C942" s="110" t="inlineStr">
        <is>
          <t>Vendas - 07/2026</t>
        </is>
      </c>
      <c r="D942" s="110" t="inlineStr">
        <is>
          <t>Entrada</t>
        </is>
      </c>
      <c r="E942" s="110" t="inlineStr">
        <is>
          <t>Vendas</t>
        </is>
      </c>
      <c r="F942" s="111" t="n">
        <v>2230</v>
      </c>
      <c r="G942" s="104" t="inlineStr">
        <is>
          <t>07/2026</t>
        </is>
      </c>
      <c r="H942" s="104" t="inlineStr">
        <is>
          <t>CODI</t>
        </is>
      </c>
    </row>
    <row r="943">
      <c r="B943" s="109" t="n">
        <v>46204</v>
      </c>
      <c r="C943" s="110" t="inlineStr">
        <is>
          <t>Vendas - 07/2026</t>
        </is>
      </c>
      <c r="D943" s="110" t="inlineStr">
        <is>
          <t>Entrada</t>
        </is>
      </c>
      <c r="E943" s="110" t="inlineStr">
        <is>
          <t>Vendas</t>
        </is>
      </c>
      <c r="F943" s="111" t="n">
        <v>1973.33</v>
      </c>
      <c r="G943" s="104" t="inlineStr">
        <is>
          <t>07/2026</t>
        </is>
      </c>
      <c r="H943" s="104" t="inlineStr">
        <is>
          <t>CODI</t>
        </is>
      </c>
    </row>
    <row r="944">
      <c r="B944" s="109" t="n">
        <v>46204</v>
      </c>
      <c r="C944" s="110" t="inlineStr">
        <is>
          <t>Vendas - 07/2026</t>
        </is>
      </c>
      <c r="D944" s="110" t="inlineStr">
        <is>
          <t>Entrada</t>
        </is>
      </c>
      <c r="E944" s="110" t="inlineStr">
        <is>
          <t>Vendas</t>
        </is>
      </c>
      <c r="F944" s="111" t="n">
        <v>506.67</v>
      </c>
      <c r="G944" s="104" t="inlineStr">
        <is>
          <t>07/2026</t>
        </is>
      </c>
      <c r="H944" s="104" t="inlineStr">
        <is>
          <t>CODI</t>
        </is>
      </c>
    </row>
    <row r="945">
      <c r="B945" s="109" t="n">
        <v>46204</v>
      </c>
      <c r="C945" s="110" t="inlineStr">
        <is>
          <t>Vendas - 07/2026</t>
        </is>
      </c>
      <c r="D945" s="110" t="inlineStr">
        <is>
          <t>Entrada</t>
        </is>
      </c>
      <c r="E945" s="110" t="inlineStr">
        <is>
          <t>Vendas</t>
        </is>
      </c>
      <c r="F945" s="111" t="n">
        <v>1300</v>
      </c>
      <c r="G945" s="104" t="inlineStr">
        <is>
          <t>07/2026</t>
        </is>
      </c>
      <c r="H945" s="104" t="inlineStr">
        <is>
          <t>CODI</t>
        </is>
      </c>
    </row>
    <row r="946">
      <c r="B946" s="109" t="n">
        <v>46204</v>
      </c>
      <c r="C946" s="110" t="inlineStr">
        <is>
          <t>Vendas - 07/2026</t>
        </is>
      </c>
      <c r="D946" s="110" t="inlineStr">
        <is>
          <t>Entrada</t>
        </is>
      </c>
      <c r="E946" s="110" t="inlineStr">
        <is>
          <t>Vendas</t>
        </is>
      </c>
      <c r="F946" s="111" t="n">
        <v>2108</v>
      </c>
      <c r="G946" s="104" t="inlineStr">
        <is>
          <t>07/2026</t>
        </is>
      </c>
      <c r="H946" s="104" t="inlineStr">
        <is>
          <t>CODI</t>
        </is>
      </c>
    </row>
    <row r="947">
      <c r="B947" s="109" t="n">
        <v>46204</v>
      </c>
      <c r="C947" s="110" t="inlineStr">
        <is>
          <t>Vendas - 07/2026</t>
        </is>
      </c>
      <c r="D947" s="110" t="inlineStr">
        <is>
          <t>Entrada</t>
        </is>
      </c>
      <c r="E947" s="110" t="inlineStr">
        <is>
          <t>Vendas</t>
        </is>
      </c>
      <c r="F947" s="111" t="n">
        <v>940</v>
      </c>
      <c r="G947" s="104" t="inlineStr">
        <is>
          <t>07/2026</t>
        </is>
      </c>
      <c r="H947" s="104" t="inlineStr">
        <is>
          <t>CODI</t>
        </is>
      </c>
    </row>
    <row r="948">
      <c r="B948" s="109" t="n">
        <v>46204</v>
      </c>
      <c r="C948" s="110" t="inlineStr">
        <is>
          <t>Vendas - 07/2026</t>
        </is>
      </c>
      <c r="D948" s="110" t="inlineStr">
        <is>
          <t>Entrada</t>
        </is>
      </c>
      <c r="E948" s="110" t="inlineStr">
        <is>
          <t>Vendas</t>
        </is>
      </c>
      <c r="F948" s="111" t="n">
        <v>1306.67</v>
      </c>
      <c r="G948" s="104" t="inlineStr">
        <is>
          <t>07/2026</t>
        </is>
      </c>
      <c r="H948" s="104" t="inlineStr">
        <is>
          <t>CODI</t>
        </is>
      </c>
    </row>
    <row r="949">
      <c r="B949" s="109" t="n">
        <v>46204</v>
      </c>
      <c r="C949" s="110" t="inlineStr">
        <is>
          <t>Vendas - 07/2026</t>
        </is>
      </c>
      <c r="D949" s="110" t="inlineStr">
        <is>
          <t>Entrada</t>
        </is>
      </c>
      <c r="E949" s="110" t="inlineStr">
        <is>
          <t>Vendas</t>
        </is>
      </c>
      <c r="F949" s="111" t="n">
        <v>1306.67</v>
      </c>
      <c r="G949" s="104" t="inlineStr">
        <is>
          <t>07/2026</t>
        </is>
      </c>
      <c r="H949" s="104" t="inlineStr">
        <is>
          <t>CODI</t>
        </is>
      </c>
    </row>
    <row r="950">
      <c r="B950" s="109" t="n">
        <v>46204</v>
      </c>
      <c r="C950" s="110" t="inlineStr">
        <is>
          <t>Vendas - 07/2026</t>
        </is>
      </c>
      <c r="D950" s="110" t="inlineStr">
        <is>
          <t>Entrada</t>
        </is>
      </c>
      <c r="E950" s="110" t="inlineStr">
        <is>
          <t>Vendas</t>
        </is>
      </c>
      <c r="F950" s="111" t="n">
        <v>280</v>
      </c>
      <c r="G950" s="104" t="inlineStr">
        <is>
          <t>07/2026</t>
        </is>
      </c>
      <c r="H950" s="104" t="inlineStr">
        <is>
          <t>CODI</t>
        </is>
      </c>
    </row>
    <row r="951">
      <c r="B951" s="109" t="n">
        <v>46204</v>
      </c>
      <c r="C951" s="110" t="inlineStr">
        <is>
          <t>Vendas - 07/2026</t>
        </is>
      </c>
      <c r="D951" s="110" t="inlineStr">
        <is>
          <t>Entrada</t>
        </is>
      </c>
      <c r="E951" s="110" t="inlineStr">
        <is>
          <t>Vendas</t>
        </is>
      </c>
      <c r="F951" s="111" t="n">
        <v>5950</v>
      </c>
      <c r="G951" s="104" t="inlineStr">
        <is>
          <t>07/2026</t>
        </is>
      </c>
      <c r="H951" s="104" t="inlineStr">
        <is>
          <t>CODI</t>
        </is>
      </c>
    </row>
    <row r="952">
      <c r="B952" s="109" t="n">
        <v>46204</v>
      </c>
      <c r="C952" s="110" t="inlineStr">
        <is>
          <t>Vendas - 07/2026</t>
        </is>
      </c>
      <c r="D952" s="110" t="inlineStr">
        <is>
          <t>Entrada</t>
        </is>
      </c>
      <c r="E952" s="110" t="inlineStr">
        <is>
          <t>Vendas</t>
        </is>
      </c>
      <c r="F952" s="111" t="n">
        <v>4970</v>
      </c>
      <c r="G952" s="104" t="inlineStr">
        <is>
          <t>07/2026</t>
        </is>
      </c>
      <c r="H952" s="104" t="inlineStr">
        <is>
          <t>CODI</t>
        </is>
      </c>
    </row>
    <row r="953">
      <c r="B953" s="109" t="n">
        <v>46204</v>
      </c>
      <c r="C953" s="110" t="inlineStr">
        <is>
          <t>Vendas - 07/2026</t>
        </is>
      </c>
      <c r="D953" s="110" t="inlineStr">
        <is>
          <t>Entrada</t>
        </is>
      </c>
      <c r="E953" s="110" t="inlineStr">
        <is>
          <t>Vendas</t>
        </is>
      </c>
      <c r="F953" s="111" t="n">
        <v>6280</v>
      </c>
      <c r="G953" s="104" t="inlineStr">
        <is>
          <t>07/2026</t>
        </is>
      </c>
      <c r="H953" s="104" t="inlineStr">
        <is>
          <t>CODI</t>
        </is>
      </c>
    </row>
    <row r="954">
      <c r="B954" s="109" t="n">
        <v>46204</v>
      </c>
      <c r="C954" s="110" t="inlineStr">
        <is>
          <t>Vendas - 07/2026</t>
        </is>
      </c>
      <c r="D954" s="110" t="inlineStr">
        <is>
          <t>Entrada</t>
        </is>
      </c>
      <c r="E954" s="110" t="inlineStr">
        <is>
          <t>Vendas</t>
        </is>
      </c>
      <c r="F954" s="111" t="n">
        <v>2525</v>
      </c>
      <c r="G954" s="104" t="inlineStr">
        <is>
          <t>07/2026</t>
        </is>
      </c>
      <c r="H954" s="104" t="inlineStr">
        <is>
          <t>CODI</t>
        </is>
      </c>
    </row>
    <row r="955">
      <c r="B955" s="109" t="n">
        <v>46204</v>
      </c>
      <c r="C955" s="110" t="inlineStr">
        <is>
          <t>Vendas - 07/2026</t>
        </is>
      </c>
      <c r="D955" s="110" t="inlineStr">
        <is>
          <t>Entrada</t>
        </is>
      </c>
      <c r="E955" s="110" t="inlineStr">
        <is>
          <t>Vendas</t>
        </is>
      </c>
      <c r="F955" s="111" t="n">
        <v>374.96</v>
      </c>
      <c r="G955" s="104" t="inlineStr">
        <is>
          <t>07/2026</t>
        </is>
      </c>
      <c r="H955" s="104" t="inlineStr">
        <is>
          <t>CODI</t>
        </is>
      </c>
    </row>
    <row r="956">
      <c r="B956" s="109" t="n">
        <v>46204</v>
      </c>
      <c r="C956" s="110" t="inlineStr">
        <is>
          <t>Vendas - 07/2026</t>
        </is>
      </c>
      <c r="D956" s="110" t="inlineStr">
        <is>
          <t>Entrada</t>
        </is>
      </c>
      <c r="E956" s="110" t="inlineStr">
        <is>
          <t>Vendas</t>
        </is>
      </c>
      <c r="F956" s="111" t="n">
        <v>1275</v>
      </c>
      <c r="G956" s="104" t="inlineStr">
        <is>
          <t>07/2026</t>
        </is>
      </c>
      <c r="H956" s="104" t="inlineStr">
        <is>
          <t>CODI</t>
        </is>
      </c>
    </row>
    <row r="957">
      <c r="B957" s="109" t="n">
        <v>46204</v>
      </c>
      <c r="C957" s="110" t="inlineStr">
        <is>
          <t>Vendas - 07/2026</t>
        </is>
      </c>
      <c r="D957" s="110" t="inlineStr">
        <is>
          <t>Entrada</t>
        </is>
      </c>
      <c r="E957" s="110" t="inlineStr">
        <is>
          <t>Vendas</t>
        </is>
      </c>
      <c r="F957" s="111" t="n">
        <v>2940</v>
      </c>
      <c r="G957" s="104" t="inlineStr">
        <is>
          <t>07/2026</t>
        </is>
      </c>
      <c r="H957" s="104" t="inlineStr">
        <is>
          <t>CODI</t>
        </is>
      </c>
    </row>
    <row r="958">
      <c r="B958" s="109" t="n">
        <v>46204</v>
      </c>
      <c r="C958" s="110" t="inlineStr">
        <is>
          <t>Vendas - 07/2026</t>
        </is>
      </c>
      <c r="D958" s="110" t="inlineStr">
        <is>
          <t>Entrada</t>
        </is>
      </c>
      <c r="E958" s="110" t="inlineStr">
        <is>
          <t>Vendas</t>
        </is>
      </c>
      <c r="F958" s="111" t="n">
        <v>1870</v>
      </c>
      <c r="G958" s="104" t="inlineStr">
        <is>
          <t>07/2026</t>
        </is>
      </c>
      <c r="H958" s="104" t="inlineStr">
        <is>
          <t>CODI</t>
        </is>
      </c>
    </row>
    <row r="959">
      <c r="B959" s="109" t="n">
        <v>46204</v>
      </c>
      <c r="C959" s="110" t="inlineStr">
        <is>
          <t>Vendas - 07/2026</t>
        </is>
      </c>
      <c r="D959" s="110" t="inlineStr">
        <is>
          <t>Entrada</t>
        </is>
      </c>
      <c r="E959" s="110" t="inlineStr">
        <is>
          <t>Vendas</t>
        </is>
      </c>
      <c r="F959" s="111" t="n">
        <v>399.48</v>
      </c>
      <c r="G959" s="104" t="inlineStr">
        <is>
          <t>07/2026</t>
        </is>
      </c>
      <c r="H959" s="104" t="inlineStr">
        <is>
          <t>CODI</t>
        </is>
      </c>
    </row>
    <row r="960">
      <c r="B960" s="109" t="n">
        <v>46204</v>
      </c>
      <c r="C960" s="110" t="inlineStr">
        <is>
          <t>Vendas - 07/2026</t>
        </is>
      </c>
      <c r="D960" s="110" t="inlineStr">
        <is>
          <t>Entrada</t>
        </is>
      </c>
      <c r="E960" s="110" t="inlineStr">
        <is>
          <t>Vendas</t>
        </is>
      </c>
      <c r="F960" s="111" t="n">
        <v>1420</v>
      </c>
      <c r="G960" s="104" t="inlineStr">
        <is>
          <t>07/2026</t>
        </is>
      </c>
      <c r="H960" s="104" t="inlineStr">
        <is>
          <t>CODI</t>
        </is>
      </c>
    </row>
    <row r="961">
      <c r="B961" s="109" t="n">
        <v>46204</v>
      </c>
      <c r="C961" s="110" t="inlineStr">
        <is>
          <t>Vendas - 07/2026</t>
        </is>
      </c>
      <c r="D961" s="110" t="inlineStr">
        <is>
          <t>Entrada</t>
        </is>
      </c>
      <c r="E961" s="110" t="inlineStr">
        <is>
          <t>Vendas</t>
        </is>
      </c>
      <c r="F961" s="111" t="n">
        <v>3126.7</v>
      </c>
      <c r="G961" s="104" t="inlineStr">
        <is>
          <t>07/2026</t>
        </is>
      </c>
      <c r="H961" s="104" t="inlineStr">
        <is>
          <t>CODI</t>
        </is>
      </c>
    </row>
    <row r="962">
      <c r="B962" s="109" t="n">
        <v>46204</v>
      </c>
      <c r="C962" s="110" t="inlineStr">
        <is>
          <t>Vendas - 07/2026</t>
        </is>
      </c>
      <c r="D962" s="110" t="inlineStr">
        <is>
          <t>Entrada</t>
        </is>
      </c>
      <c r="E962" s="110" t="inlineStr">
        <is>
          <t>Vendas</t>
        </is>
      </c>
      <c r="F962" s="111" t="n">
        <v>240</v>
      </c>
      <c r="G962" s="104" t="inlineStr">
        <is>
          <t>07/2026</t>
        </is>
      </c>
      <c r="H962" s="104" t="inlineStr">
        <is>
          <t>CODI</t>
        </is>
      </c>
    </row>
    <row r="963">
      <c r="B963" s="109" t="n">
        <v>46204</v>
      </c>
      <c r="C963" s="110" t="inlineStr">
        <is>
          <t>Vendas - 07/2026</t>
        </is>
      </c>
      <c r="D963" s="110" t="inlineStr">
        <is>
          <t>Entrada</t>
        </is>
      </c>
      <c r="E963" s="110" t="inlineStr">
        <is>
          <t>Vendas</t>
        </is>
      </c>
      <c r="F963" s="111" t="n">
        <v>320</v>
      </c>
      <c r="G963" s="104" t="inlineStr">
        <is>
          <t>07/2026</t>
        </is>
      </c>
      <c r="H963" s="104" t="inlineStr">
        <is>
          <t>CODI</t>
        </is>
      </c>
    </row>
    <row r="964">
      <c r="B964" s="109" t="n">
        <v>46204</v>
      </c>
      <c r="C964" s="110" t="inlineStr">
        <is>
          <t>Vendas - 07/2026</t>
        </is>
      </c>
      <c r="D964" s="110" t="inlineStr">
        <is>
          <t>Entrada</t>
        </is>
      </c>
      <c r="E964" s="110" t="inlineStr">
        <is>
          <t>Vendas</t>
        </is>
      </c>
      <c r="F964" s="111" t="n">
        <v>1950</v>
      </c>
      <c r="G964" s="104" t="inlineStr">
        <is>
          <t>07/2026</t>
        </is>
      </c>
      <c r="H964" s="104" t="inlineStr">
        <is>
          <t>CODI</t>
        </is>
      </c>
    </row>
    <row r="965">
      <c r="B965" s="109" t="n">
        <v>46204</v>
      </c>
      <c r="C965" s="110" t="inlineStr">
        <is>
          <t>Vendas - 07/2026</t>
        </is>
      </c>
      <c r="D965" s="110" t="inlineStr">
        <is>
          <t>Entrada</t>
        </is>
      </c>
      <c r="E965" s="110" t="inlineStr">
        <is>
          <t>Vendas</t>
        </is>
      </c>
      <c r="F965" s="111" t="n">
        <v>986.1799999999999</v>
      </c>
      <c r="G965" s="104" t="inlineStr">
        <is>
          <t>07/2026</t>
        </is>
      </c>
      <c r="H965" s="104" t="inlineStr">
        <is>
          <t>CODI</t>
        </is>
      </c>
    </row>
    <row r="966">
      <c r="B966" s="109" t="n">
        <v>46204</v>
      </c>
      <c r="C966" s="110" t="inlineStr">
        <is>
          <t>Vendas - 07/2026</t>
        </is>
      </c>
      <c r="D966" s="110" t="inlineStr">
        <is>
          <t>Entrada</t>
        </is>
      </c>
      <c r="E966" s="110" t="inlineStr">
        <is>
          <t>Vendas</t>
        </is>
      </c>
      <c r="F966" s="111" t="n">
        <v>986.1799999999999</v>
      </c>
      <c r="G966" s="104" t="inlineStr">
        <is>
          <t>07/2026</t>
        </is>
      </c>
      <c r="H966" s="104" t="inlineStr">
        <is>
          <t>CODI</t>
        </is>
      </c>
    </row>
    <row r="967">
      <c r="B967" s="109" t="n">
        <v>46204</v>
      </c>
      <c r="C967" s="110" t="inlineStr">
        <is>
          <t>Vendas - 07/2026</t>
        </is>
      </c>
      <c r="D967" s="110" t="inlineStr">
        <is>
          <t>Entrada</t>
        </is>
      </c>
      <c r="E967" s="110" t="inlineStr">
        <is>
          <t>Vendas</t>
        </is>
      </c>
      <c r="F967" s="111" t="n">
        <v>986.1799999999999</v>
      </c>
      <c r="G967" s="104" t="inlineStr">
        <is>
          <t>07/2026</t>
        </is>
      </c>
      <c r="H967" s="104" t="inlineStr">
        <is>
          <t>CODI</t>
        </is>
      </c>
    </row>
    <row r="968">
      <c r="B968" s="109" t="n">
        <v>46204</v>
      </c>
      <c r="C968" s="110" t="inlineStr">
        <is>
          <t>Vendas - 07/2026</t>
        </is>
      </c>
      <c r="D968" s="110" t="inlineStr">
        <is>
          <t>Entrada</t>
        </is>
      </c>
      <c r="E968" s="110" t="inlineStr">
        <is>
          <t>Vendas</t>
        </is>
      </c>
      <c r="F968" s="111" t="n">
        <v>986.1799999999999</v>
      </c>
      <c r="G968" s="104" t="inlineStr">
        <is>
          <t>07/2026</t>
        </is>
      </c>
      <c r="H968" s="104" t="inlineStr">
        <is>
          <t>CODI</t>
        </is>
      </c>
    </row>
    <row r="969">
      <c r="B969" s="109" t="n">
        <v>46204</v>
      </c>
      <c r="C969" s="110" t="inlineStr">
        <is>
          <t>Vendas - 07/2026</t>
        </is>
      </c>
      <c r="D969" s="110" t="inlineStr">
        <is>
          <t>Entrada</t>
        </is>
      </c>
      <c r="E969" s="110" t="inlineStr">
        <is>
          <t>Vendas</t>
        </is>
      </c>
      <c r="F969" s="111" t="n">
        <v>986.17</v>
      </c>
      <c r="G969" s="104" t="inlineStr">
        <is>
          <t>07/2026</t>
        </is>
      </c>
      <c r="H969" s="104" t="inlineStr">
        <is>
          <t>CODI</t>
        </is>
      </c>
    </row>
    <row r="970">
      <c r="B970" s="109" t="n">
        <v>46204</v>
      </c>
      <c r="C970" s="110" t="inlineStr">
        <is>
          <t>Vendas - 07/2026</t>
        </is>
      </c>
      <c r="D970" s="110" t="inlineStr">
        <is>
          <t>Entrada</t>
        </is>
      </c>
      <c r="E970" s="110" t="inlineStr">
        <is>
          <t>Vendas</t>
        </is>
      </c>
      <c r="F970" s="111" t="n">
        <v>986.2</v>
      </c>
      <c r="G970" s="104" t="inlineStr">
        <is>
          <t>07/2026</t>
        </is>
      </c>
      <c r="H970" s="104" t="inlineStr">
        <is>
          <t>CODI</t>
        </is>
      </c>
    </row>
    <row r="971">
      <c r="B971" s="109" t="n">
        <v>46204</v>
      </c>
      <c r="C971" s="110" t="inlineStr">
        <is>
          <t>Vendas - 07/2026</t>
        </is>
      </c>
      <c r="D971" s="110" t="inlineStr">
        <is>
          <t>Entrada</t>
        </is>
      </c>
      <c r="E971" s="110" t="inlineStr">
        <is>
          <t>Vendas</t>
        </is>
      </c>
      <c r="F971" s="111" t="n">
        <v>575</v>
      </c>
      <c r="G971" s="104" t="inlineStr">
        <is>
          <t>07/2026</t>
        </is>
      </c>
      <c r="H971" s="104" t="inlineStr">
        <is>
          <t>CODI</t>
        </is>
      </c>
    </row>
    <row r="972">
      <c r="B972" s="109" t="n">
        <v>46204</v>
      </c>
      <c r="C972" s="110" t="inlineStr">
        <is>
          <t>Vendas - 07/2026</t>
        </is>
      </c>
      <c r="D972" s="110" t="inlineStr">
        <is>
          <t>Entrada</t>
        </is>
      </c>
      <c r="E972" s="110" t="inlineStr">
        <is>
          <t>Vendas</t>
        </is>
      </c>
      <c r="F972" s="111" t="n">
        <v>61</v>
      </c>
      <c r="G972" s="104" t="inlineStr">
        <is>
          <t>07/2026</t>
        </is>
      </c>
      <c r="H972" s="104" t="inlineStr">
        <is>
          <t>CODI</t>
        </is>
      </c>
    </row>
    <row r="973">
      <c r="B973" s="109" t="n">
        <v>46204</v>
      </c>
      <c r="C973" s="110" t="inlineStr">
        <is>
          <t>Vendas - 07/2026</t>
        </is>
      </c>
      <c r="D973" s="110" t="inlineStr">
        <is>
          <t>Entrada</t>
        </is>
      </c>
      <c r="E973" s="110" t="inlineStr">
        <is>
          <t>Vendas</t>
        </is>
      </c>
      <c r="F973" s="111" t="n">
        <v>740</v>
      </c>
      <c r="G973" s="104" t="inlineStr">
        <is>
          <t>07/2026</t>
        </is>
      </c>
      <c r="H973" s="104" t="inlineStr">
        <is>
          <t>CODI</t>
        </is>
      </c>
    </row>
    <row r="974">
      <c r="B974" s="109" t="n">
        <v>46204</v>
      </c>
      <c r="C974" s="110" t="inlineStr">
        <is>
          <t>Vendas - 07/2026</t>
        </is>
      </c>
      <c r="D974" s="110" t="inlineStr">
        <is>
          <t>Entrada</t>
        </is>
      </c>
      <c r="E974" s="110" t="inlineStr">
        <is>
          <t>Vendas</t>
        </is>
      </c>
      <c r="F974" s="111" t="n">
        <v>98.36</v>
      </c>
      <c r="G974" s="104" t="inlineStr">
        <is>
          <t>07/2026</t>
        </is>
      </c>
      <c r="H974" s="104" t="inlineStr">
        <is>
          <t>CODI</t>
        </is>
      </c>
    </row>
    <row r="975">
      <c r="B975" s="109" t="n">
        <v>46204</v>
      </c>
      <c r="C975" s="110" t="inlineStr">
        <is>
          <t>Vendas - 07/2026</t>
        </is>
      </c>
      <c r="D975" s="110" t="inlineStr">
        <is>
          <t>Entrada</t>
        </is>
      </c>
      <c r="E975" s="110" t="inlineStr">
        <is>
          <t>Vendas</t>
        </is>
      </c>
      <c r="F975" s="111" t="n">
        <v>98.37</v>
      </c>
      <c r="G975" s="104" t="inlineStr">
        <is>
          <t>07/2026</t>
        </is>
      </c>
      <c r="H975" s="104" t="inlineStr">
        <is>
          <t>CODI</t>
        </is>
      </c>
    </row>
    <row r="976">
      <c r="B976" s="109" t="n">
        <v>46204</v>
      </c>
      <c r="C976" s="110" t="inlineStr">
        <is>
          <t>Vendas - 07/2026</t>
        </is>
      </c>
      <c r="D976" s="110" t="inlineStr">
        <is>
          <t>Entrada</t>
        </is>
      </c>
      <c r="E976" s="110" t="inlineStr">
        <is>
          <t>Vendas</t>
        </is>
      </c>
      <c r="F976" s="111" t="n">
        <v>3756</v>
      </c>
      <c r="G976" s="104" t="inlineStr">
        <is>
          <t>07/2026</t>
        </is>
      </c>
      <c r="H976" s="104" t="inlineStr">
        <is>
          <t>CODI</t>
        </is>
      </c>
    </row>
    <row r="977">
      <c r="B977" s="109" t="n">
        <v>46204</v>
      </c>
      <c r="C977" s="110" t="inlineStr">
        <is>
          <t>Vendas - 07/2026</t>
        </is>
      </c>
      <c r="D977" s="110" t="inlineStr">
        <is>
          <t>Entrada</t>
        </is>
      </c>
      <c r="E977" s="110" t="inlineStr">
        <is>
          <t>Vendas</t>
        </is>
      </c>
      <c r="F977" s="111" t="n">
        <v>110</v>
      </c>
      <c r="G977" s="104" t="inlineStr">
        <is>
          <t>07/2026</t>
        </is>
      </c>
      <c r="H977" s="104" t="inlineStr">
        <is>
          <t>CODI</t>
        </is>
      </c>
    </row>
    <row r="978">
      <c r="B978" s="109" t="n">
        <v>46204</v>
      </c>
      <c r="C978" s="110" t="inlineStr">
        <is>
          <t>Vendas - 07/2026</t>
        </is>
      </c>
      <c r="D978" s="110" t="inlineStr">
        <is>
          <t>Entrada</t>
        </is>
      </c>
      <c r="E978" s="110" t="inlineStr">
        <is>
          <t>Vendas</t>
        </is>
      </c>
      <c r="F978" s="111" t="n">
        <v>3835</v>
      </c>
      <c r="G978" s="104" t="inlineStr">
        <is>
          <t>07/2026</t>
        </is>
      </c>
      <c r="H978" s="104" t="inlineStr">
        <is>
          <t>CODI</t>
        </is>
      </c>
    </row>
    <row r="979">
      <c r="B979" s="109" t="n">
        <v>46204</v>
      </c>
      <c r="C979" s="110" t="inlineStr">
        <is>
          <t>Vendas - 07/2026</t>
        </is>
      </c>
      <c r="D979" s="110" t="inlineStr">
        <is>
          <t>Entrada</t>
        </is>
      </c>
      <c r="E979" s="110" t="inlineStr">
        <is>
          <t>Vendas</t>
        </is>
      </c>
      <c r="F979" s="111" t="n">
        <v>3530</v>
      </c>
      <c r="G979" s="104" t="inlineStr">
        <is>
          <t>07/2026</t>
        </is>
      </c>
      <c r="H979" s="104" t="inlineStr">
        <is>
          <t>CODI</t>
        </is>
      </c>
    </row>
    <row r="980">
      <c r="B980" s="109" t="n">
        <v>46204</v>
      </c>
      <c r="C980" s="110" t="inlineStr">
        <is>
          <t>Vendas - 07/2026</t>
        </is>
      </c>
      <c r="D980" s="110" t="inlineStr">
        <is>
          <t>Entrada</t>
        </is>
      </c>
      <c r="E980" s="110" t="inlineStr">
        <is>
          <t>Vendas</t>
        </is>
      </c>
      <c r="F980" s="111" t="n">
        <v>206.1</v>
      </c>
      <c r="G980" s="104" t="inlineStr">
        <is>
          <t>07/2026</t>
        </is>
      </c>
      <c r="H980" s="104" t="inlineStr">
        <is>
          <t>CODI</t>
        </is>
      </c>
    </row>
    <row r="981">
      <c r="B981" s="109" t="n">
        <v>46204</v>
      </c>
      <c r="C981" s="110" t="inlineStr">
        <is>
          <t>Vendas - 07/2026</t>
        </is>
      </c>
      <c r="D981" s="110" t="inlineStr">
        <is>
          <t>Entrada</t>
        </is>
      </c>
      <c r="E981" s="110" t="inlineStr">
        <is>
          <t>Vendas</t>
        </is>
      </c>
      <c r="F981" s="111" t="n">
        <v>2258</v>
      </c>
      <c r="G981" s="104" t="inlineStr">
        <is>
          <t>07/2026</t>
        </is>
      </c>
      <c r="H981" s="104" t="inlineStr">
        <is>
          <t>VAREN</t>
        </is>
      </c>
    </row>
    <row r="982">
      <c r="B982" s="109" t="n">
        <v>46204</v>
      </c>
      <c r="C982" s="110" t="inlineStr">
        <is>
          <t>Vendas - 07/2026</t>
        </is>
      </c>
      <c r="D982" s="110" t="inlineStr">
        <is>
          <t>Entrada</t>
        </is>
      </c>
      <c r="E982" s="110" t="inlineStr">
        <is>
          <t>Vendas</t>
        </is>
      </c>
      <c r="F982" s="111" t="n">
        <v>5570.9</v>
      </c>
      <c r="G982" s="104" t="inlineStr">
        <is>
          <t>07/2026</t>
        </is>
      </c>
      <c r="H982" s="104" t="inlineStr">
        <is>
          <t>CODI</t>
        </is>
      </c>
    </row>
    <row r="983">
      <c r="B983" s="109" t="n">
        <v>46204</v>
      </c>
      <c r="C983" s="110" t="inlineStr">
        <is>
          <t>Vendas - 07/2026</t>
        </is>
      </c>
      <c r="D983" s="110" t="inlineStr">
        <is>
          <t>Entrada</t>
        </is>
      </c>
      <c r="E983" s="110" t="inlineStr">
        <is>
          <t>Vendas</t>
        </is>
      </c>
      <c r="F983" s="111" t="n">
        <v>1607.49</v>
      </c>
      <c r="G983" s="104" t="inlineStr">
        <is>
          <t>07/2026</t>
        </is>
      </c>
      <c r="H983" s="104" t="inlineStr">
        <is>
          <t>CODI</t>
        </is>
      </c>
    </row>
    <row r="984">
      <c r="B984" s="109" t="n">
        <v>46204</v>
      </c>
      <c r="C984" s="110" t="inlineStr">
        <is>
          <t>Vendas - 07/2026</t>
        </is>
      </c>
      <c r="D984" s="110" t="inlineStr">
        <is>
          <t>Entrada</t>
        </is>
      </c>
      <c r="E984" s="110" t="inlineStr">
        <is>
          <t>Vendas</t>
        </is>
      </c>
      <c r="F984" s="111" t="n">
        <v>554.8</v>
      </c>
      <c r="G984" s="104" t="inlineStr">
        <is>
          <t>07/2026</t>
        </is>
      </c>
      <c r="H984" s="104" t="inlineStr">
        <is>
          <t>CODI</t>
        </is>
      </c>
    </row>
    <row r="985">
      <c r="B985" s="109" t="n">
        <v>46204</v>
      </c>
      <c r="C985" s="110" t="inlineStr">
        <is>
          <t>Vendas - 07/2026</t>
        </is>
      </c>
      <c r="D985" s="110" t="inlineStr">
        <is>
          <t>Entrada</t>
        </is>
      </c>
      <c r="E985" s="110" t="inlineStr">
        <is>
          <t>Vendas</t>
        </is>
      </c>
      <c r="F985" s="111" t="n">
        <v>979.02</v>
      </c>
      <c r="G985" s="104" t="inlineStr">
        <is>
          <t>07/2026</t>
        </is>
      </c>
      <c r="H985" s="104" t="inlineStr">
        <is>
          <t>CODI</t>
        </is>
      </c>
    </row>
    <row r="986">
      <c r="B986" s="109" t="n">
        <v>46204</v>
      </c>
      <c r="C986" s="110" t="inlineStr">
        <is>
          <t>Vendas - 07/2026</t>
        </is>
      </c>
      <c r="D986" s="110" t="inlineStr">
        <is>
          <t>Entrada</t>
        </is>
      </c>
      <c r="E986" s="110" t="inlineStr">
        <is>
          <t>Vendas</t>
        </is>
      </c>
      <c r="F986" s="111" t="n">
        <v>658</v>
      </c>
      <c r="G986" s="104" t="inlineStr">
        <is>
          <t>07/2026</t>
        </is>
      </c>
      <c r="H986" s="104" t="inlineStr">
        <is>
          <t>CODI</t>
        </is>
      </c>
    </row>
    <row r="987">
      <c r="B987" s="109" t="n">
        <v>46204</v>
      </c>
      <c r="C987" s="110" t="inlineStr">
        <is>
          <t>Vendas - 07/2026</t>
        </is>
      </c>
      <c r="D987" s="110" t="inlineStr">
        <is>
          <t>Entrada</t>
        </is>
      </c>
      <c r="E987" s="110" t="inlineStr">
        <is>
          <t>Vendas</t>
        </is>
      </c>
      <c r="F987" s="111" t="n">
        <v>1549.02</v>
      </c>
      <c r="G987" s="104" t="inlineStr">
        <is>
          <t>07/2026</t>
        </is>
      </c>
      <c r="H987" s="104" t="inlineStr">
        <is>
          <t>CODI</t>
        </is>
      </c>
    </row>
    <row r="988">
      <c r="B988" s="109" t="n">
        <v>46204</v>
      </c>
      <c r="C988" s="110" t="inlineStr">
        <is>
          <t>Vendas - 07/2026</t>
        </is>
      </c>
      <c r="D988" s="110" t="inlineStr">
        <is>
          <t>Entrada</t>
        </is>
      </c>
      <c r="E988" s="110" t="inlineStr">
        <is>
          <t>Vendas</t>
        </is>
      </c>
      <c r="F988" s="111" t="n">
        <v>382.05</v>
      </c>
      <c r="G988" s="104" t="inlineStr">
        <is>
          <t>07/2026</t>
        </is>
      </c>
      <c r="H988" s="104" t="inlineStr">
        <is>
          <t>CODI</t>
        </is>
      </c>
    </row>
    <row r="989">
      <c r="B989" s="109" t="n">
        <v>46204</v>
      </c>
      <c r="C989" s="110" t="inlineStr">
        <is>
          <t>Vendas - 07/2026</t>
        </is>
      </c>
      <c r="D989" s="110" t="inlineStr">
        <is>
          <t>Entrada</t>
        </is>
      </c>
      <c r="E989" s="110" t="inlineStr">
        <is>
          <t>Vendas</t>
        </is>
      </c>
      <c r="F989" s="111" t="n">
        <v>547.4</v>
      </c>
      <c r="G989" s="104" t="inlineStr">
        <is>
          <t>07/2026</t>
        </is>
      </c>
      <c r="H989" s="104" t="inlineStr">
        <is>
          <t>CODI</t>
        </is>
      </c>
    </row>
    <row r="990">
      <c r="B990" s="109" t="n">
        <v>46204</v>
      </c>
      <c r="C990" s="110" t="inlineStr">
        <is>
          <t>Vendas - 07/2026</t>
        </is>
      </c>
      <c r="D990" s="110" t="inlineStr">
        <is>
          <t>Entrada</t>
        </is>
      </c>
      <c r="E990" s="110" t="inlineStr">
        <is>
          <t>Vendas</t>
        </is>
      </c>
      <c r="F990" s="111" t="n">
        <v>506.67</v>
      </c>
      <c r="G990" s="104" t="inlineStr">
        <is>
          <t>07/2026</t>
        </is>
      </c>
      <c r="H990" s="104" t="inlineStr">
        <is>
          <t>CODI</t>
        </is>
      </c>
    </row>
    <row r="991">
      <c r="B991" s="109" t="n">
        <v>46204</v>
      </c>
      <c r="C991" s="110" t="inlineStr">
        <is>
          <t>Vendas - 07/2026</t>
        </is>
      </c>
      <c r="D991" s="110" t="inlineStr">
        <is>
          <t>Entrada</t>
        </is>
      </c>
      <c r="E991" s="110" t="inlineStr">
        <is>
          <t>Vendas</t>
        </is>
      </c>
      <c r="F991" s="111" t="n">
        <v>427.95</v>
      </c>
      <c r="G991" s="104" t="inlineStr">
        <is>
          <t>07/2026</t>
        </is>
      </c>
      <c r="H991" s="104" t="inlineStr">
        <is>
          <t>CODI</t>
        </is>
      </c>
    </row>
    <row r="992">
      <c r="B992" s="109" t="n">
        <v>46204</v>
      </c>
      <c r="C992" s="110" t="inlineStr">
        <is>
          <t>Vendas - 07/2026</t>
        </is>
      </c>
      <c r="D992" s="110" t="inlineStr">
        <is>
          <t>Entrada</t>
        </is>
      </c>
      <c r="E992" s="110" t="inlineStr">
        <is>
          <t>Vendas</t>
        </is>
      </c>
      <c r="F992" s="111" t="n">
        <v>3000</v>
      </c>
      <c r="G992" s="104" t="inlineStr">
        <is>
          <t>07/2026</t>
        </is>
      </c>
      <c r="H992" s="104" t="inlineStr">
        <is>
          <t>CODI</t>
        </is>
      </c>
    </row>
    <row r="993">
      <c r="B993" s="109" t="n">
        <v>46204</v>
      </c>
      <c r="C993" s="110" t="inlineStr">
        <is>
          <t>Vendas - 07/2026</t>
        </is>
      </c>
      <c r="D993" s="110" t="inlineStr">
        <is>
          <t>Entrada</t>
        </is>
      </c>
      <c r="E993" s="110" t="inlineStr">
        <is>
          <t>Vendas</t>
        </is>
      </c>
      <c r="F993" s="111" t="n">
        <v>2589</v>
      </c>
      <c r="G993" s="104" t="inlineStr">
        <is>
          <t>07/2026</t>
        </is>
      </c>
      <c r="H993" s="104" t="inlineStr">
        <is>
          <t>CODI</t>
        </is>
      </c>
    </row>
    <row r="994">
      <c r="B994" s="109" t="n">
        <v>46204</v>
      </c>
      <c r="C994" s="110" t="inlineStr">
        <is>
          <t>Vendas - 07/2026</t>
        </is>
      </c>
      <c r="D994" s="110" t="inlineStr">
        <is>
          <t>Entrada</t>
        </is>
      </c>
      <c r="E994" s="110" t="inlineStr">
        <is>
          <t>Vendas</t>
        </is>
      </c>
      <c r="F994" s="111" t="n">
        <v>120</v>
      </c>
      <c r="G994" s="104" t="inlineStr">
        <is>
          <t>07/2026</t>
        </is>
      </c>
      <c r="H994" s="104" t="inlineStr">
        <is>
          <t>CODI</t>
        </is>
      </c>
    </row>
    <row r="995">
      <c r="B995" s="109" t="n">
        <v>46204</v>
      </c>
      <c r="C995" s="110" t="inlineStr">
        <is>
          <t>Vendas - 07/2026</t>
        </is>
      </c>
      <c r="D995" s="110" t="inlineStr">
        <is>
          <t>Entrada</t>
        </is>
      </c>
      <c r="E995" s="110" t="inlineStr">
        <is>
          <t>Vendas</t>
        </is>
      </c>
      <c r="F995" s="111" t="n">
        <v>1424.6</v>
      </c>
      <c r="G995" s="104" t="inlineStr">
        <is>
          <t>07/2026</t>
        </is>
      </c>
      <c r="H995" s="104" t="inlineStr">
        <is>
          <t>CODI</t>
        </is>
      </c>
    </row>
    <row r="996">
      <c r="B996" s="109" t="n">
        <v>46204</v>
      </c>
      <c r="C996" s="110" t="inlineStr">
        <is>
          <t>Vendas - 07/2026</t>
        </is>
      </c>
      <c r="D996" s="110" t="inlineStr">
        <is>
          <t>Entrada</t>
        </is>
      </c>
      <c r="E996" s="110" t="inlineStr">
        <is>
          <t>Vendas</t>
        </is>
      </c>
      <c r="F996" s="111" t="n">
        <v>160</v>
      </c>
      <c r="G996" s="104" t="inlineStr">
        <is>
          <t>07/2026</t>
        </is>
      </c>
      <c r="H996" s="104" t="inlineStr">
        <is>
          <t>CODI</t>
        </is>
      </c>
    </row>
    <row r="997">
      <c r="B997" s="109" t="n">
        <v>46204</v>
      </c>
      <c r="C997" s="110" t="inlineStr">
        <is>
          <t>Vendas - 07/2026</t>
        </is>
      </c>
      <c r="D997" s="110" t="inlineStr">
        <is>
          <t>Entrada</t>
        </is>
      </c>
      <c r="E997" s="110" t="inlineStr">
        <is>
          <t>Vendas</t>
        </is>
      </c>
      <c r="F997" s="111" t="n">
        <v>320</v>
      </c>
      <c r="G997" s="104" t="inlineStr">
        <is>
          <t>07/2026</t>
        </is>
      </c>
      <c r="H997" s="104" t="inlineStr">
        <is>
          <t>CODI</t>
        </is>
      </c>
    </row>
    <row r="998">
      <c r="B998" s="109" t="n">
        <v>46204</v>
      </c>
      <c r="C998" s="110" t="inlineStr">
        <is>
          <t>Vendas - 07/2026</t>
        </is>
      </c>
      <c r="D998" s="110" t="inlineStr">
        <is>
          <t>Entrada</t>
        </is>
      </c>
      <c r="E998" s="110" t="inlineStr">
        <is>
          <t>Vendas</t>
        </is>
      </c>
      <c r="F998" s="111" t="n">
        <v>1480</v>
      </c>
      <c r="G998" s="104" t="inlineStr">
        <is>
          <t>07/2026</t>
        </is>
      </c>
      <c r="H998" s="104" t="inlineStr">
        <is>
          <t>CODI</t>
        </is>
      </c>
    </row>
    <row r="999">
      <c r="B999" s="109" t="n">
        <v>46204</v>
      </c>
      <c r="C999" s="110" t="inlineStr">
        <is>
          <t>Vendas - 07/2026</t>
        </is>
      </c>
      <c r="D999" s="110" t="inlineStr">
        <is>
          <t>Entrada</t>
        </is>
      </c>
      <c r="E999" s="110" t="inlineStr">
        <is>
          <t>Vendas</t>
        </is>
      </c>
      <c r="F999" s="111" t="n">
        <v>1730</v>
      </c>
      <c r="G999" s="104" t="inlineStr">
        <is>
          <t>07/2026</t>
        </is>
      </c>
      <c r="H999" s="104" t="inlineStr">
        <is>
          <t>CODI</t>
        </is>
      </c>
    </row>
    <row r="1000">
      <c r="B1000" s="109" t="n">
        <v>46204</v>
      </c>
      <c r="C1000" s="110" t="inlineStr">
        <is>
          <t>Vendas - 07/2026</t>
        </is>
      </c>
      <c r="D1000" s="110" t="inlineStr">
        <is>
          <t>Entrada</t>
        </is>
      </c>
      <c r="E1000" s="110" t="inlineStr">
        <is>
          <t>Vendas</t>
        </is>
      </c>
      <c r="F1000" s="111" t="n">
        <v>1210</v>
      </c>
      <c r="G1000" s="104" t="inlineStr">
        <is>
          <t>07/2026</t>
        </is>
      </c>
      <c r="H1000" s="104" t="inlineStr">
        <is>
          <t>CODI</t>
        </is>
      </c>
    </row>
    <row r="1001">
      <c r="B1001" s="109" t="n">
        <v>46204</v>
      </c>
      <c r="C1001" s="110" t="inlineStr">
        <is>
          <t>Vendas - 07/2026</t>
        </is>
      </c>
      <c r="D1001" s="110" t="inlineStr">
        <is>
          <t>Entrada</t>
        </is>
      </c>
      <c r="E1001" s="110" t="inlineStr">
        <is>
          <t>Vendas</t>
        </is>
      </c>
      <c r="F1001" s="111" t="n">
        <v>6500</v>
      </c>
      <c r="G1001" s="104" t="inlineStr">
        <is>
          <t>07/2026</t>
        </is>
      </c>
      <c r="H1001" s="104" t="inlineStr">
        <is>
          <t>CODI</t>
        </is>
      </c>
    </row>
    <row r="1002">
      <c r="B1002" s="109" t="n">
        <v>46204</v>
      </c>
      <c r="C1002" s="110" t="inlineStr">
        <is>
          <t>Vendas - 07/2026</t>
        </is>
      </c>
      <c r="D1002" s="110" t="inlineStr">
        <is>
          <t>Entrada</t>
        </is>
      </c>
      <c r="E1002" s="110" t="inlineStr">
        <is>
          <t>Vendas</t>
        </is>
      </c>
      <c r="F1002" s="111" t="n">
        <v>0</v>
      </c>
      <c r="G1002" s="104" t="inlineStr">
        <is>
          <t>07/2026</t>
        </is>
      </c>
      <c r="H1002" s="104" t="inlineStr">
        <is>
          <t>CODI</t>
        </is>
      </c>
    </row>
    <row r="1003">
      <c r="B1003" s="109" t="n">
        <v>46204</v>
      </c>
      <c r="C1003" s="110" t="inlineStr">
        <is>
          <t>Vendas - 07/2026</t>
        </is>
      </c>
      <c r="D1003" s="110" t="inlineStr">
        <is>
          <t>Entrada</t>
        </is>
      </c>
      <c r="E1003" s="110" t="inlineStr">
        <is>
          <t>Vendas</t>
        </is>
      </c>
      <c r="F1003" s="111" t="n">
        <v>38200</v>
      </c>
      <c r="G1003" s="104" t="inlineStr">
        <is>
          <t>07/2026</t>
        </is>
      </c>
      <c r="H1003" s="104" t="inlineStr">
        <is>
          <t>CODI</t>
        </is>
      </c>
    </row>
    <row r="1004">
      <c r="B1004" s="109" t="n">
        <v>46204</v>
      </c>
      <c r="C1004" s="110" t="inlineStr">
        <is>
          <t>Vendas - 07/2026</t>
        </is>
      </c>
      <c r="D1004" s="110" t="inlineStr">
        <is>
          <t>Entrada</t>
        </is>
      </c>
      <c r="E1004" s="110" t="inlineStr">
        <is>
          <t>Vendas</t>
        </is>
      </c>
      <c r="F1004" s="111" t="n">
        <v>200</v>
      </c>
      <c r="G1004" s="104" t="inlineStr">
        <is>
          <t>07/2026</t>
        </is>
      </c>
      <c r="H1004" s="104" t="inlineStr">
        <is>
          <t>CODI</t>
        </is>
      </c>
    </row>
    <row r="1005">
      <c r="B1005" s="109" t="n">
        <v>46204</v>
      </c>
      <c r="C1005" s="110" t="inlineStr">
        <is>
          <t>Vendas - 07/2026</t>
        </is>
      </c>
      <c r="D1005" s="110" t="inlineStr">
        <is>
          <t>Entrada</t>
        </is>
      </c>
      <c r="E1005" s="110" t="inlineStr">
        <is>
          <t>Vendas</t>
        </is>
      </c>
      <c r="F1005" s="111" t="n">
        <v>1372</v>
      </c>
      <c r="G1005" s="104" t="inlineStr">
        <is>
          <t>07/2026</t>
        </is>
      </c>
      <c r="H1005" s="104" t="inlineStr">
        <is>
          <t>CODI</t>
        </is>
      </c>
    </row>
    <row r="1006">
      <c r="B1006" s="109" t="n">
        <v>46204</v>
      </c>
      <c r="C1006" s="110" t="inlineStr">
        <is>
          <t>Vendas - 07/2026</t>
        </is>
      </c>
      <c r="D1006" s="110" t="inlineStr">
        <is>
          <t>Entrada</t>
        </is>
      </c>
      <c r="E1006" s="110" t="inlineStr">
        <is>
          <t>Vendas</t>
        </is>
      </c>
      <c r="F1006" s="111" t="n">
        <v>553.75</v>
      </c>
      <c r="G1006" s="104" t="inlineStr">
        <is>
          <t>07/2026</t>
        </is>
      </c>
      <c r="H1006" s="104" t="inlineStr">
        <is>
          <t>CODI</t>
        </is>
      </c>
    </row>
    <row r="1007">
      <c r="B1007" s="109" t="n">
        <v>46204</v>
      </c>
      <c r="C1007" s="110" t="inlineStr">
        <is>
          <t>Vendas - 07/2026</t>
        </is>
      </c>
      <c r="D1007" s="110" t="inlineStr">
        <is>
          <t>Entrada</t>
        </is>
      </c>
      <c r="E1007" s="110" t="inlineStr">
        <is>
          <t>Vendas</t>
        </is>
      </c>
      <c r="F1007" s="111" t="n">
        <v>1620</v>
      </c>
      <c r="G1007" s="104" t="inlineStr">
        <is>
          <t>07/2026</t>
        </is>
      </c>
      <c r="H1007" s="104" t="inlineStr">
        <is>
          <t>CODI</t>
        </is>
      </c>
    </row>
    <row r="1008">
      <c r="B1008" s="109" t="n">
        <v>46204</v>
      </c>
      <c r="C1008" s="110" t="inlineStr">
        <is>
          <t>Vendas - 07/2026</t>
        </is>
      </c>
      <c r="D1008" s="110" t="inlineStr">
        <is>
          <t>Entrada</t>
        </is>
      </c>
      <c r="E1008" s="110" t="inlineStr">
        <is>
          <t>Vendas</t>
        </is>
      </c>
      <c r="F1008" s="111" t="n">
        <v>2125</v>
      </c>
      <c r="G1008" s="104" t="inlineStr">
        <is>
          <t>07/2026</t>
        </is>
      </c>
      <c r="H1008" s="104" t="inlineStr">
        <is>
          <t>CODI</t>
        </is>
      </c>
    </row>
    <row r="1009">
      <c r="B1009" s="109" t="n">
        <v>46204</v>
      </c>
      <c r="C1009" s="110" t="inlineStr">
        <is>
          <t>Vendas - 07/2026</t>
        </is>
      </c>
      <c r="D1009" s="110" t="inlineStr">
        <is>
          <t>Entrada</t>
        </is>
      </c>
      <c r="E1009" s="110" t="inlineStr">
        <is>
          <t>Vendas</t>
        </is>
      </c>
      <c r="F1009" s="111" t="n">
        <v>850</v>
      </c>
      <c r="G1009" s="104" t="inlineStr">
        <is>
          <t>07/2026</t>
        </is>
      </c>
      <c r="H1009" s="104" t="inlineStr">
        <is>
          <t>CODI</t>
        </is>
      </c>
    </row>
    <row r="1010">
      <c r="B1010" s="109" t="n">
        <v>46204</v>
      </c>
      <c r="C1010" s="110" t="inlineStr">
        <is>
          <t>Vendas - 07/2026</t>
        </is>
      </c>
      <c r="D1010" s="110" t="inlineStr">
        <is>
          <t>Entrada</t>
        </is>
      </c>
      <c r="E1010" s="110" t="inlineStr">
        <is>
          <t>Vendas</t>
        </is>
      </c>
      <c r="F1010" s="111" t="n">
        <v>3500</v>
      </c>
      <c r="G1010" s="104" t="inlineStr">
        <is>
          <t>07/2026</t>
        </is>
      </c>
      <c r="H1010" s="104" t="inlineStr">
        <is>
          <t>CODI</t>
        </is>
      </c>
    </row>
    <row r="1011">
      <c r="B1011" s="109" t="n">
        <v>46204</v>
      </c>
      <c r="C1011" s="110" t="inlineStr">
        <is>
          <t>Vendas - 07/2026</t>
        </is>
      </c>
      <c r="D1011" s="110" t="inlineStr">
        <is>
          <t>Entrada</t>
        </is>
      </c>
      <c r="E1011" s="110" t="inlineStr">
        <is>
          <t>Vendas</t>
        </is>
      </c>
      <c r="F1011" s="111" t="n">
        <v>2590</v>
      </c>
      <c r="G1011" s="104" t="inlineStr">
        <is>
          <t>07/2026</t>
        </is>
      </c>
      <c r="H1011" s="104" t="inlineStr">
        <is>
          <t>CODI</t>
        </is>
      </c>
    </row>
    <row r="1012">
      <c r="B1012" s="109" t="n">
        <v>46204</v>
      </c>
      <c r="C1012" s="110" t="inlineStr">
        <is>
          <t>Vendas - 07/2026</t>
        </is>
      </c>
      <c r="D1012" s="110" t="inlineStr">
        <is>
          <t>Entrada</t>
        </is>
      </c>
      <c r="E1012" s="110" t="inlineStr">
        <is>
          <t>Vendas</t>
        </is>
      </c>
      <c r="F1012" s="111" t="n">
        <v>1602</v>
      </c>
      <c r="G1012" s="104" t="inlineStr">
        <is>
          <t>07/2026</t>
        </is>
      </c>
      <c r="H1012" s="104" t="inlineStr">
        <is>
          <t>CODI</t>
        </is>
      </c>
    </row>
    <row r="1013">
      <c r="B1013" s="109" t="n">
        <v>46204</v>
      </c>
      <c r="C1013" s="110" t="inlineStr">
        <is>
          <t>Vendas - 07/2026</t>
        </is>
      </c>
      <c r="D1013" s="110" t="inlineStr">
        <is>
          <t>Entrada</t>
        </is>
      </c>
      <c r="E1013" s="110" t="inlineStr">
        <is>
          <t>Vendas</t>
        </is>
      </c>
      <c r="F1013" s="111" t="n">
        <v>3971.06</v>
      </c>
      <c r="G1013" s="104" t="inlineStr">
        <is>
          <t>07/2026</t>
        </is>
      </c>
      <c r="H1013" s="104" t="inlineStr">
        <is>
          <t>CODI</t>
        </is>
      </c>
    </row>
    <row r="1014">
      <c r="B1014" s="109" t="n">
        <v>46204</v>
      </c>
      <c r="C1014" s="110" t="inlineStr">
        <is>
          <t>Vendas - 07/2026</t>
        </is>
      </c>
      <c r="D1014" s="110" t="inlineStr">
        <is>
          <t>Entrada</t>
        </is>
      </c>
      <c r="E1014" s="110" t="inlineStr">
        <is>
          <t>Vendas</t>
        </is>
      </c>
      <c r="F1014" s="111" t="n">
        <v>725.75</v>
      </c>
      <c r="G1014" s="104" t="inlineStr">
        <is>
          <t>07/2026</t>
        </is>
      </c>
      <c r="H1014" s="104" t="inlineStr">
        <is>
          <t>CODI</t>
        </is>
      </c>
    </row>
    <row r="1015">
      <c r="B1015" s="109" t="n">
        <v>46204</v>
      </c>
      <c r="C1015" s="110" t="inlineStr">
        <is>
          <t>Vendas - 07/2026</t>
        </is>
      </c>
      <c r="D1015" s="110" t="inlineStr">
        <is>
          <t>Entrada</t>
        </is>
      </c>
      <c r="E1015" s="110" t="inlineStr">
        <is>
          <t>Vendas</t>
        </is>
      </c>
      <c r="F1015" s="111" t="n">
        <v>475.7</v>
      </c>
      <c r="G1015" s="104" t="inlineStr">
        <is>
          <t>07/2026</t>
        </is>
      </c>
      <c r="H1015" s="104" t="inlineStr">
        <is>
          <t>CODI</t>
        </is>
      </c>
    </row>
    <row r="1016">
      <c r="B1016" s="109" t="n">
        <v>46204</v>
      </c>
      <c r="C1016" s="110" t="inlineStr">
        <is>
          <t>Vendas - 07/2026</t>
        </is>
      </c>
      <c r="D1016" s="110" t="inlineStr">
        <is>
          <t>Entrada</t>
        </is>
      </c>
      <c r="E1016" s="110" t="inlineStr">
        <is>
          <t>Vendas</t>
        </is>
      </c>
      <c r="F1016" s="111" t="n">
        <v>255</v>
      </c>
      <c r="G1016" s="104" t="inlineStr">
        <is>
          <t>07/2026</t>
        </is>
      </c>
      <c r="H1016" s="104" t="inlineStr">
        <is>
          <t>CODI</t>
        </is>
      </c>
    </row>
    <row r="1017">
      <c r="B1017" s="109" t="n">
        <v>46204</v>
      </c>
      <c r="C1017" s="110" t="inlineStr">
        <is>
          <t>Vendas - 07/2026</t>
        </is>
      </c>
      <c r="D1017" s="110" t="inlineStr">
        <is>
          <t>Entrada</t>
        </is>
      </c>
      <c r="E1017" s="110" t="inlineStr">
        <is>
          <t>Vendas</t>
        </is>
      </c>
      <c r="F1017" s="111" t="n">
        <v>3476.66</v>
      </c>
      <c r="G1017" s="104" t="inlineStr">
        <is>
          <t>07/2026</t>
        </is>
      </c>
      <c r="H1017" s="104" t="inlineStr">
        <is>
          <t>CODI</t>
        </is>
      </c>
    </row>
    <row r="1018">
      <c r="B1018" s="109" t="n">
        <v>46204</v>
      </c>
      <c r="C1018" s="110" t="inlineStr">
        <is>
          <t>Vendas - 07/2026</t>
        </is>
      </c>
      <c r="D1018" s="110" t="inlineStr">
        <is>
          <t>Entrada</t>
        </is>
      </c>
      <c r="E1018" s="110" t="inlineStr">
        <is>
          <t>Vendas</t>
        </is>
      </c>
      <c r="F1018" s="111" t="n">
        <v>835</v>
      </c>
      <c r="G1018" s="104" t="inlineStr">
        <is>
          <t>07/2026</t>
        </is>
      </c>
      <c r="H1018" s="104" t="inlineStr">
        <is>
          <t>CODI</t>
        </is>
      </c>
    </row>
    <row r="1019">
      <c r="B1019" s="109" t="n">
        <v>46204</v>
      </c>
      <c r="C1019" s="110" t="inlineStr">
        <is>
          <t>Vendas - 07/2026</t>
        </is>
      </c>
      <c r="D1019" s="110" t="inlineStr">
        <is>
          <t>Entrada</t>
        </is>
      </c>
      <c r="E1019" s="110" t="inlineStr">
        <is>
          <t>Vendas</t>
        </is>
      </c>
      <c r="F1019" s="111" t="n">
        <v>457.4</v>
      </c>
      <c r="G1019" s="104" t="inlineStr">
        <is>
          <t>07/2026</t>
        </is>
      </c>
      <c r="H1019" s="104" t="inlineStr">
        <is>
          <t>CODI</t>
        </is>
      </c>
    </row>
    <row r="1020">
      <c r="B1020" s="109" t="n">
        <v>46204</v>
      </c>
      <c r="C1020" s="110" t="inlineStr">
        <is>
          <t>Vendas - 07/2026</t>
        </is>
      </c>
      <c r="D1020" s="110" t="inlineStr">
        <is>
          <t>Entrada</t>
        </is>
      </c>
      <c r="E1020" s="110" t="inlineStr">
        <is>
          <t>Vendas</t>
        </is>
      </c>
      <c r="F1020" s="111" t="n">
        <v>452</v>
      </c>
      <c r="G1020" s="104" t="inlineStr">
        <is>
          <t>07/2026</t>
        </is>
      </c>
      <c r="H1020" s="104" t="inlineStr">
        <is>
          <t>CODI</t>
        </is>
      </c>
    </row>
    <row r="1021">
      <c r="B1021" s="109" t="n">
        <v>46204</v>
      </c>
      <c r="C1021" s="110" t="inlineStr">
        <is>
          <t>Vendas - 07/2026</t>
        </is>
      </c>
      <c r="D1021" s="110" t="inlineStr">
        <is>
          <t>Entrada</t>
        </is>
      </c>
      <c r="E1021" s="110" t="inlineStr">
        <is>
          <t>Vendas</t>
        </is>
      </c>
      <c r="F1021" s="111" t="n">
        <v>1222.5</v>
      </c>
      <c r="G1021" s="104" t="inlineStr">
        <is>
          <t>07/2026</t>
        </is>
      </c>
      <c r="H1021" s="104" t="inlineStr">
        <is>
          <t>CODI</t>
        </is>
      </c>
    </row>
    <row r="1022">
      <c r="B1022" s="109" t="n">
        <v>46204</v>
      </c>
      <c r="C1022" s="110" t="inlineStr">
        <is>
          <t>Vendas - 07/2026</t>
        </is>
      </c>
      <c r="D1022" s="110" t="inlineStr">
        <is>
          <t>Entrada</t>
        </is>
      </c>
      <c r="E1022" s="110" t="inlineStr">
        <is>
          <t>Vendas</t>
        </is>
      </c>
      <c r="F1022" s="111" t="n">
        <v>573.8</v>
      </c>
      <c r="G1022" s="104" t="inlineStr">
        <is>
          <t>07/2026</t>
        </is>
      </c>
      <c r="H1022" s="104" t="inlineStr">
        <is>
          <t>CODI</t>
        </is>
      </c>
    </row>
    <row r="1023">
      <c r="B1023" s="109" t="n">
        <v>46204</v>
      </c>
      <c r="C1023" s="110" t="inlineStr">
        <is>
          <t>Vendas - 07/2026</t>
        </is>
      </c>
      <c r="D1023" s="110" t="inlineStr">
        <is>
          <t>Entrada</t>
        </is>
      </c>
      <c r="E1023" s="110" t="inlineStr">
        <is>
          <t>Vendas</t>
        </is>
      </c>
      <c r="F1023" s="111" t="n">
        <v>601.15</v>
      </c>
      <c r="G1023" s="104" t="inlineStr">
        <is>
          <t>07/2026</t>
        </is>
      </c>
      <c r="H1023" s="104" t="inlineStr">
        <is>
          <t>CODI</t>
        </is>
      </c>
    </row>
    <row r="1024">
      <c r="B1024" s="109" t="n">
        <v>46204</v>
      </c>
      <c r="C1024" s="110" t="inlineStr">
        <is>
          <t>Vendas - 07/2026</t>
        </is>
      </c>
      <c r="D1024" s="110" t="inlineStr">
        <is>
          <t>Entrada</t>
        </is>
      </c>
      <c r="E1024" s="110" t="inlineStr">
        <is>
          <t>Vendas</t>
        </is>
      </c>
      <c r="F1024" s="111" t="n">
        <v>941.5</v>
      </c>
      <c r="G1024" s="104" t="inlineStr">
        <is>
          <t>07/2026</t>
        </is>
      </c>
      <c r="H1024" s="104" t="inlineStr">
        <is>
          <t>CODI</t>
        </is>
      </c>
    </row>
    <row r="1025">
      <c r="B1025" s="109" t="n">
        <v>46204</v>
      </c>
      <c r="C1025" s="110" t="inlineStr">
        <is>
          <t>Vendas - 07/2026</t>
        </is>
      </c>
      <c r="D1025" s="110" t="inlineStr">
        <is>
          <t>Entrada</t>
        </is>
      </c>
      <c r="E1025" s="110" t="inlineStr">
        <is>
          <t>Vendas</t>
        </is>
      </c>
      <c r="F1025" s="111" t="n">
        <v>666.67</v>
      </c>
      <c r="G1025" s="104" t="inlineStr">
        <is>
          <t>07/2026</t>
        </is>
      </c>
      <c r="H1025" s="104" t="inlineStr">
        <is>
          <t>CODI</t>
        </is>
      </c>
    </row>
    <row r="1026">
      <c r="B1026" s="109" t="n">
        <v>46204</v>
      </c>
      <c r="C1026" s="110" t="inlineStr">
        <is>
          <t>Vendas - 07/2026</t>
        </is>
      </c>
      <c r="D1026" s="110" t="inlineStr">
        <is>
          <t>Entrada</t>
        </is>
      </c>
      <c r="E1026" s="110" t="inlineStr">
        <is>
          <t>Vendas</t>
        </is>
      </c>
      <c r="F1026" s="111" t="n">
        <v>515.79</v>
      </c>
      <c r="G1026" s="104" t="inlineStr">
        <is>
          <t>07/2026</t>
        </is>
      </c>
      <c r="H1026" s="104" t="inlineStr">
        <is>
          <t>CODI</t>
        </is>
      </c>
    </row>
    <row r="1027">
      <c r="B1027" s="109" t="n">
        <v>46204</v>
      </c>
      <c r="C1027" s="110" t="inlineStr">
        <is>
          <t>Vendas - 07/2026</t>
        </is>
      </c>
      <c r="D1027" s="110" t="inlineStr">
        <is>
          <t>Entrada</t>
        </is>
      </c>
      <c r="E1027" s="110" t="inlineStr">
        <is>
          <t>Vendas</t>
        </is>
      </c>
      <c r="F1027" s="111" t="n">
        <v>2160</v>
      </c>
      <c r="G1027" s="104" t="inlineStr">
        <is>
          <t>07/2026</t>
        </is>
      </c>
      <c r="H1027" s="104" t="inlineStr">
        <is>
          <t>CODI</t>
        </is>
      </c>
    </row>
    <row r="1028">
      <c r="B1028" s="109" t="n">
        <v>46204</v>
      </c>
      <c r="C1028" s="110" t="inlineStr">
        <is>
          <t>Vendas - 07/2026</t>
        </is>
      </c>
      <c r="D1028" s="110" t="inlineStr">
        <is>
          <t>Entrada</t>
        </is>
      </c>
      <c r="E1028" s="110" t="inlineStr">
        <is>
          <t>Vendas</t>
        </is>
      </c>
      <c r="F1028" s="111" t="n">
        <v>1210</v>
      </c>
      <c r="G1028" s="104" t="inlineStr">
        <is>
          <t>07/2026</t>
        </is>
      </c>
      <c r="H1028" s="104" t="inlineStr">
        <is>
          <t>CODI</t>
        </is>
      </c>
    </row>
    <row r="1029">
      <c r="B1029" s="109" t="n">
        <v>46204</v>
      </c>
      <c r="C1029" s="110" t="inlineStr">
        <is>
          <t>Vendas - 07/2026</t>
        </is>
      </c>
      <c r="D1029" s="110" t="inlineStr">
        <is>
          <t>Entrada</t>
        </is>
      </c>
      <c r="E1029" s="110" t="inlineStr">
        <is>
          <t>Vendas</t>
        </is>
      </c>
      <c r="F1029" s="111" t="n">
        <v>1525</v>
      </c>
      <c r="G1029" s="104" t="inlineStr">
        <is>
          <t>07/2026</t>
        </is>
      </c>
      <c r="H1029" s="104" t="inlineStr">
        <is>
          <t>CODI</t>
        </is>
      </c>
    </row>
    <row r="1030">
      <c r="B1030" s="109" t="n">
        <v>46204</v>
      </c>
      <c r="C1030" s="110" t="inlineStr">
        <is>
          <t>Vendas - 07/2026</t>
        </is>
      </c>
      <c r="D1030" s="110" t="inlineStr">
        <is>
          <t>Entrada</t>
        </is>
      </c>
      <c r="E1030" s="110" t="inlineStr">
        <is>
          <t>Vendas</t>
        </is>
      </c>
      <c r="F1030" s="111" t="n">
        <v>240</v>
      </c>
      <c r="G1030" s="104" t="inlineStr">
        <is>
          <t>07/2026</t>
        </is>
      </c>
      <c r="H1030" s="104" t="inlineStr">
        <is>
          <t>CODI</t>
        </is>
      </c>
    </row>
    <row r="1031">
      <c r="B1031" s="109" t="n">
        <v>46204</v>
      </c>
      <c r="C1031" s="110" t="inlineStr">
        <is>
          <t>Vendas - 07/2026</t>
        </is>
      </c>
      <c r="D1031" s="110" t="inlineStr">
        <is>
          <t>Entrada</t>
        </is>
      </c>
      <c r="E1031" s="110" t="inlineStr">
        <is>
          <t>Vendas</t>
        </is>
      </c>
      <c r="F1031" s="111" t="n">
        <v>2522</v>
      </c>
      <c r="G1031" s="104" t="inlineStr">
        <is>
          <t>07/2026</t>
        </is>
      </c>
      <c r="H1031" s="104" t="inlineStr">
        <is>
          <t>CODI</t>
        </is>
      </c>
    </row>
    <row r="1032">
      <c r="B1032" s="109" t="n">
        <v>46204</v>
      </c>
      <c r="C1032" s="110" t="inlineStr">
        <is>
          <t>Vendas - 07/2026</t>
        </is>
      </c>
      <c r="D1032" s="110" t="inlineStr">
        <is>
          <t>Entrada</t>
        </is>
      </c>
      <c r="E1032" s="110" t="inlineStr">
        <is>
          <t>Vendas</t>
        </is>
      </c>
      <c r="F1032" s="111" t="n">
        <v>1855</v>
      </c>
      <c r="G1032" s="104" t="inlineStr">
        <is>
          <t>07/2026</t>
        </is>
      </c>
      <c r="H1032" s="104" t="inlineStr">
        <is>
          <t>CODI</t>
        </is>
      </c>
    </row>
    <row r="1033">
      <c r="B1033" s="109" t="n">
        <v>46204</v>
      </c>
      <c r="C1033" s="110" t="inlineStr">
        <is>
          <t>Aviamento - 07/2026</t>
        </is>
      </c>
      <c r="D1033" s="110" t="inlineStr">
        <is>
          <t>Saída</t>
        </is>
      </c>
      <c r="E1033" s="110" t="inlineStr">
        <is>
          <t>Aviamento</t>
        </is>
      </c>
      <c r="F1033" s="111" t="n">
        <v>5139.91</v>
      </c>
      <c r="G1033" s="104" t="inlineStr">
        <is>
          <t>07/2026</t>
        </is>
      </c>
      <c r="H1033" s="104" t="inlineStr">
        <is>
          <t>CODI</t>
        </is>
      </c>
    </row>
    <row r="1034">
      <c r="B1034" s="109" t="n">
        <v>46204</v>
      </c>
      <c r="C1034" s="110" t="inlineStr">
        <is>
          <t>Despesa não Identificada - 07/2026</t>
        </is>
      </c>
      <c r="D1034" s="110" t="inlineStr">
        <is>
          <t>Saída</t>
        </is>
      </c>
      <c r="E1034" s="110" t="inlineStr">
        <is>
          <t>Despesa não Identificada</t>
        </is>
      </c>
      <c r="F1034" s="111" t="n">
        <v>14018.78</v>
      </c>
      <c r="G1034" s="104" t="inlineStr">
        <is>
          <t>07/2026</t>
        </is>
      </c>
      <c r="H1034" s="104" t="inlineStr">
        <is>
          <t>CODI</t>
        </is>
      </c>
    </row>
    <row r="1035">
      <c r="B1035" s="109" t="n">
        <v>46204</v>
      </c>
      <c r="C1035" s="110" t="inlineStr">
        <is>
          <t>Tráfego/Social Mídia - 07/2026</t>
        </is>
      </c>
      <c r="D1035" s="110" t="inlineStr">
        <is>
          <t>Saída</t>
        </is>
      </c>
      <c r="E1035" s="110" t="inlineStr">
        <is>
          <t>Tráfego/Social Mídia</t>
        </is>
      </c>
      <c r="F1035" s="111" t="n">
        <v>6225.2</v>
      </c>
      <c r="G1035" s="104" t="inlineStr">
        <is>
          <t>07/2026</t>
        </is>
      </c>
      <c r="H1035" s="104" t="inlineStr">
        <is>
          <t>CODI</t>
        </is>
      </c>
    </row>
    <row r="1036">
      <c r="B1036" s="109" t="n">
        <v>46204</v>
      </c>
      <c r="C1036" s="110" t="inlineStr">
        <is>
          <t>Publicidade - 07/2026</t>
        </is>
      </c>
      <c r="D1036" s="110" t="inlineStr">
        <is>
          <t>Saída</t>
        </is>
      </c>
      <c r="E1036" s="110" t="inlineStr">
        <is>
          <t>Publicidade</t>
        </is>
      </c>
      <c r="F1036" s="111" t="n">
        <v>4320</v>
      </c>
      <c r="G1036" s="104" t="inlineStr">
        <is>
          <t>07/2026</t>
        </is>
      </c>
      <c r="H1036" s="104" t="inlineStr">
        <is>
          <t>CODI</t>
        </is>
      </c>
    </row>
    <row r="1037">
      <c r="B1037" s="109" t="n">
        <v>46204</v>
      </c>
      <c r="C1037" s="110" t="inlineStr">
        <is>
          <t>Lavanderia - 07/2026</t>
        </is>
      </c>
      <c r="D1037" s="110" t="inlineStr">
        <is>
          <t>Saída</t>
        </is>
      </c>
      <c r="E1037" s="110" t="inlineStr">
        <is>
          <t>Lavanderia</t>
        </is>
      </c>
      <c r="F1037" s="111" t="n">
        <v>29133.61</v>
      </c>
      <c r="G1037" s="104" t="inlineStr">
        <is>
          <t>07/2026</t>
        </is>
      </c>
      <c r="H1037" s="104" t="inlineStr">
        <is>
          <t>CODI</t>
        </is>
      </c>
    </row>
    <row r="1038">
      <c r="B1038" s="109" t="n">
        <v>46204</v>
      </c>
      <c r="C1038" s="110" t="inlineStr">
        <is>
          <t>Etiquetas - 07/2026</t>
        </is>
      </c>
      <c r="D1038" s="110" t="inlineStr">
        <is>
          <t>Saída</t>
        </is>
      </c>
      <c r="E1038" s="110" t="inlineStr">
        <is>
          <t>Etiquetas</t>
        </is>
      </c>
      <c r="F1038" s="111" t="n">
        <v>7571.34</v>
      </c>
      <c r="G1038" s="104" t="inlineStr">
        <is>
          <t>07/2026</t>
        </is>
      </c>
      <c r="H1038" s="104" t="inlineStr">
        <is>
          <t>CODI</t>
        </is>
      </c>
    </row>
    <row r="1039">
      <c r="B1039" s="109" t="n">
        <v>46204</v>
      </c>
      <c r="C1039" s="110" t="inlineStr">
        <is>
          <t>Facção - 07/2026</t>
        </is>
      </c>
      <c r="D1039" s="110" t="inlineStr">
        <is>
          <t>Saída</t>
        </is>
      </c>
      <c r="E1039" s="110" t="inlineStr">
        <is>
          <t>Facção</t>
        </is>
      </c>
      <c r="F1039" s="111" t="n">
        <v>102063.35</v>
      </c>
      <c r="G1039" s="104" t="inlineStr">
        <is>
          <t>07/2026</t>
        </is>
      </c>
      <c r="H1039" s="104" t="inlineStr">
        <is>
          <t>CODI</t>
        </is>
      </c>
    </row>
    <row r="1040">
      <c r="B1040" s="109" t="n">
        <v>46204</v>
      </c>
      <c r="C1040" s="110" t="inlineStr">
        <is>
          <t>Tecidos - 07/2026</t>
        </is>
      </c>
      <c r="D1040" s="110" t="inlineStr">
        <is>
          <t>Saída</t>
        </is>
      </c>
      <c r="E1040" s="110" t="inlineStr">
        <is>
          <t>Tecidos</t>
        </is>
      </c>
      <c r="F1040" s="111" t="n">
        <v>153807.25</v>
      </c>
      <c r="G1040" s="104" t="inlineStr">
        <is>
          <t>07/2026</t>
        </is>
      </c>
      <c r="H1040" s="104" t="inlineStr">
        <is>
          <t>CODI</t>
        </is>
      </c>
    </row>
    <row r="1041">
      <c r="B1041" s="109" t="n">
        <v>46204</v>
      </c>
      <c r="C1041" s="110" t="inlineStr">
        <is>
          <t>Facção - 07/2026</t>
        </is>
      </c>
      <c r="D1041" s="110" t="inlineStr">
        <is>
          <t>Saída</t>
        </is>
      </c>
      <c r="E1041" s="110" t="inlineStr">
        <is>
          <t>Facção</t>
        </is>
      </c>
      <c r="F1041" s="111" t="n">
        <v>10527</v>
      </c>
      <c r="G1041" s="104" t="inlineStr">
        <is>
          <t>07/2026</t>
        </is>
      </c>
      <c r="H1041" s="104" t="inlineStr">
        <is>
          <t>VAREN</t>
        </is>
      </c>
    </row>
    <row r="1042">
      <c r="B1042" s="109" t="n">
        <v>46204</v>
      </c>
      <c r="C1042" s="110" t="inlineStr">
        <is>
          <t>Darf - 07/2026</t>
        </is>
      </c>
      <c r="D1042" s="110" t="inlineStr">
        <is>
          <t>Saída</t>
        </is>
      </c>
      <c r="E1042" s="110" t="inlineStr">
        <is>
          <t>Darf</t>
        </is>
      </c>
      <c r="F1042" s="111" t="n">
        <v>12644.8</v>
      </c>
      <c r="G1042" s="104" t="inlineStr">
        <is>
          <t>07/2026</t>
        </is>
      </c>
      <c r="H1042" s="104" t="inlineStr">
        <is>
          <t>CODI</t>
        </is>
      </c>
    </row>
    <row r="1043">
      <c r="B1043" s="109" t="n">
        <v>46204</v>
      </c>
      <c r="C1043" s="110" t="inlineStr">
        <is>
          <t>Combustíveis - 07/2026</t>
        </is>
      </c>
      <c r="D1043" s="110" t="inlineStr">
        <is>
          <t>Saída</t>
        </is>
      </c>
      <c r="E1043" s="110" t="inlineStr">
        <is>
          <t>Combustíveis</t>
        </is>
      </c>
      <c r="F1043" s="111" t="n">
        <v>1347</v>
      </c>
      <c r="G1043" s="104" t="inlineStr">
        <is>
          <t>07/2026</t>
        </is>
      </c>
      <c r="H1043" s="104" t="inlineStr">
        <is>
          <t>CODI</t>
        </is>
      </c>
    </row>
    <row r="1044">
      <c r="B1044" s="109" t="n">
        <v>46204</v>
      </c>
      <c r="C1044" s="110" t="inlineStr">
        <is>
          <t>Manutenção de Veiculos e Estacionamento - 07/2026</t>
        </is>
      </c>
      <c r="D1044" s="110" t="inlineStr">
        <is>
          <t>Saída</t>
        </is>
      </c>
      <c r="E1044" s="110" t="inlineStr">
        <is>
          <t>Manutenção de Veiculos e Estacionamento</t>
        </is>
      </c>
      <c r="F1044" s="111" t="n">
        <v>220</v>
      </c>
      <c r="G1044" s="104" t="inlineStr">
        <is>
          <t>07/2026</t>
        </is>
      </c>
      <c r="H1044" s="104" t="inlineStr">
        <is>
          <t>CODI</t>
        </is>
      </c>
    </row>
    <row r="1045">
      <c r="B1045" s="109" t="n">
        <v>46204</v>
      </c>
      <c r="C1045" s="110" t="inlineStr">
        <is>
          <t>Material de Copa e Cozinha - 07/2026</t>
        </is>
      </c>
      <c r="D1045" s="110" t="inlineStr">
        <is>
          <t>Saída</t>
        </is>
      </c>
      <c r="E1045" s="110" t="inlineStr">
        <is>
          <t>Material de Copa e Cozinha</t>
        </is>
      </c>
      <c r="F1045" s="111" t="n">
        <v>40.39</v>
      </c>
      <c r="G1045" s="104" t="inlineStr">
        <is>
          <t>07/2026</t>
        </is>
      </c>
      <c r="H1045" s="104" t="inlineStr">
        <is>
          <t>CODI</t>
        </is>
      </c>
    </row>
    <row r="1046">
      <c r="B1046" s="109" t="n">
        <v>46204</v>
      </c>
      <c r="C1046" s="110" t="inlineStr">
        <is>
          <t>Material de Escritório - 07/2026</t>
        </is>
      </c>
      <c r="D1046" s="110" t="inlineStr">
        <is>
          <t>Saída</t>
        </is>
      </c>
      <c r="E1046" s="110" t="inlineStr">
        <is>
          <t>Material de Escritório</t>
        </is>
      </c>
      <c r="F1046" s="111" t="n">
        <v>318.76</v>
      </c>
      <c r="G1046" s="104" t="inlineStr">
        <is>
          <t>07/2026</t>
        </is>
      </c>
      <c r="H1046" s="104" t="inlineStr">
        <is>
          <t>CODI</t>
        </is>
      </c>
    </row>
    <row r="1047">
      <c r="B1047" s="109" t="n">
        <v>46204</v>
      </c>
      <c r="C1047" s="110" t="inlineStr">
        <is>
          <t>Frete e Transporte de Mercadorias - 07/2026</t>
        </is>
      </c>
      <c r="D1047" s="110" t="inlineStr">
        <is>
          <t>Saída</t>
        </is>
      </c>
      <c r="E1047" s="110" t="inlineStr">
        <is>
          <t>Frete e Transporte de Mercadorias</t>
        </is>
      </c>
      <c r="F1047" s="111" t="n">
        <v>9117.65</v>
      </c>
      <c r="G1047" s="104" t="inlineStr">
        <is>
          <t>07/2026</t>
        </is>
      </c>
      <c r="H1047" s="104" t="inlineStr">
        <is>
          <t>CODI</t>
        </is>
      </c>
    </row>
    <row r="1048">
      <c r="B1048" s="109" t="n">
        <v>46204</v>
      </c>
      <c r="C1048" s="110" t="inlineStr">
        <is>
          <t>Criação de Modelos - 07/2026</t>
        </is>
      </c>
      <c r="D1048" s="110" t="inlineStr">
        <is>
          <t>Saída</t>
        </is>
      </c>
      <c r="E1048" s="110" t="inlineStr">
        <is>
          <t>Criação de Modelos</t>
        </is>
      </c>
      <c r="F1048" s="111" t="n">
        <v>13140</v>
      </c>
      <c r="G1048" s="104" t="inlineStr">
        <is>
          <t>07/2026</t>
        </is>
      </c>
      <c r="H1048" s="104" t="inlineStr">
        <is>
          <t>CODI</t>
        </is>
      </c>
    </row>
    <row r="1049">
      <c r="B1049" s="109" t="n">
        <v>46204</v>
      </c>
      <c r="C1049" s="110" t="inlineStr">
        <is>
          <t>Vale Transporte - 07/2026</t>
        </is>
      </c>
      <c r="D1049" s="110" t="inlineStr">
        <is>
          <t>Saída</t>
        </is>
      </c>
      <c r="E1049" s="110" t="inlineStr">
        <is>
          <t>Vale Transporte</t>
        </is>
      </c>
      <c r="F1049" s="111" t="n">
        <v>2040</v>
      </c>
      <c r="G1049" s="104" t="inlineStr">
        <is>
          <t>07/2026</t>
        </is>
      </c>
      <c r="H1049" s="104" t="inlineStr">
        <is>
          <t>CODI</t>
        </is>
      </c>
    </row>
    <row r="1050">
      <c r="B1050" s="109" t="n">
        <v>46204</v>
      </c>
      <c r="C1050" s="110" t="inlineStr">
        <is>
          <t>Hora Extra - 07/2026</t>
        </is>
      </c>
      <c r="D1050" s="110" t="inlineStr">
        <is>
          <t>Saída</t>
        </is>
      </c>
      <c r="E1050" s="110" t="inlineStr">
        <is>
          <t>Hora Extra</t>
        </is>
      </c>
      <c r="F1050" s="111" t="n">
        <v>800</v>
      </c>
      <c r="G1050" s="104" t="inlineStr">
        <is>
          <t>07/2026</t>
        </is>
      </c>
      <c r="H1050" s="104" t="inlineStr">
        <is>
          <t>CODI</t>
        </is>
      </c>
    </row>
    <row r="1051">
      <c r="B1051" s="109" t="n">
        <v>46204</v>
      </c>
      <c r="C1051" s="110" t="inlineStr">
        <is>
          <t>Salário e Ordenados - 07/2026</t>
        </is>
      </c>
      <c r="D1051" s="110" t="inlineStr">
        <is>
          <t>Saída</t>
        </is>
      </c>
      <c r="E1051" s="110" t="inlineStr">
        <is>
          <t>Salário e Ordenados</t>
        </is>
      </c>
      <c r="F1051" s="111" t="n">
        <v>27846.94</v>
      </c>
      <c r="G1051" s="104" t="inlineStr">
        <is>
          <t>07/2026</t>
        </is>
      </c>
      <c r="H1051" s="104" t="inlineStr">
        <is>
          <t>CODI</t>
        </is>
      </c>
    </row>
    <row r="1052">
      <c r="B1052" s="109" t="n">
        <v>46204</v>
      </c>
      <c r="C1052" s="110" t="inlineStr">
        <is>
          <t>Comissão de vendedores - 07/2026</t>
        </is>
      </c>
      <c r="D1052" s="110" t="inlineStr">
        <is>
          <t>Saída</t>
        </is>
      </c>
      <c r="E1052" s="110" t="inlineStr">
        <is>
          <t>Comissão de vendedores</t>
        </is>
      </c>
      <c r="F1052" s="111" t="n">
        <v>14113.09</v>
      </c>
      <c r="G1052" s="104" t="inlineStr">
        <is>
          <t>07/2026</t>
        </is>
      </c>
      <c r="H1052" s="104" t="inlineStr">
        <is>
          <t>CODI</t>
        </is>
      </c>
    </row>
    <row r="1053">
      <c r="B1053" s="109" t="n">
        <v>46204</v>
      </c>
      <c r="C1053" s="110" t="inlineStr">
        <is>
          <t>Vales e Adiantamentos - 07/2026</t>
        </is>
      </c>
      <c r="D1053" s="110" t="inlineStr">
        <is>
          <t>Saída</t>
        </is>
      </c>
      <c r="E1053" s="110" t="inlineStr">
        <is>
          <t>Vales e Adiantamentos</t>
        </is>
      </c>
      <c r="F1053" s="111" t="n">
        <v>3450</v>
      </c>
      <c r="G1053" s="104" t="inlineStr">
        <is>
          <t>07/2026</t>
        </is>
      </c>
      <c r="H1053" s="104" t="inlineStr">
        <is>
          <t>CODI</t>
        </is>
      </c>
    </row>
    <row r="1054">
      <c r="B1054" s="109" t="n">
        <v>46204</v>
      </c>
      <c r="C1054" s="110" t="inlineStr">
        <is>
          <t>Embalagens - 07/2026</t>
        </is>
      </c>
      <c r="D1054" s="110" t="inlineStr">
        <is>
          <t>Saída</t>
        </is>
      </c>
      <c r="E1054" s="110" t="inlineStr">
        <is>
          <t>Embalagens</t>
        </is>
      </c>
      <c r="F1054" s="111" t="n">
        <v>2309.64</v>
      </c>
      <c r="G1054" s="104" t="inlineStr">
        <is>
          <t>07/2026</t>
        </is>
      </c>
      <c r="H1054" s="104" t="inlineStr">
        <is>
          <t>CODI</t>
        </is>
      </c>
    </row>
    <row r="1055">
      <c r="B1055" s="109" t="n">
        <v>46204</v>
      </c>
      <c r="C1055" s="110" t="inlineStr">
        <is>
          <t>Advogados - Honorários - 07/2026</t>
        </is>
      </c>
      <c r="D1055" s="110" t="inlineStr">
        <is>
          <t>Saída</t>
        </is>
      </c>
      <c r="E1055" s="110" t="inlineStr">
        <is>
          <t>Advogados - Honorários</t>
        </is>
      </c>
      <c r="F1055" s="111" t="n">
        <v>2500</v>
      </c>
      <c r="G1055" s="104" t="inlineStr">
        <is>
          <t>07/2026</t>
        </is>
      </c>
      <c r="H1055" s="104" t="inlineStr">
        <is>
          <t>CODI</t>
        </is>
      </c>
    </row>
    <row r="1056">
      <c r="B1056" s="109" t="n">
        <v>46204</v>
      </c>
      <c r="C1056" s="110" t="inlineStr">
        <is>
          <t>ICMS - 07/2026</t>
        </is>
      </c>
      <c r="D1056" s="110" t="inlineStr">
        <is>
          <t>Saída</t>
        </is>
      </c>
      <c r="E1056" s="110" t="inlineStr">
        <is>
          <t>ICMS</t>
        </is>
      </c>
      <c r="F1056" s="111" t="n">
        <v>292.81</v>
      </c>
      <c r="G1056" s="104" t="inlineStr">
        <is>
          <t>07/2026</t>
        </is>
      </c>
      <c r="H1056" s="104" t="inlineStr">
        <is>
          <t>CODI</t>
        </is>
      </c>
    </row>
    <row r="1057">
      <c r="B1057" s="109" t="n">
        <v>46204</v>
      </c>
      <c r="C1057" s="110" t="inlineStr">
        <is>
          <t>Outros Tributos - 07/2026</t>
        </is>
      </c>
      <c r="D1057" s="110" t="inlineStr">
        <is>
          <t>Saída</t>
        </is>
      </c>
      <c r="E1057" s="110" t="inlineStr">
        <is>
          <t>Outros Tributos</t>
        </is>
      </c>
      <c r="F1057" s="111" t="n">
        <v>83</v>
      </c>
      <c r="G1057" s="104" t="inlineStr">
        <is>
          <t>07/2026</t>
        </is>
      </c>
      <c r="H1057" s="104" t="inlineStr">
        <is>
          <t>CODI</t>
        </is>
      </c>
    </row>
    <row r="1058">
      <c r="B1058" s="109" t="n">
        <v>46204</v>
      </c>
      <c r="C1058" s="110" t="inlineStr">
        <is>
          <t>Web Site e Sistema ERP - 07/2026</t>
        </is>
      </c>
      <c r="D1058" s="110" t="inlineStr">
        <is>
          <t>Saída</t>
        </is>
      </c>
      <c r="E1058" s="110" t="inlineStr">
        <is>
          <t>Web Site e Sistema ERP</t>
        </is>
      </c>
      <c r="F1058" s="111" t="n">
        <v>1820.4</v>
      </c>
      <c r="G1058" s="104" t="inlineStr">
        <is>
          <t>07/2026</t>
        </is>
      </c>
      <c r="H1058" s="104" t="inlineStr">
        <is>
          <t>CODI</t>
        </is>
      </c>
    </row>
    <row r="1059">
      <c r="B1059" s="109" t="n">
        <v>46204</v>
      </c>
      <c r="C1059" s="110" t="inlineStr">
        <is>
          <t>Travete - 07/2026</t>
        </is>
      </c>
      <c r="D1059" s="110" t="inlineStr">
        <is>
          <t>Saída</t>
        </is>
      </c>
      <c r="E1059" s="110" t="inlineStr">
        <is>
          <t>Travete</t>
        </is>
      </c>
      <c r="F1059" s="111" t="n">
        <v>861.3</v>
      </c>
      <c r="G1059" s="104" t="inlineStr">
        <is>
          <t>07/2026</t>
        </is>
      </c>
      <c r="H1059" s="104" t="inlineStr">
        <is>
          <t>VAREN</t>
        </is>
      </c>
    </row>
    <row r="1060">
      <c r="B1060" s="109" t="n">
        <v>46204</v>
      </c>
      <c r="C1060" s="110" t="inlineStr">
        <is>
          <t>Assessoria Técnica Profissional - 07/2026</t>
        </is>
      </c>
      <c r="D1060" s="110" t="inlineStr">
        <is>
          <t>Saída</t>
        </is>
      </c>
      <c r="E1060" s="110" t="inlineStr">
        <is>
          <t>Assessoria Técnica Profissional</t>
        </is>
      </c>
      <c r="F1060" s="111" t="n">
        <v>3500</v>
      </c>
      <c r="G1060" s="104" t="inlineStr">
        <is>
          <t>07/2026</t>
        </is>
      </c>
      <c r="H1060" s="104" t="inlineStr">
        <is>
          <t>CODI</t>
        </is>
      </c>
    </row>
    <row r="1061">
      <c r="B1061" s="109" t="n">
        <v>46204</v>
      </c>
      <c r="C1061" s="110" t="inlineStr">
        <is>
          <t>Acabamento Externo - 07/2026</t>
        </is>
      </c>
      <c r="D1061" s="110" t="inlineStr">
        <is>
          <t>Saída</t>
        </is>
      </c>
      <c r="E1061" s="110" t="inlineStr">
        <is>
          <t>Acabamento Externo</t>
        </is>
      </c>
      <c r="F1061" s="111" t="n">
        <v>13685.2</v>
      </c>
      <c r="G1061" s="104" t="inlineStr">
        <is>
          <t>07/2026</t>
        </is>
      </c>
      <c r="H1061" s="104" t="inlineStr">
        <is>
          <t>CODI</t>
        </is>
      </c>
    </row>
    <row r="1062">
      <c r="B1062" s="109" t="n">
        <v>46204</v>
      </c>
      <c r="C1062" s="110" t="inlineStr">
        <is>
          <t>Acabamento Externo - 07/2026</t>
        </is>
      </c>
      <c r="D1062" s="110" t="inlineStr">
        <is>
          <t>Saída</t>
        </is>
      </c>
      <c r="E1062" s="110" t="inlineStr">
        <is>
          <t>Acabamento Externo</t>
        </is>
      </c>
      <c r="F1062" s="111" t="n">
        <v>396</v>
      </c>
      <c r="G1062" s="104" t="inlineStr">
        <is>
          <t>07/2026</t>
        </is>
      </c>
      <c r="H1062" s="104" t="inlineStr">
        <is>
          <t>CDK</t>
        </is>
      </c>
    </row>
    <row r="1063">
      <c r="B1063" s="109" t="n">
        <v>46204</v>
      </c>
      <c r="C1063" s="110" t="inlineStr">
        <is>
          <t>Lavanderia - 07/2026</t>
        </is>
      </c>
      <c r="D1063" s="110" t="inlineStr">
        <is>
          <t>Saída</t>
        </is>
      </c>
      <c r="E1063" s="110" t="inlineStr">
        <is>
          <t>Lavanderia</t>
        </is>
      </c>
      <c r="F1063" s="111" t="n">
        <v>3043.8</v>
      </c>
      <c r="G1063" s="104" t="inlineStr">
        <is>
          <t>07/2026</t>
        </is>
      </c>
      <c r="H1063" s="104" t="inlineStr">
        <is>
          <t>CDK</t>
        </is>
      </c>
    </row>
    <row r="1064">
      <c r="B1064" s="109" t="n">
        <v>46204</v>
      </c>
      <c r="C1064" s="110" t="inlineStr">
        <is>
          <t>Produção Externa - 07/2026</t>
        </is>
      </c>
      <c r="D1064" s="110" t="inlineStr">
        <is>
          <t>Saída</t>
        </is>
      </c>
      <c r="E1064" s="110" t="inlineStr">
        <is>
          <t>Produção Externa</t>
        </is>
      </c>
      <c r="F1064" s="111" t="n">
        <v>67933</v>
      </c>
      <c r="G1064" s="104" t="inlineStr">
        <is>
          <t>07/2026</t>
        </is>
      </c>
      <c r="H1064" s="104" t="inlineStr">
        <is>
          <t>CODI</t>
        </is>
      </c>
    </row>
    <row r="1065">
      <c r="B1065" s="109" t="n">
        <v>46204</v>
      </c>
      <c r="C1065" s="110" t="inlineStr">
        <is>
          <t>Acabamento Externo - 07/2026</t>
        </is>
      </c>
      <c r="D1065" s="110" t="inlineStr">
        <is>
          <t>Saída</t>
        </is>
      </c>
      <c r="E1065" s="110" t="inlineStr">
        <is>
          <t>Acabamento Externo</t>
        </is>
      </c>
      <c r="F1065" s="111" t="n">
        <v>308</v>
      </c>
      <c r="G1065" s="104" t="inlineStr">
        <is>
          <t>07/2026</t>
        </is>
      </c>
      <c r="H1065" s="104" t="inlineStr">
        <is>
          <t>VAREN</t>
        </is>
      </c>
    </row>
    <row r="1066">
      <c r="B1066" s="109" t="n">
        <v>46204</v>
      </c>
      <c r="C1066" s="110" t="inlineStr">
        <is>
          <t>Aluguéis e Condomínios - 07/2026</t>
        </is>
      </c>
      <c r="D1066" s="110" t="inlineStr">
        <is>
          <t>Saída</t>
        </is>
      </c>
      <c r="E1066" s="110" t="inlineStr">
        <is>
          <t>Aluguéis e Condomínios</t>
        </is>
      </c>
      <c r="F1066" s="111" t="n">
        <v>6484</v>
      </c>
      <c r="G1066" s="104" t="inlineStr">
        <is>
          <t>07/2026</t>
        </is>
      </c>
      <c r="H1066" s="104" t="inlineStr">
        <is>
          <t>CODI</t>
        </is>
      </c>
    </row>
    <row r="1067">
      <c r="B1067" s="109" t="n">
        <v>46204</v>
      </c>
      <c r="C1067" s="110" t="inlineStr">
        <is>
          <t>Travete - 07/2026</t>
        </is>
      </c>
      <c r="D1067" s="110" t="inlineStr">
        <is>
          <t>Saída</t>
        </is>
      </c>
      <c r="E1067" s="110" t="inlineStr">
        <is>
          <t>Travete</t>
        </is>
      </c>
      <c r="F1067" s="111" t="n">
        <v>5433.1</v>
      </c>
      <c r="G1067" s="104" t="inlineStr">
        <is>
          <t>07/2026</t>
        </is>
      </c>
      <c r="H1067" s="104" t="inlineStr">
        <is>
          <t>CODI</t>
        </is>
      </c>
    </row>
    <row r="1068">
      <c r="B1068" s="109" t="n">
        <v>46204</v>
      </c>
      <c r="C1068" s="110" t="inlineStr">
        <is>
          <t>Consórcio - 07/2026</t>
        </is>
      </c>
      <c r="D1068" s="110" t="inlineStr">
        <is>
          <t>Saída</t>
        </is>
      </c>
      <c r="E1068" s="110" t="inlineStr">
        <is>
          <t>Consórcio</t>
        </is>
      </c>
      <c r="F1068" s="111" t="n">
        <v>2083.88</v>
      </c>
      <c r="G1068" s="104" t="inlineStr">
        <is>
          <t>07/2026</t>
        </is>
      </c>
      <c r="H1068" s="104" t="inlineStr">
        <is>
          <t>CODI</t>
        </is>
      </c>
    </row>
    <row r="1069">
      <c r="B1069" s="109" t="n">
        <v>46204</v>
      </c>
      <c r="C1069" s="110" t="inlineStr">
        <is>
          <t>Consulta de Crédito Cliente - 07/2026</t>
        </is>
      </c>
      <c r="D1069" s="110" t="inlineStr">
        <is>
          <t>Saída</t>
        </is>
      </c>
      <c r="E1069" s="110" t="inlineStr">
        <is>
          <t>Consulta de Crédito Cliente</t>
        </is>
      </c>
      <c r="F1069" s="111" t="n">
        <v>578.9299999999999</v>
      </c>
      <c r="G1069" s="104" t="inlineStr">
        <is>
          <t>07/2026</t>
        </is>
      </c>
      <c r="H1069" s="104" t="inlineStr">
        <is>
          <t>CODI</t>
        </is>
      </c>
    </row>
    <row r="1070">
      <c r="B1070" s="109" t="n">
        <v>46204</v>
      </c>
      <c r="C1070" s="110" t="inlineStr">
        <is>
          <t>Travete - 07/2026</t>
        </is>
      </c>
      <c r="D1070" s="110" t="inlineStr">
        <is>
          <t>Saída</t>
        </is>
      </c>
      <c r="E1070" s="110" t="inlineStr">
        <is>
          <t>Travete</t>
        </is>
      </c>
      <c r="F1070" s="111" t="n">
        <v>722.7</v>
      </c>
      <c r="G1070" s="104" t="inlineStr">
        <is>
          <t>07/2026</t>
        </is>
      </c>
      <c r="H1070" s="104" t="inlineStr">
        <is>
          <t>CDK</t>
        </is>
      </c>
    </row>
    <row r="1071">
      <c r="B1071" s="109" t="n">
        <v>46204</v>
      </c>
      <c r="C1071" s="110" t="inlineStr">
        <is>
          <t>Simples Nacional - 07/2026</t>
        </is>
      </c>
      <c r="D1071" s="110" t="inlineStr">
        <is>
          <t>Saída</t>
        </is>
      </c>
      <c r="E1071" s="110" t="inlineStr">
        <is>
          <t>Simples Nacional</t>
        </is>
      </c>
      <c r="F1071" s="111" t="n">
        <v>17791.71</v>
      </c>
      <c r="G1071" s="104" t="inlineStr">
        <is>
          <t>07/2026</t>
        </is>
      </c>
      <c r="H1071" s="104" t="inlineStr">
        <is>
          <t>CODI</t>
        </is>
      </c>
    </row>
    <row r="1072">
      <c r="B1072" s="109" t="n">
        <v>46204</v>
      </c>
      <c r="C1072" s="110" t="inlineStr">
        <is>
          <t>Honorários Contábeis (Contabilidade) - 07/2026</t>
        </is>
      </c>
      <c r="D1072" s="110" t="inlineStr">
        <is>
          <t>Saída</t>
        </is>
      </c>
      <c r="E1072" s="110" t="inlineStr">
        <is>
          <t>Honorários Contábeis (Contabilidade)</t>
        </is>
      </c>
      <c r="F1072" s="111" t="n">
        <v>1100</v>
      </c>
      <c r="G1072" s="104" t="inlineStr">
        <is>
          <t>07/2026</t>
        </is>
      </c>
      <c r="H1072" s="104" t="inlineStr">
        <is>
          <t>CODI</t>
        </is>
      </c>
    </row>
    <row r="1073">
      <c r="B1073" s="109" t="n">
        <v>46204</v>
      </c>
      <c r="C1073" s="110" t="inlineStr">
        <is>
          <t>Seguros - 07/2026</t>
        </is>
      </c>
      <c r="D1073" s="110" t="inlineStr">
        <is>
          <t>Saída</t>
        </is>
      </c>
      <c r="E1073" s="110" t="inlineStr">
        <is>
          <t>Seguros</t>
        </is>
      </c>
      <c r="F1073" s="111" t="n">
        <v>1196</v>
      </c>
      <c r="G1073" s="104" t="inlineStr">
        <is>
          <t>07/2026</t>
        </is>
      </c>
      <c r="H1073" s="104" t="inlineStr">
        <is>
          <t>CODI</t>
        </is>
      </c>
    </row>
    <row r="1074">
      <c r="B1074" s="109" t="n">
        <v>46204</v>
      </c>
      <c r="C1074" s="110" t="inlineStr">
        <is>
          <t>Segurança e Monitoramento - 07/2026</t>
        </is>
      </c>
      <c r="D1074" s="110" t="inlineStr">
        <is>
          <t>Saída</t>
        </is>
      </c>
      <c r="E1074" s="110" t="inlineStr">
        <is>
          <t>Segurança e Monitoramento</t>
        </is>
      </c>
      <c r="F1074" s="111" t="n">
        <v>248</v>
      </c>
      <c r="G1074" s="104" t="inlineStr">
        <is>
          <t>07/2026</t>
        </is>
      </c>
      <c r="H1074" s="104" t="inlineStr">
        <is>
          <t>CODI</t>
        </is>
      </c>
    </row>
    <row r="1075">
      <c r="B1075" s="109" t="n">
        <v>46204</v>
      </c>
      <c r="C1075" s="110" t="inlineStr">
        <is>
          <t>Fgts, Gps e Pis - 07/2026</t>
        </is>
      </c>
      <c r="D1075" s="110" t="inlineStr">
        <is>
          <t>Saída</t>
        </is>
      </c>
      <c r="E1075" s="110" t="inlineStr">
        <is>
          <t>Fgts, Gps e Pis</t>
        </is>
      </c>
      <c r="F1075" s="111" t="n">
        <v>4654.17</v>
      </c>
      <c r="G1075" s="104" t="inlineStr">
        <is>
          <t>07/2026</t>
        </is>
      </c>
      <c r="H1075" s="104" t="inlineStr">
        <is>
          <t>CODI</t>
        </is>
      </c>
    </row>
    <row r="1076">
      <c r="B1076" s="109" t="n">
        <v>46204</v>
      </c>
      <c r="C1076" s="110" t="inlineStr">
        <is>
          <t>Telefonia Fixa e Internet - 07/2026</t>
        </is>
      </c>
      <c r="D1076" s="110" t="inlineStr">
        <is>
          <t>Saída</t>
        </is>
      </c>
      <c r="E1076" s="110" t="inlineStr">
        <is>
          <t>Telefonia Fixa e Internet</t>
        </is>
      </c>
      <c r="F1076" s="111" t="n">
        <v>130</v>
      </c>
      <c r="G1076" s="104" t="inlineStr">
        <is>
          <t>07/2026</t>
        </is>
      </c>
      <c r="H1076" s="104" t="inlineStr">
        <is>
          <t>CODI</t>
        </is>
      </c>
    </row>
    <row r="1077">
      <c r="B1077" s="109" t="n">
        <v>46204</v>
      </c>
      <c r="C1077" s="110" t="inlineStr">
        <is>
          <t>Facção - 07/2026</t>
        </is>
      </c>
      <c r="D1077" s="110" t="inlineStr">
        <is>
          <t>Saída</t>
        </is>
      </c>
      <c r="E1077" s="110" t="inlineStr">
        <is>
          <t>Facção</t>
        </is>
      </c>
      <c r="F1077" s="111" t="n">
        <v>8833</v>
      </c>
      <c r="G1077" s="104" t="inlineStr">
        <is>
          <t>07/2026</t>
        </is>
      </c>
      <c r="H1077" s="104" t="inlineStr">
        <is>
          <t>CDK</t>
        </is>
      </c>
    </row>
    <row r="1078">
      <c r="B1078" s="109" t="n">
        <v>46204</v>
      </c>
      <c r="C1078" s="110" t="inlineStr">
        <is>
          <t>Energia Elétrica - 07/2026</t>
        </is>
      </c>
      <c r="D1078" s="110" t="inlineStr">
        <is>
          <t>Saída</t>
        </is>
      </c>
      <c r="E1078" s="110" t="inlineStr">
        <is>
          <t>Energia Elétrica</t>
        </is>
      </c>
      <c r="F1078" s="111" t="n">
        <v>123.79</v>
      </c>
      <c r="G1078" s="104" t="inlineStr">
        <is>
          <t>07/2026</t>
        </is>
      </c>
      <c r="H1078" s="104" t="inlineStr">
        <is>
          <t>CODI</t>
        </is>
      </c>
    </row>
    <row r="1079">
      <c r="B1079" s="109" t="n">
        <v>46204</v>
      </c>
      <c r="C1079" s="110" t="inlineStr">
        <is>
          <t>Lavanderia - 07/2026</t>
        </is>
      </c>
      <c r="D1079" s="110" t="inlineStr">
        <is>
          <t>Saída</t>
        </is>
      </c>
      <c r="E1079" s="110" t="inlineStr">
        <is>
          <t>Lavanderia</t>
        </is>
      </c>
      <c r="F1079" s="111" t="n">
        <v>1692.9</v>
      </c>
      <c r="G1079" s="104" t="inlineStr">
        <is>
          <t>07/2026</t>
        </is>
      </c>
      <c r="H1079" s="104" t="inlineStr">
        <is>
          <t>VAREN</t>
        </is>
      </c>
    </row>
    <row r="1080">
      <c r="B1080" s="109" t="n">
        <v>46204</v>
      </c>
      <c r="C1080" s="110" t="inlineStr">
        <is>
          <t>Alimentação - 07/2026</t>
        </is>
      </c>
      <c r="D1080" s="110" t="inlineStr">
        <is>
          <t>Saída</t>
        </is>
      </c>
      <c r="E1080" s="110" t="inlineStr">
        <is>
          <t>Alimentação</t>
        </is>
      </c>
      <c r="F1080" s="111" t="n">
        <v>50</v>
      </c>
      <c r="G1080" s="104" t="inlineStr">
        <is>
          <t>07/2026</t>
        </is>
      </c>
      <c r="H1080" s="104" t="inlineStr">
        <is>
          <t>CODI</t>
        </is>
      </c>
    </row>
    <row r="1081">
      <c r="B1081" s="109" t="n">
        <v>46204</v>
      </c>
      <c r="C1081" s="110" t="inlineStr">
        <is>
          <t>Tecidos - 07/2026</t>
        </is>
      </c>
      <c r="D1081" s="110" t="inlineStr">
        <is>
          <t>Saída</t>
        </is>
      </c>
      <c r="E1081" s="110" t="inlineStr">
        <is>
          <t>Tecidos</t>
        </is>
      </c>
      <c r="F1081" s="111" t="n">
        <v>6754.49</v>
      </c>
      <c r="G1081" s="104" t="inlineStr">
        <is>
          <t>07/2026</t>
        </is>
      </c>
      <c r="H1081" s="104" t="inlineStr">
        <is>
          <t>VAREN</t>
        </is>
      </c>
    </row>
    <row r="1082">
      <c r="B1082" s="109" t="n">
        <v>46204</v>
      </c>
      <c r="C1082" s="110" t="inlineStr">
        <is>
          <t>Tecidos - 07/2026</t>
        </is>
      </c>
      <c r="D1082" s="110" t="inlineStr">
        <is>
          <t>Saída</t>
        </is>
      </c>
      <c r="E1082" s="110" t="inlineStr">
        <is>
          <t>Tecidos</t>
        </is>
      </c>
      <c r="F1082" s="111" t="n">
        <v>3554.67</v>
      </c>
      <c r="G1082" s="104" t="inlineStr">
        <is>
          <t>07/2026</t>
        </is>
      </c>
      <c r="H1082" s="104" t="inlineStr">
        <is>
          <t>CDK</t>
        </is>
      </c>
    </row>
    <row r="1083">
      <c r="B1083" s="109" t="n">
        <v>46204</v>
      </c>
      <c r="C1083" s="110" t="inlineStr">
        <is>
          <t>Aviamento - 07/2026</t>
        </is>
      </c>
      <c r="D1083" s="110" t="inlineStr">
        <is>
          <t>Saída</t>
        </is>
      </c>
      <c r="E1083" s="110" t="inlineStr">
        <is>
          <t>Aviamento</t>
        </is>
      </c>
      <c r="F1083" s="111" t="n">
        <v>87.75</v>
      </c>
      <c r="G1083" s="104" t="inlineStr">
        <is>
          <t>07/2026</t>
        </is>
      </c>
      <c r="H1083" s="104" t="inlineStr">
        <is>
          <t>VAREN</t>
        </is>
      </c>
    </row>
    <row r="1084">
      <c r="B1084" s="109" t="n">
        <v>46204</v>
      </c>
      <c r="C1084" s="110" t="inlineStr">
        <is>
          <t>Aviamento - 07/2026</t>
        </is>
      </c>
      <c r="D1084" s="110" t="inlineStr">
        <is>
          <t>Saída</t>
        </is>
      </c>
      <c r="E1084" s="110" t="inlineStr">
        <is>
          <t>Aviamento</t>
        </is>
      </c>
      <c r="F1084" s="111" t="n">
        <v>34.1</v>
      </c>
      <c r="G1084" s="104" t="inlineStr">
        <is>
          <t>07/2026</t>
        </is>
      </c>
      <c r="H1084" s="104" t="inlineStr">
        <is>
          <t>CDK</t>
        </is>
      </c>
    </row>
    <row r="1085">
      <c r="B1085" s="109" t="n">
        <v>46204</v>
      </c>
      <c r="C1085" s="110" t="inlineStr">
        <is>
          <t>Etiquetas - 07/2026</t>
        </is>
      </c>
      <c r="D1085" s="110" t="inlineStr">
        <is>
          <t>Saída</t>
        </is>
      </c>
      <c r="E1085" s="110" t="inlineStr">
        <is>
          <t>Etiquetas</t>
        </is>
      </c>
      <c r="F1085" s="111" t="n">
        <v>80</v>
      </c>
      <c r="G1085" s="104" t="inlineStr">
        <is>
          <t>07/2026</t>
        </is>
      </c>
      <c r="H1085" s="104" t="inlineStr">
        <is>
          <t>CDK</t>
        </is>
      </c>
    </row>
    <row r="1086">
      <c r="B1086" s="109" t="n">
        <v>46204</v>
      </c>
      <c r="C1086" s="110" t="inlineStr">
        <is>
          <t>PROVISÃO CDK - 07/2026</t>
        </is>
      </c>
      <c r="D1086" s="110" t="inlineStr">
        <is>
          <t>Saída</t>
        </is>
      </c>
      <c r="E1086" s="110" t="inlineStr">
        <is>
          <t>PROVISÃO CDK</t>
        </is>
      </c>
      <c r="F1086" s="111" t="n">
        <v>4843.3</v>
      </c>
      <c r="G1086" s="104" t="inlineStr">
        <is>
          <t>07/2026</t>
        </is>
      </c>
      <c r="H1086" s="104" t="inlineStr">
        <is>
          <t>CDK</t>
        </is>
      </c>
    </row>
    <row r="1087">
      <c r="B1087" s="109" t="n">
        <v>46204</v>
      </c>
      <c r="C1087" s="110" t="inlineStr">
        <is>
          <t>Água - 07/2026</t>
        </is>
      </c>
      <c r="D1087" s="110" t="inlineStr">
        <is>
          <t>Saída</t>
        </is>
      </c>
      <c r="E1087" s="110" t="inlineStr">
        <is>
          <t>Água</t>
        </is>
      </c>
      <c r="F1087" s="111" t="n">
        <v>399</v>
      </c>
      <c r="G1087" s="104" t="inlineStr">
        <is>
          <t>07/2026</t>
        </is>
      </c>
      <c r="H1087" s="104" t="inlineStr">
        <is>
          <t>CODI</t>
        </is>
      </c>
    </row>
    <row r="1088">
      <c r="B1088" s="109" t="n">
        <v>46235</v>
      </c>
      <c r="C1088" s="110" t="inlineStr">
        <is>
          <t>Vendas - 08/2026</t>
        </is>
      </c>
      <c r="D1088" s="110" t="inlineStr">
        <is>
          <t>Entrada</t>
        </is>
      </c>
      <c r="E1088" s="110" t="inlineStr">
        <is>
          <t>Vendas</t>
        </is>
      </c>
      <c r="F1088" s="111" t="n">
        <v>835</v>
      </c>
      <c r="G1088" s="104" t="inlineStr">
        <is>
          <t>08/2026</t>
        </is>
      </c>
      <c r="H1088" s="104" t="inlineStr">
        <is>
          <t>CODI</t>
        </is>
      </c>
    </row>
    <row r="1089">
      <c r="B1089" s="109" t="n">
        <v>46235</v>
      </c>
      <c r="C1089" s="110" t="inlineStr">
        <is>
          <t>Vendas - 08/2026</t>
        </is>
      </c>
      <c r="D1089" s="110" t="inlineStr">
        <is>
          <t>Entrada</t>
        </is>
      </c>
      <c r="E1089" s="110" t="inlineStr">
        <is>
          <t>Vendas</t>
        </is>
      </c>
      <c r="F1089" s="111" t="n">
        <v>2912</v>
      </c>
      <c r="G1089" s="104" t="inlineStr">
        <is>
          <t>08/2026</t>
        </is>
      </c>
      <c r="H1089" s="104" t="inlineStr">
        <is>
          <t>CODI</t>
        </is>
      </c>
    </row>
    <row r="1090">
      <c r="B1090" s="109" t="n">
        <v>46235</v>
      </c>
      <c r="C1090" s="110" t="inlineStr">
        <is>
          <t>Vendas - 08/2026</t>
        </is>
      </c>
      <c r="D1090" s="110" t="inlineStr">
        <is>
          <t>Entrada</t>
        </is>
      </c>
      <c r="E1090" s="110" t="inlineStr">
        <is>
          <t>Vendas</t>
        </is>
      </c>
      <c r="F1090" s="111" t="n">
        <v>2060</v>
      </c>
      <c r="G1090" s="104" t="inlineStr">
        <is>
          <t>08/2026</t>
        </is>
      </c>
      <c r="H1090" s="104" t="inlineStr">
        <is>
          <t>CODI</t>
        </is>
      </c>
    </row>
    <row r="1091">
      <c r="B1091" s="109" t="n">
        <v>46235</v>
      </c>
      <c r="C1091" s="110" t="inlineStr">
        <is>
          <t>Vendas - 08/2026</t>
        </is>
      </c>
      <c r="D1091" s="110" t="inlineStr">
        <is>
          <t>Entrada</t>
        </is>
      </c>
      <c r="E1091" s="110" t="inlineStr">
        <is>
          <t>Vendas</t>
        </is>
      </c>
      <c r="F1091" s="111" t="n">
        <v>722</v>
      </c>
      <c r="G1091" s="104" t="inlineStr">
        <is>
          <t>08/2026</t>
        </is>
      </c>
      <c r="H1091" s="104" t="inlineStr">
        <is>
          <t>CODI</t>
        </is>
      </c>
    </row>
    <row r="1092">
      <c r="B1092" s="109" t="n">
        <v>46235</v>
      </c>
      <c r="C1092" s="110" t="inlineStr">
        <is>
          <t>Vendas - 08/2026</t>
        </is>
      </c>
      <c r="D1092" s="110" t="inlineStr">
        <is>
          <t>Entrada</t>
        </is>
      </c>
      <c r="E1092" s="110" t="inlineStr">
        <is>
          <t>Vendas</t>
        </is>
      </c>
      <c r="F1092" s="111" t="n">
        <v>560</v>
      </c>
      <c r="G1092" s="104" t="inlineStr">
        <is>
          <t>08/2026</t>
        </is>
      </c>
      <c r="H1092" s="104" t="inlineStr">
        <is>
          <t>CODI</t>
        </is>
      </c>
    </row>
    <row r="1093">
      <c r="B1093" s="109" t="n">
        <v>46235</v>
      </c>
      <c r="C1093" s="110" t="inlineStr">
        <is>
          <t>Vendas - 08/2026</t>
        </is>
      </c>
      <c r="D1093" s="110" t="inlineStr">
        <is>
          <t>Entrada</t>
        </is>
      </c>
      <c r="E1093" s="110" t="inlineStr">
        <is>
          <t>Vendas</t>
        </is>
      </c>
      <c r="F1093" s="111" t="n">
        <v>704</v>
      </c>
      <c r="G1093" s="104" t="inlineStr">
        <is>
          <t>08/2026</t>
        </is>
      </c>
      <c r="H1093" s="104" t="inlineStr">
        <is>
          <t>CODI</t>
        </is>
      </c>
    </row>
    <row r="1094">
      <c r="B1094" s="109" t="n">
        <v>46235</v>
      </c>
      <c r="C1094" s="110" t="inlineStr">
        <is>
          <t>Vendas - 08/2026</t>
        </is>
      </c>
      <c r="D1094" s="110" t="inlineStr">
        <is>
          <t>Entrada</t>
        </is>
      </c>
      <c r="E1094" s="110" t="inlineStr">
        <is>
          <t>Vendas</t>
        </is>
      </c>
      <c r="F1094" s="111" t="n">
        <v>1632</v>
      </c>
      <c r="G1094" s="104" t="inlineStr">
        <is>
          <t>08/2026</t>
        </is>
      </c>
      <c r="H1094" s="104" t="inlineStr">
        <is>
          <t>CODI</t>
        </is>
      </c>
    </row>
    <row r="1095">
      <c r="B1095" s="109" t="n">
        <v>46235</v>
      </c>
      <c r="C1095" s="110" t="inlineStr">
        <is>
          <t>Vendas - 08/2026</t>
        </is>
      </c>
      <c r="D1095" s="110" t="inlineStr">
        <is>
          <t>Entrada</t>
        </is>
      </c>
      <c r="E1095" s="110" t="inlineStr">
        <is>
          <t>Vendas</t>
        </is>
      </c>
      <c r="F1095" s="111" t="n">
        <v>3753.75</v>
      </c>
      <c r="G1095" s="104" t="inlineStr">
        <is>
          <t>08/2026</t>
        </is>
      </c>
      <c r="H1095" s="104" t="inlineStr">
        <is>
          <t>CODI</t>
        </is>
      </c>
    </row>
    <row r="1096">
      <c r="B1096" s="109" t="n">
        <v>46235</v>
      </c>
      <c r="C1096" s="110" t="inlineStr">
        <is>
          <t>Vendas - 08/2026</t>
        </is>
      </c>
      <c r="D1096" s="110" t="inlineStr">
        <is>
          <t>Entrada</t>
        </is>
      </c>
      <c r="E1096" s="110" t="inlineStr">
        <is>
          <t>Vendas</t>
        </is>
      </c>
      <c r="F1096" s="111" t="n">
        <v>1331.66</v>
      </c>
      <c r="G1096" s="104" t="inlineStr">
        <is>
          <t>08/2026</t>
        </is>
      </c>
      <c r="H1096" s="104" t="inlineStr">
        <is>
          <t>CODI</t>
        </is>
      </c>
    </row>
    <row r="1097">
      <c r="B1097" s="109" t="n">
        <v>46235</v>
      </c>
      <c r="C1097" s="110" t="inlineStr">
        <is>
          <t>Vendas - 08/2026</t>
        </is>
      </c>
      <c r="D1097" s="110" t="inlineStr">
        <is>
          <t>Entrada</t>
        </is>
      </c>
      <c r="E1097" s="110" t="inlineStr">
        <is>
          <t>Vendas</t>
        </is>
      </c>
      <c r="F1097" s="111" t="n">
        <v>4295</v>
      </c>
      <c r="G1097" s="104" t="inlineStr">
        <is>
          <t>08/2026</t>
        </is>
      </c>
      <c r="H1097" s="104" t="inlineStr">
        <is>
          <t>CODI</t>
        </is>
      </c>
    </row>
    <row r="1098">
      <c r="B1098" s="109" t="n">
        <v>46235</v>
      </c>
      <c r="C1098" s="110" t="inlineStr">
        <is>
          <t>Vendas - 08/2026</t>
        </is>
      </c>
      <c r="D1098" s="110" t="inlineStr">
        <is>
          <t>Entrada</t>
        </is>
      </c>
      <c r="E1098" s="110" t="inlineStr">
        <is>
          <t>Vendas</t>
        </is>
      </c>
      <c r="F1098" s="111" t="n">
        <v>572.28</v>
      </c>
      <c r="G1098" s="104" t="inlineStr">
        <is>
          <t>08/2026</t>
        </is>
      </c>
      <c r="H1098" s="104" t="inlineStr">
        <is>
          <t>CODI</t>
        </is>
      </c>
    </row>
    <row r="1099">
      <c r="B1099" s="109" t="n">
        <v>46235</v>
      </c>
      <c r="C1099" s="110" t="inlineStr">
        <is>
          <t>Vendas - 08/2026</t>
        </is>
      </c>
      <c r="D1099" s="110" t="inlineStr">
        <is>
          <t>Entrada</t>
        </is>
      </c>
      <c r="E1099" s="110" t="inlineStr">
        <is>
          <t>Vendas</t>
        </is>
      </c>
      <c r="F1099" s="111" t="n">
        <v>4700</v>
      </c>
      <c r="G1099" s="104" t="inlineStr">
        <is>
          <t>08/2026</t>
        </is>
      </c>
      <c r="H1099" s="104" t="inlineStr">
        <is>
          <t>CODI</t>
        </is>
      </c>
    </row>
    <row r="1100">
      <c r="B1100" s="109" t="n">
        <v>46235</v>
      </c>
      <c r="C1100" s="110" t="inlineStr">
        <is>
          <t>Vendas - 08/2026</t>
        </is>
      </c>
      <c r="D1100" s="110" t="inlineStr">
        <is>
          <t>Entrada</t>
        </is>
      </c>
      <c r="E1100" s="110" t="inlineStr">
        <is>
          <t>Vendas</t>
        </is>
      </c>
      <c r="F1100" s="111" t="n">
        <v>1162.2</v>
      </c>
      <c r="G1100" s="104" t="inlineStr">
        <is>
          <t>08/2026</t>
        </is>
      </c>
      <c r="H1100" s="104" t="inlineStr">
        <is>
          <t>CODI</t>
        </is>
      </c>
    </row>
    <row r="1101">
      <c r="B1101" s="109" t="n">
        <v>46235</v>
      </c>
      <c r="C1101" s="110" t="inlineStr">
        <is>
          <t>Vendas - 08/2026</t>
        </is>
      </c>
      <c r="D1101" s="110" t="inlineStr">
        <is>
          <t>Entrada</t>
        </is>
      </c>
      <c r="E1101" s="110" t="inlineStr">
        <is>
          <t>Vendas</t>
        </is>
      </c>
      <c r="F1101" s="111" t="n">
        <v>2720</v>
      </c>
      <c r="G1101" s="104" t="inlineStr">
        <is>
          <t>08/2026</t>
        </is>
      </c>
      <c r="H1101" s="104" t="inlineStr">
        <is>
          <t>CODI</t>
        </is>
      </c>
    </row>
    <row r="1102">
      <c r="B1102" s="109" t="n">
        <v>46235</v>
      </c>
      <c r="C1102" s="110" t="inlineStr">
        <is>
          <t>Vendas - 08/2026</t>
        </is>
      </c>
      <c r="D1102" s="110" t="inlineStr">
        <is>
          <t>Entrada</t>
        </is>
      </c>
      <c r="E1102" s="110" t="inlineStr">
        <is>
          <t>Vendas</t>
        </is>
      </c>
      <c r="F1102" s="111" t="n">
        <v>553.75</v>
      </c>
      <c r="G1102" s="104" t="inlineStr">
        <is>
          <t>08/2026</t>
        </is>
      </c>
      <c r="H1102" s="104" t="inlineStr">
        <is>
          <t>CODI</t>
        </is>
      </c>
    </row>
    <row r="1103">
      <c r="B1103" s="109" t="n">
        <v>46235</v>
      </c>
      <c r="C1103" s="110" t="inlineStr">
        <is>
          <t>Vendas - 08/2026</t>
        </is>
      </c>
      <c r="D1103" s="110" t="inlineStr">
        <is>
          <t>Entrada</t>
        </is>
      </c>
      <c r="E1103" s="110" t="inlineStr">
        <is>
          <t>Vendas</t>
        </is>
      </c>
      <c r="F1103" s="111" t="n">
        <v>1292.28</v>
      </c>
      <c r="G1103" s="104" t="inlineStr">
        <is>
          <t>08/2026</t>
        </is>
      </c>
      <c r="H1103" s="104" t="inlineStr">
        <is>
          <t>CODI</t>
        </is>
      </c>
    </row>
    <row r="1104">
      <c r="B1104" s="109" t="n">
        <v>46235</v>
      </c>
      <c r="C1104" s="110" t="inlineStr">
        <is>
          <t>Vendas - 08/2026</t>
        </is>
      </c>
      <c r="D1104" s="110" t="inlineStr">
        <is>
          <t>Entrada</t>
        </is>
      </c>
      <c r="E1104" s="110" t="inlineStr">
        <is>
          <t>Vendas</t>
        </is>
      </c>
      <c r="F1104" s="111" t="n">
        <v>1635</v>
      </c>
      <c r="G1104" s="104" t="inlineStr">
        <is>
          <t>08/2026</t>
        </is>
      </c>
      <c r="H1104" s="104" t="inlineStr">
        <is>
          <t>CODI</t>
        </is>
      </c>
    </row>
    <row r="1105">
      <c r="B1105" s="109" t="n">
        <v>46235</v>
      </c>
      <c r="C1105" s="110" t="inlineStr">
        <is>
          <t>Vendas - 08/2026</t>
        </is>
      </c>
      <c r="D1105" s="110" t="inlineStr">
        <is>
          <t>Entrada</t>
        </is>
      </c>
      <c r="E1105" s="110" t="inlineStr">
        <is>
          <t>Vendas</t>
        </is>
      </c>
      <c r="F1105" s="111" t="n">
        <v>1282.5</v>
      </c>
      <c r="G1105" s="104" t="inlineStr">
        <is>
          <t>08/2026</t>
        </is>
      </c>
      <c r="H1105" s="104" t="inlineStr">
        <is>
          <t>CODI</t>
        </is>
      </c>
    </row>
    <row r="1106">
      <c r="B1106" s="109" t="n">
        <v>46235</v>
      </c>
      <c r="C1106" s="110" t="inlineStr">
        <is>
          <t>Vendas - 08/2026</t>
        </is>
      </c>
      <c r="D1106" s="110" t="inlineStr">
        <is>
          <t>Entrada</t>
        </is>
      </c>
      <c r="E1106" s="110" t="inlineStr">
        <is>
          <t>Vendas</t>
        </is>
      </c>
      <c r="F1106" s="111" t="n">
        <v>200</v>
      </c>
      <c r="G1106" s="104" t="inlineStr">
        <is>
          <t>08/2026</t>
        </is>
      </c>
      <c r="H1106" s="104" t="inlineStr">
        <is>
          <t>CODI</t>
        </is>
      </c>
    </row>
    <row r="1107">
      <c r="B1107" s="109" t="n">
        <v>46235</v>
      </c>
      <c r="C1107" s="110" t="inlineStr">
        <is>
          <t>Vendas - 08/2026</t>
        </is>
      </c>
      <c r="D1107" s="110" t="inlineStr">
        <is>
          <t>Entrada</t>
        </is>
      </c>
      <c r="E1107" s="110" t="inlineStr">
        <is>
          <t>Vendas</t>
        </is>
      </c>
      <c r="F1107" s="111" t="n">
        <v>1050</v>
      </c>
      <c r="G1107" s="104" t="inlineStr">
        <is>
          <t>08/2026</t>
        </is>
      </c>
      <c r="H1107" s="104" t="inlineStr">
        <is>
          <t>CODI</t>
        </is>
      </c>
    </row>
    <row r="1108">
      <c r="B1108" s="109" t="n">
        <v>46235</v>
      </c>
      <c r="C1108" s="110" t="inlineStr">
        <is>
          <t>Vendas - 08/2026</t>
        </is>
      </c>
      <c r="D1108" s="110" t="inlineStr">
        <is>
          <t>Entrada</t>
        </is>
      </c>
      <c r="E1108" s="110" t="inlineStr">
        <is>
          <t>Vendas</t>
        </is>
      </c>
      <c r="F1108" s="111" t="n">
        <v>1935.25</v>
      </c>
      <c r="G1108" s="104" t="inlineStr">
        <is>
          <t>08/2026</t>
        </is>
      </c>
      <c r="H1108" s="104" t="inlineStr">
        <is>
          <t>CODI</t>
        </is>
      </c>
    </row>
    <row r="1109">
      <c r="B1109" s="109" t="n">
        <v>46235</v>
      </c>
      <c r="C1109" s="110" t="inlineStr">
        <is>
          <t>Vendas - 08/2026</t>
        </is>
      </c>
      <c r="D1109" s="110" t="inlineStr">
        <is>
          <t>Entrada</t>
        </is>
      </c>
      <c r="E1109" s="110" t="inlineStr">
        <is>
          <t>Vendas</t>
        </is>
      </c>
      <c r="F1109" s="111" t="n">
        <v>2645</v>
      </c>
      <c r="G1109" s="104" t="inlineStr">
        <is>
          <t>08/2026</t>
        </is>
      </c>
      <c r="H1109" s="104" t="inlineStr">
        <is>
          <t>CODI</t>
        </is>
      </c>
    </row>
    <row r="1110">
      <c r="B1110" s="109" t="n">
        <v>46235</v>
      </c>
      <c r="C1110" s="110" t="inlineStr">
        <is>
          <t>Vendas - 08/2026</t>
        </is>
      </c>
      <c r="D1110" s="110" t="inlineStr">
        <is>
          <t>Entrada</t>
        </is>
      </c>
      <c r="E1110" s="110" t="inlineStr">
        <is>
          <t>Vendas</t>
        </is>
      </c>
      <c r="F1110" s="111" t="n">
        <v>1200</v>
      </c>
      <c r="G1110" s="104" t="inlineStr">
        <is>
          <t>08/2026</t>
        </is>
      </c>
      <c r="H1110" s="104" t="inlineStr">
        <is>
          <t>CODI</t>
        </is>
      </c>
    </row>
    <row r="1111">
      <c r="B1111" s="109" t="n">
        <v>46235</v>
      </c>
      <c r="C1111" s="110" t="inlineStr">
        <is>
          <t>Vendas - 08/2026</t>
        </is>
      </c>
      <c r="D1111" s="110" t="inlineStr">
        <is>
          <t>Entrada</t>
        </is>
      </c>
      <c r="E1111" s="110" t="inlineStr">
        <is>
          <t>Vendas</t>
        </is>
      </c>
      <c r="F1111" s="111" t="n">
        <v>960</v>
      </c>
      <c r="G1111" s="104" t="inlineStr">
        <is>
          <t>08/2026</t>
        </is>
      </c>
      <c r="H1111" s="104" t="inlineStr">
        <is>
          <t>CODI</t>
        </is>
      </c>
    </row>
    <row r="1112">
      <c r="B1112" s="109" t="n">
        <v>46235</v>
      </c>
      <c r="C1112" s="110" t="inlineStr">
        <is>
          <t>Vendas - 08/2026</t>
        </is>
      </c>
      <c r="D1112" s="110" t="inlineStr">
        <is>
          <t>Entrada</t>
        </is>
      </c>
      <c r="E1112" s="110" t="inlineStr">
        <is>
          <t>Vendas</t>
        </is>
      </c>
      <c r="F1112" s="111" t="n">
        <v>1580</v>
      </c>
      <c r="G1112" s="104" t="inlineStr">
        <is>
          <t>08/2026</t>
        </is>
      </c>
      <c r="H1112" s="104" t="inlineStr">
        <is>
          <t>CODI</t>
        </is>
      </c>
    </row>
    <row r="1113">
      <c r="B1113" s="109" t="n">
        <v>46235</v>
      </c>
      <c r="C1113" s="110" t="inlineStr">
        <is>
          <t>Vendas - 08/2026</t>
        </is>
      </c>
      <c r="D1113" s="110" t="inlineStr">
        <is>
          <t>Entrada</t>
        </is>
      </c>
      <c r="E1113" s="110" t="inlineStr">
        <is>
          <t>Vendas</t>
        </is>
      </c>
      <c r="F1113" s="111" t="n">
        <v>490</v>
      </c>
      <c r="G1113" s="104" t="inlineStr">
        <is>
          <t>08/2026</t>
        </is>
      </c>
      <c r="H1113" s="104" t="inlineStr">
        <is>
          <t>CODI</t>
        </is>
      </c>
    </row>
    <row r="1114">
      <c r="B1114" s="109" t="n">
        <v>46235</v>
      </c>
      <c r="C1114" s="110" t="inlineStr">
        <is>
          <t>Vendas - 08/2026</t>
        </is>
      </c>
      <c r="D1114" s="110" t="inlineStr">
        <is>
          <t>Entrada</t>
        </is>
      </c>
      <c r="E1114" s="110" t="inlineStr">
        <is>
          <t>Vendas</t>
        </is>
      </c>
      <c r="F1114" s="111" t="n">
        <v>375</v>
      </c>
      <c r="G1114" s="104" t="inlineStr">
        <is>
          <t>08/2026</t>
        </is>
      </c>
      <c r="H1114" s="104" t="inlineStr">
        <is>
          <t>CODI</t>
        </is>
      </c>
    </row>
    <row r="1115">
      <c r="B1115" s="109" t="n">
        <v>46235</v>
      </c>
      <c r="C1115" s="110" t="inlineStr">
        <is>
          <t>Vendas - 08/2026</t>
        </is>
      </c>
      <c r="D1115" s="110" t="inlineStr">
        <is>
          <t>Entrada</t>
        </is>
      </c>
      <c r="E1115" s="110" t="inlineStr">
        <is>
          <t>Vendas</t>
        </is>
      </c>
      <c r="F1115" s="111" t="n">
        <v>7255</v>
      </c>
      <c r="G1115" s="104" t="inlineStr">
        <is>
          <t>08/2026</t>
        </is>
      </c>
      <c r="H1115" s="104" t="inlineStr">
        <is>
          <t>CODI</t>
        </is>
      </c>
    </row>
    <row r="1116">
      <c r="B1116" s="109" t="n">
        <v>46235</v>
      </c>
      <c r="C1116" s="110" t="inlineStr">
        <is>
          <t>Vendas - 08/2026</t>
        </is>
      </c>
      <c r="D1116" s="110" t="inlineStr">
        <is>
          <t>Entrada</t>
        </is>
      </c>
      <c r="E1116" s="110" t="inlineStr">
        <is>
          <t>Vendas</t>
        </is>
      </c>
      <c r="F1116" s="111" t="n">
        <v>1275</v>
      </c>
      <c r="G1116" s="104" t="inlineStr">
        <is>
          <t>08/2026</t>
        </is>
      </c>
      <c r="H1116" s="104" t="inlineStr">
        <is>
          <t>CODI</t>
        </is>
      </c>
    </row>
    <row r="1117">
      <c r="B1117" s="109" t="n">
        <v>46235</v>
      </c>
      <c r="C1117" s="110" t="inlineStr">
        <is>
          <t>Vendas - 08/2026</t>
        </is>
      </c>
      <c r="D1117" s="110" t="inlineStr">
        <is>
          <t>Entrada</t>
        </is>
      </c>
      <c r="E1117" s="110" t="inlineStr">
        <is>
          <t>Vendas</t>
        </is>
      </c>
      <c r="F1117" s="111" t="n">
        <v>93</v>
      </c>
      <c r="G1117" s="104" t="inlineStr">
        <is>
          <t>08/2026</t>
        </is>
      </c>
      <c r="H1117" s="104" t="inlineStr">
        <is>
          <t>CODI</t>
        </is>
      </c>
    </row>
    <row r="1118">
      <c r="B1118" s="109" t="n">
        <v>46235</v>
      </c>
      <c r="C1118" s="110" t="inlineStr">
        <is>
          <t>Vendas - 08/2026</t>
        </is>
      </c>
      <c r="D1118" s="110" t="inlineStr">
        <is>
          <t>Entrada</t>
        </is>
      </c>
      <c r="E1118" s="110" t="inlineStr">
        <is>
          <t>Vendas</t>
        </is>
      </c>
      <c r="F1118" s="111" t="n">
        <v>199</v>
      </c>
      <c r="G1118" s="104" t="inlineStr">
        <is>
          <t>08/2026</t>
        </is>
      </c>
      <c r="H1118" s="104" t="inlineStr">
        <is>
          <t>CODI</t>
        </is>
      </c>
    </row>
    <row r="1119">
      <c r="B1119" s="109" t="n">
        <v>46235</v>
      </c>
      <c r="C1119" s="110" t="inlineStr">
        <is>
          <t>Vendas - 08/2026</t>
        </is>
      </c>
      <c r="D1119" s="110" t="inlineStr">
        <is>
          <t>Entrada</t>
        </is>
      </c>
      <c r="E1119" s="110" t="inlineStr">
        <is>
          <t>Vendas</t>
        </is>
      </c>
      <c r="F1119" s="111" t="n">
        <v>209.1</v>
      </c>
      <c r="G1119" s="104" t="inlineStr">
        <is>
          <t>08/2026</t>
        </is>
      </c>
      <c r="H1119" s="104" t="inlineStr">
        <is>
          <t>CODI</t>
        </is>
      </c>
    </row>
    <row r="1120">
      <c r="B1120" s="109" t="n">
        <v>46235</v>
      </c>
      <c r="C1120" s="110" t="inlineStr">
        <is>
          <t>Vendas - 08/2026</t>
        </is>
      </c>
      <c r="D1120" s="110" t="inlineStr">
        <is>
          <t>Entrada</t>
        </is>
      </c>
      <c r="E1120" s="110" t="inlineStr">
        <is>
          <t>Vendas</t>
        </is>
      </c>
      <c r="F1120" s="111" t="n">
        <v>114.83</v>
      </c>
      <c r="G1120" s="104" t="inlineStr">
        <is>
          <t>08/2026</t>
        </is>
      </c>
      <c r="H1120" s="104" t="inlineStr">
        <is>
          <t>CODI</t>
        </is>
      </c>
    </row>
    <row r="1121">
      <c r="B1121" s="109" t="n">
        <v>46235</v>
      </c>
      <c r="C1121" s="110" t="inlineStr">
        <is>
          <t>Vendas - 08/2026</t>
        </is>
      </c>
      <c r="D1121" s="110" t="inlineStr">
        <is>
          <t>Entrada</t>
        </is>
      </c>
      <c r="E1121" s="110" t="inlineStr">
        <is>
          <t>Vendas</t>
        </is>
      </c>
      <c r="F1121" s="111" t="n">
        <v>584.24</v>
      </c>
      <c r="G1121" s="104" t="inlineStr">
        <is>
          <t>08/2026</t>
        </is>
      </c>
      <c r="H1121" s="104" t="inlineStr">
        <is>
          <t>CODI</t>
        </is>
      </c>
    </row>
    <row r="1122">
      <c r="B1122" s="109" t="n">
        <v>46235</v>
      </c>
      <c r="C1122" s="110" t="inlineStr">
        <is>
          <t>Vendas - 08/2026</t>
        </is>
      </c>
      <c r="D1122" s="110" t="inlineStr">
        <is>
          <t>Entrada</t>
        </is>
      </c>
      <c r="E1122" s="110" t="inlineStr">
        <is>
          <t>Vendas</t>
        </is>
      </c>
      <c r="F1122" s="111" t="n">
        <v>560</v>
      </c>
      <c r="G1122" s="104" t="inlineStr">
        <is>
          <t>08/2026</t>
        </is>
      </c>
      <c r="H1122" s="104" t="inlineStr">
        <is>
          <t>CODI</t>
        </is>
      </c>
    </row>
    <row r="1123">
      <c r="B1123" s="109" t="n">
        <v>46235</v>
      </c>
      <c r="C1123" s="110" t="inlineStr">
        <is>
          <t>Vendas - 08/2026</t>
        </is>
      </c>
      <c r="D1123" s="110" t="inlineStr">
        <is>
          <t>Entrada</t>
        </is>
      </c>
      <c r="E1123" s="110" t="inlineStr">
        <is>
          <t>Vendas</t>
        </is>
      </c>
      <c r="F1123" s="111" t="n">
        <v>196.93</v>
      </c>
      <c r="G1123" s="104" t="inlineStr">
        <is>
          <t>08/2026</t>
        </is>
      </c>
      <c r="H1123" s="104" t="inlineStr">
        <is>
          <t>CODI</t>
        </is>
      </c>
    </row>
    <row r="1124">
      <c r="B1124" s="109" t="n">
        <v>46235</v>
      </c>
      <c r="C1124" s="110" t="inlineStr">
        <is>
          <t>Vendas - 08/2026</t>
        </is>
      </c>
      <c r="D1124" s="110" t="inlineStr">
        <is>
          <t>Entrada</t>
        </is>
      </c>
      <c r="E1124" s="110" t="inlineStr">
        <is>
          <t>Vendas</t>
        </is>
      </c>
      <c r="F1124" s="111" t="n">
        <v>420</v>
      </c>
      <c r="G1124" s="104" t="inlineStr">
        <is>
          <t>08/2026</t>
        </is>
      </c>
      <c r="H1124" s="104" t="inlineStr">
        <is>
          <t>CODI</t>
        </is>
      </c>
    </row>
    <row r="1125">
      <c r="B1125" s="109" t="n">
        <v>46235</v>
      </c>
      <c r="C1125" s="110" t="inlineStr">
        <is>
          <t>Vendas - 08/2026</t>
        </is>
      </c>
      <c r="D1125" s="110" t="inlineStr">
        <is>
          <t>Entrada</t>
        </is>
      </c>
      <c r="E1125" s="110" t="inlineStr">
        <is>
          <t>Vendas</t>
        </is>
      </c>
      <c r="F1125" s="111" t="n">
        <v>800</v>
      </c>
      <c r="G1125" s="104" t="inlineStr">
        <is>
          <t>08/2026</t>
        </is>
      </c>
      <c r="H1125" s="104" t="inlineStr">
        <is>
          <t>CODI</t>
        </is>
      </c>
    </row>
    <row r="1126">
      <c r="B1126" s="109" t="n">
        <v>46235</v>
      </c>
      <c r="C1126" s="110" t="inlineStr">
        <is>
          <t>Vendas - 08/2026</t>
        </is>
      </c>
      <c r="D1126" s="110" t="inlineStr">
        <is>
          <t>Entrada</t>
        </is>
      </c>
      <c r="E1126" s="110" t="inlineStr">
        <is>
          <t>Vendas</t>
        </is>
      </c>
      <c r="F1126" s="111" t="n">
        <v>2669.5</v>
      </c>
      <c r="G1126" s="104" t="inlineStr">
        <is>
          <t>08/2026</t>
        </is>
      </c>
      <c r="H1126" s="104" t="inlineStr">
        <is>
          <t>CODI</t>
        </is>
      </c>
    </row>
    <row r="1127">
      <c r="B1127" s="109" t="n">
        <v>46235</v>
      </c>
      <c r="C1127" s="110" t="inlineStr">
        <is>
          <t>Vendas - 08/2026</t>
        </is>
      </c>
      <c r="D1127" s="110" t="inlineStr">
        <is>
          <t>Entrada</t>
        </is>
      </c>
      <c r="E1127" s="110" t="inlineStr">
        <is>
          <t>Vendas</t>
        </is>
      </c>
      <c r="F1127" s="111" t="n">
        <v>1710</v>
      </c>
      <c r="G1127" s="104" t="inlineStr">
        <is>
          <t>08/2026</t>
        </is>
      </c>
      <c r="H1127" s="104" t="inlineStr">
        <is>
          <t>CODI</t>
        </is>
      </c>
    </row>
    <row r="1128">
      <c r="B1128" s="109" t="n">
        <v>46235</v>
      </c>
      <c r="C1128" s="110" t="inlineStr">
        <is>
          <t>Vendas - 08/2026</t>
        </is>
      </c>
      <c r="D1128" s="110" t="inlineStr">
        <is>
          <t>Entrada</t>
        </is>
      </c>
      <c r="E1128" s="110" t="inlineStr">
        <is>
          <t>Vendas</t>
        </is>
      </c>
      <c r="F1128" s="111" t="n">
        <v>1100</v>
      </c>
      <c r="G1128" s="104" t="inlineStr">
        <is>
          <t>08/2026</t>
        </is>
      </c>
      <c r="H1128" s="104" t="inlineStr">
        <is>
          <t>CODI</t>
        </is>
      </c>
    </row>
    <row r="1129">
      <c r="B1129" s="109" t="n">
        <v>46235</v>
      </c>
      <c r="C1129" s="110" t="inlineStr">
        <is>
          <t>Vendas - 08/2026</t>
        </is>
      </c>
      <c r="D1129" s="110" t="inlineStr">
        <is>
          <t>Entrada</t>
        </is>
      </c>
      <c r="E1129" s="110" t="inlineStr">
        <is>
          <t>Vendas</t>
        </is>
      </c>
      <c r="F1129" s="111" t="n">
        <v>1370</v>
      </c>
      <c r="G1129" s="104" t="inlineStr">
        <is>
          <t>08/2026</t>
        </is>
      </c>
      <c r="H1129" s="104" t="inlineStr">
        <is>
          <t>CODI</t>
        </is>
      </c>
    </row>
    <row r="1130">
      <c r="B1130" s="109" t="n">
        <v>46235</v>
      </c>
      <c r="C1130" s="110" t="inlineStr">
        <is>
          <t>Vendas - 08/2026</t>
        </is>
      </c>
      <c r="D1130" s="110" t="inlineStr">
        <is>
          <t>Entrada</t>
        </is>
      </c>
      <c r="E1130" s="110" t="inlineStr">
        <is>
          <t>Vendas</t>
        </is>
      </c>
      <c r="F1130" s="111" t="n">
        <v>2240</v>
      </c>
      <c r="G1130" s="104" t="inlineStr">
        <is>
          <t>08/2026</t>
        </is>
      </c>
      <c r="H1130" s="104" t="inlineStr">
        <is>
          <t>CODI</t>
        </is>
      </c>
    </row>
    <row r="1131">
      <c r="B1131" s="109" t="n">
        <v>46235</v>
      </c>
      <c r="C1131" s="110" t="inlineStr">
        <is>
          <t>Vendas - 08/2026</t>
        </is>
      </c>
      <c r="D1131" s="110" t="inlineStr">
        <is>
          <t>Entrada</t>
        </is>
      </c>
      <c r="E1131" s="110" t="inlineStr">
        <is>
          <t>Vendas</t>
        </is>
      </c>
      <c r="F1131" s="111" t="n">
        <v>1545</v>
      </c>
      <c r="G1131" s="104" t="inlineStr">
        <is>
          <t>08/2026</t>
        </is>
      </c>
      <c r="H1131" s="104" t="inlineStr">
        <is>
          <t>CODI</t>
        </is>
      </c>
    </row>
    <row r="1132">
      <c r="B1132" s="109" t="n">
        <v>46235</v>
      </c>
      <c r="C1132" s="110" t="inlineStr">
        <is>
          <t>Vendas - 08/2026</t>
        </is>
      </c>
      <c r="D1132" s="110" t="inlineStr">
        <is>
          <t>Entrada</t>
        </is>
      </c>
      <c r="E1132" s="110" t="inlineStr">
        <is>
          <t>Vendas</t>
        </is>
      </c>
      <c r="F1132" s="111" t="n">
        <v>910</v>
      </c>
      <c r="G1132" s="104" t="inlineStr">
        <is>
          <t>08/2026</t>
        </is>
      </c>
      <c r="H1132" s="104" t="inlineStr">
        <is>
          <t>CODI</t>
        </is>
      </c>
    </row>
    <row r="1133">
      <c r="B1133" s="109" t="n">
        <v>46235</v>
      </c>
      <c r="C1133" s="110" t="inlineStr">
        <is>
          <t>Vendas - 08/2026</t>
        </is>
      </c>
      <c r="D1133" s="110" t="inlineStr">
        <is>
          <t>Entrada</t>
        </is>
      </c>
      <c r="E1133" s="110" t="inlineStr">
        <is>
          <t>Vendas</t>
        </is>
      </c>
      <c r="F1133" s="111" t="n">
        <v>2040</v>
      </c>
      <c r="G1133" s="104" t="inlineStr">
        <is>
          <t>08/2026</t>
        </is>
      </c>
      <c r="H1133" s="104" t="inlineStr">
        <is>
          <t>CODI</t>
        </is>
      </c>
    </row>
    <row r="1134">
      <c r="B1134" s="109" t="n">
        <v>46235</v>
      </c>
      <c r="C1134" s="110" t="inlineStr">
        <is>
          <t>Vendas - 08/2026</t>
        </is>
      </c>
      <c r="D1134" s="110" t="inlineStr">
        <is>
          <t>Entrada</t>
        </is>
      </c>
      <c r="E1134" s="110" t="inlineStr">
        <is>
          <t>Vendas</t>
        </is>
      </c>
      <c r="F1134" s="111" t="n">
        <v>1655</v>
      </c>
      <c r="G1134" s="104" t="inlineStr">
        <is>
          <t>08/2026</t>
        </is>
      </c>
      <c r="H1134" s="104" t="inlineStr">
        <is>
          <t>CODI</t>
        </is>
      </c>
    </row>
    <row r="1135">
      <c r="B1135" s="109" t="n">
        <v>46235</v>
      </c>
      <c r="C1135" s="110" t="inlineStr">
        <is>
          <t>Vendas - 08/2026</t>
        </is>
      </c>
      <c r="D1135" s="110" t="inlineStr">
        <is>
          <t>Entrada</t>
        </is>
      </c>
      <c r="E1135" s="110" t="inlineStr">
        <is>
          <t>Vendas</t>
        </is>
      </c>
      <c r="F1135" s="111" t="n">
        <v>370.62</v>
      </c>
      <c r="G1135" s="104" t="inlineStr">
        <is>
          <t>08/2026</t>
        </is>
      </c>
      <c r="H1135" s="104" t="inlineStr">
        <is>
          <t>CODI</t>
        </is>
      </c>
    </row>
    <row r="1136">
      <c r="B1136" s="109" t="n">
        <v>46235</v>
      </c>
      <c r="C1136" s="110" t="inlineStr">
        <is>
          <t>Vendas - 08/2026</t>
        </is>
      </c>
      <c r="D1136" s="110" t="inlineStr">
        <is>
          <t>Entrada</t>
        </is>
      </c>
      <c r="E1136" s="110" t="inlineStr">
        <is>
          <t>Vendas</t>
        </is>
      </c>
      <c r="F1136" s="111" t="n">
        <v>835.83</v>
      </c>
      <c r="G1136" s="104" t="inlineStr">
        <is>
          <t>08/2026</t>
        </is>
      </c>
      <c r="H1136" s="104" t="inlineStr">
        <is>
          <t>CODI</t>
        </is>
      </c>
    </row>
    <row r="1137">
      <c r="B1137" s="109" t="n">
        <v>46235</v>
      </c>
      <c r="C1137" s="110" t="inlineStr">
        <is>
          <t>Vendas - 08/2026</t>
        </is>
      </c>
      <c r="D1137" s="110" t="inlineStr">
        <is>
          <t>Entrada</t>
        </is>
      </c>
      <c r="E1137" s="110" t="inlineStr">
        <is>
          <t>Vendas</t>
        </is>
      </c>
      <c r="F1137" s="111" t="n">
        <v>55</v>
      </c>
      <c r="G1137" s="104" t="inlineStr">
        <is>
          <t>08/2026</t>
        </is>
      </c>
      <c r="H1137" s="104" t="inlineStr">
        <is>
          <t>CODI</t>
        </is>
      </c>
    </row>
    <row r="1138">
      <c r="B1138" s="109" t="n">
        <v>46235</v>
      </c>
      <c r="C1138" s="110" t="inlineStr">
        <is>
          <t>Vendas - 08/2026</t>
        </is>
      </c>
      <c r="D1138" s="110" t="inlineStr">
        <is>
          <t>Entrada</t>
        </is>
      </c>
      <c r="E1138" s="110" t="inlineStr">
        <is>
          <t>Vendas</t>
        </is>
      </c>
      <c r="F1138" s="111" t="n">
        <v>75</v>
      </c>
      <c r="G1138" s="104" t="inlineStr">
        <is>
          <t>08/2026</t>
        </is>
      </c>
      <c r="H1138" s="104" t="inlineStr">
        <is>
          <t>CODI</t>
        </is>
      </c>
    </row>
    <row r="1139">
      <c r="B1139" s="109" t="n">
        <v>46235</v>
      </c>
      <c r="C1139" s="110" t="inlineStr">
        <is>
          <t>Vendas - 08/2026</t>
        </is>
      </c>
      <c r="D1139" s="110" t="inlineStr">
        <is>
          <t>Entrada</t>
        </is>
      </c>
      <c r="E1139" s="110" t="inlineStr">
        <is>
          <t>Vendas</t>
        </is>
      </c>
      <c r="F1139" s="111" t="n">
        <v>110</v>
      </c>
      <c r="G1139" s="104" t="inlineStr">
        <is>
          <t>08/2026</t>
        </is>
      </c>
      <c r="H1139" s="104" t="inlineStr">
        <is>
          <t>CODI</t>
        </is>
      </c>
    </row>
    <row r="1140">
      <c r="B1140" s="109" t="n">
        <v>46235</v>
      </c>
      <c r="C1140" s="110" t="inlineStr">
        <is>
          <t>Vendas - 08/2026</t>
        </is>
      </c>
      <c r="D1140" s="110" t="inlineStr">
        <is>
          <t>Entrada</t>
        </is>
      </c>
      <c r="E1140" s="110" t="inlineStr">
        <is>
          <t>Vendas</t>
        </is>
      </c>
      <c r="F1140" s="111" t="n">
        <v>574.9400000000001</v>
      </c>
      <c r="G1140" s="104" t="inlineStr">
        <is>
          <t>08/2026</t>
        </is>
      </c>
      <c r="H1140" s="104" t="inlineStr">
        <is>
          <t>CODI</t>
        </is>
      </c>
    </row>
    <row r="1141">
      <c r="B1141" s="109" t="n">
        <v>46235</v>
      </c>
      <c r="C1141" s="110" t="inlineStr">
        <is>
          <t>Vendas - 08/2026</t>
        </is>
      </c>
      <c r="D1141" s="110" t="inlineStr">
        <is>
          <t>Entrada</t>
        </is>
      </c>
      <c r="E1141" s="110" t="inlineStr">
        <is>
          <t>Vendas</t>
        </is>
      </c>
      <c r="F1141" s="111" t="n">
        <v>1111.05</v>
      </c>
      <c r="G1141" s="104" t="inlineStr">
        <is>
          <t>08/2026</t>
        </is>
      </c>
      <c r="H1141" s="104" t="inlineStr">
        <is>
          <t>CODI</t>
        </is>
      </c>
    </row>
    <row r="1142">
      <c r="B1142" s="109" t="n">
        <v>46235</v>
      </c>
      <c r="C1142" s="110" t="inlineStr">
        <is>
          <t>Vendas - 08/2026</t>
        </is>
      </c>
      <c r="D1142" s="110" t="inlineStr">
        <is>
          <t>Entrada</t>
        </is>
      </c>
      <c r="E1142" s="110" t="inlineStr">
        <is>
          <t>Vendas</t>
        </is>
      </c>
      <c r="F1142" s="111" t="n">
        <v>1695.76</v>
      </c>
      <c r="G1142" s="104" t="inlineStr">
        <is>
          <t>08/2026</t>
        </is>
      </c>
      <c r="H1142" s="104" t="inlineStr">
        <is>
          <t>CODI</t>
        </is>
      </c>
    </row>
    <row r="1143">
      <c r="B1143" s="109" t="n">
        <v>46235</v>
      </c>
      <c r="C1143" s="110" t="inlineStr">
        <is>
          <t>Vendas - 08/2026</t>
        </is>
      </c>
      <c r="D1143" s="110" t="inlineStr">
        <is>
          <t>Entrada</t>
        </is>
      </c>
      <c r="E1143" s="110" t="inlineStr">
        <is>
          <t>Vendas</t>
        </is>
      </c>
      <c r="F1143" s="111" t="n">
        <v>5720</v>
      </c>
      <c r="G1143" s="104" t="inlineStr">
        <is>
          <t>08/2026</t>
        </is>
      </c>
      <c r="H1143" s="104" t="inlineStr">
        <is>
          <t>CODI</t>
        </is>
      </c>
    </row>
    <row r="1144">
      <c r="B1144" s="109" t="n">
        <v>46235</v>
      </c>
      <c r="C1144" s="110" t="inlineStr">
        <is>
          <t>Vendas - 08/2026</t>
        </is>
      </c>
      <c r="D1144" s="110" t="inlineStr">
        <is>
          <t>Entrada</t>
        </is>
      </c>
      <c r="E1144" s="110" t="inlineStr">
        <is>
          <t>Vendas</t>
        </is>
      </c>
      <c r="F1144" s="111" t="n">
        <v>933.33</v>
      </c>
      <c r="G1144" s="104" t="inlineStr">
        <is>
          <t>08/2026</t>
        </is>
      </c>
      <c r="H1144" s="104" t="inlineStr">
        <is>
          <t>CODI</t>
        </is>
      </c>
    </row>
    <row r="1145">
      <c r="B1145" s="109" t="n">
        <v>46235</v>
      </c>
      <c r="C1145" s="110" t="inlineStr">
        <is>
          <t>Vendas - 08/2026</t>
        </is>
      </c>
      <c r="D1145" s="110" t="inlineStr">
        <is>
          <t>Entrada</t>
        </is>
      </c>
      <c r="E1145" s="110" t="inlineStr">
        <is>
          <t>Vendas</t>
        </is>
      </c>
      <c r="F1145" s="111" t="n">
        <v>367.2</v>
      </c>
      <c r="G1145" s="104" t="inlineStr">
        <is>
          <t>08/2026</t>
        </is>
      </c>
      <c r="H1145" s="104" t="inlineStr">
        <is>
          <t>CODI</t>
        </is>
      </c>
    </row>
    <row r="1146">
      <c r="B1146" s="109" t="n">
        <v>46235</v>
      </c>
      <c r="C1146" s="110" t="inlineStr">
        <is>
          <t>Vendas - 08/2026</t>
        </is>
      </c>
      <c r="D1146" s="110" t="inlineStr">
        <is>
          <t>Entrada</t>
        </is>
      </c>
      <c r="E1146" s="110" t="inlineStr">
        <is>
          <t>Vendas</t>
        </is>
      </c>
      <c r="F1146" s="111" t="n">
        <v>1920</v>
      </c>
      <c r="G1146" s="104" t="inlineStr">
        <is>
          <t>08/2026</t>
        </is>
      </c>
      <c r="H1146" s="104" t="inlineStr">
        <is>
          <t>CODI</t>
        </is>
      </c>
    </row>
    <row r="1147">
      <c r="B1147" s="109" t="n">
        <v>46235</v>
      </c>
      <c r="C1147" s="110" t="inlineStr">
        <is>
          <t>Vendas - 08/2026</t>
        </is>
      </c>
      <c r="D1147" s="110" t="inlineStr">
        <is>
          <t>Entrada</t>
        </is>
      </c>
      <c r="E1147" s="110" t="inlineStr">
        <is>
          <t>Vendas</t>
        </is>
      </c>
      <c r="F1147" s="111" t="n">
        <v>1090</v>
      </c>
      <c r="G1147" s="104" t="inlineStr">
        <is>
          <t>08/2026</t>
        </is>
      </c>
      <c r="H1147" s="104" t="inlineStr">
        <is>
          <t>CODI</t>
        </is>
      </c>
    </row>
    <row r="1148">
      <c r="B1148" s="109" t="n">
        <v>46235</v>
      </c>
      <c r="C1148" s="110" t="inlineStr">
        <is>
          <t>Vendas - 08/2026</t>
        </is>
      </c>
      <c r="D1148" s="110" t="inlineStr">
        <is>
          <t>Entrada</t>
        </is>
      </c>
      <c r="E1148" s="110" t="inlineStr">
        <is>
          <t>Vendas</t>
        </is>
      </c>
      <c r="F1148" s="111" t="n">
        <v>160</v>
      </c>
      <c r="G1148" s="104" t="inlineStr">
        <is>
          <t>08/2026</t>
        </is>
      </c>
      <c r="H1148" s="104" t="inlineStr">
        <is>
          <t>CODI</t>
        </is>
      </c>
    </row>
    <row r="1149">
      <c r="B1149" s="109" t="n">
        <v>46235</v>
      </c>
      <c r="C1149" s="110" t="inlineStr">
        <is>
          <t>Vendas - 08/2026</t>
        </is>
      </c>
      <c r="D1149" s="110" t="inlineStr">
        <is>
          <t>Entrada</t>
        </is>
      </c>
      <c r="E1149" s="110" t="inlineStr">
        <is>
          <t>Vendas</t>
        </is>
      </c>
      <c r="F1149" s="111" t="n">
        <v>16835</v>
      </c>
      <c r="G1149" s="104" t="inlineStr">
        <is>
          <t>08/2026</t>
        </is>
      </c>
      <c r="H1149" s="104" t="inlineStr">
        <is>
          <t>CODI</t>
        </is>
      </c>
    </row>
    <row r="1150">
      <c r="B1150" s="109" t="n">
        <v>46235</v>
      </c>
      <c r="C1150" s="110" t="inlineStr">
        <is>
          <t>Vendas - 08/2026</t>
        </is>
      </c>
      <c r="D1150" s="110" t="inlineStr">
        <is>
          <t>Entrada</t>
        </is>
      </c>
      <c r="E1150" s="110" t="inlineStr">
        <is>
          <t>Vendas</t>
        </is>
      </c>
      <c r="F1150" s="111" t="n">
        <v>1320</v>
      </c>
      <c r="G1150" s="104" t="inlineStr">
        <is>
          <t>08/2026</t>
        </is>
      </c>
      <c r="H1150" s="104" t="inlineStr">
        <is>
          <t>CODI</t>
        </is>
      </c>
    </row>
    <row r="1151">
      <c r="B1151" s="109" t="n">
        <v>46235</v>
      </c>
      <c r="C1151" s="110" t="inlineStr">
        <is>
          <t>Vendas - 08/2026</t>
        </is>
      </c>
      <c r="D1151" s="110" t="inlineStr">
        <is>
          <t>Entrada</t>
        </is>
      </c>
      <c r="E1151" s="110" t="inlineStr">
        <is>
          <t>Vendas</t>
        </is>
      </c>
      <c r="F1151" s="111" t="n">
        <v>2295</v>
      </c>
      <c r="G1151" s="104" t="inlineStr">
        <is>
          <t>08/2026</t>
        </is>
      </c>
      <c r="H1151" s="104" t="inlineStr">
        <is>
          <t>CODI</t>
        </is>
      </c>
    </row>
    <row r="1152">
      <c r="B1152" s="109" t="n">
        <v>46235</v>
      </c>
      <c r="C1152" s="110" t="inlineStr">
        <is>
          <t>Vendas - 08/2026</t>
        </is>
      </c>
      <c r="D1152" s="110" t="inlineStr">
        <is>
          <t>Entrada</t>
        </is>
      </c>
      <c r="E1152" s="110" t="inlineStr">
        <is>
          <t>Vendas</t>
        </is>
      </c>
      <c r="F1152" s="111" t="n">
        <v>2973.33</v>
      </c>
      <c r="G1152" s="104" t="inlineStr">
        <is>
          <t>08/2026</t>
        </is>
      </c>
      <c r="H1152" s="104" t="inlineStr">
        <is>
          <t>CODI</t>
        </is>
      </c>
    </row>
    <row r="1153">
      <c r="B1153" s="109" t="n">
        <v>46235</v>
      </c>
      <c r="C1153" s="110" t="inlineStr">
        <is>
          <t>Vendas - 08/2026</t>
        </is>
      </c>
      <c r="D1153" s="110" t="inlineStr">
        <is>
          <t>Entrada</t>
        </is>
      </c>
      <c r="E1153" s="110" t="inlineStr">
        <is>
          <t>Vendas</t>
        </is>
      </c>
      <c r="F1153" s="111" t="n">
        <v>1215</v>
      </c>
      <c r="G1153" s="104" t="inlineStr">
        <is>
          <t>08/2026</t>
        </is>
      </c>
      <c r="H1153" s="104" t="inlineStr">
        <is>
          <t>CODI</t>
        </is>
      </c>
    </row>
    <row r="1154">
      <c r="B1154" s="109" t="n">
        <v>46235</v>
      </c>
      <c r="C1154" s="110" t="inlineStr">
        <is>
          <t>Vendas - 08/2026</t>
        </is>
      </c>
      <c r="D1154" s="110" t="inlineStr">
        <is>
          <t>Entrada</t>
        </is>
      </c>
      <c r="E1154" s="110" t="inlineStr">
        <is>
          <t>Vendas</t>
        </is>
      </c>
      <c r="F1154" s="111" t="n">
        <v>4126.04</v>
      </c>
      <c r="G1154" s="104" t="inlineStr">
        <is>
          <t>08/2026</t>
        </is>
      </c>
      <c r="H1154" s="104" t="inlineStr">
        <is>
          <t>CODI</t>
        </is>
      </c>
    </row>
    <row r="1155">
      <c r="B1155" s="109" t="n">
        <v>46235</v>
      </c>
      <c r="C1155" s="110" t="inlineStr">
        <is>
          <t>Vendas - 08/2026</t>
        </is>
      </c>
      <c r="D1155" s="110" t="inlineStr">
        <is>
          <t>Entrada</t>
        </is>
      </c>
      <c r="E1155" s="110" t="inlineStr">
        <is>
          <t>Vendas</t>
        </is>
      </c>
      <c r="F1155" s="111" t="n">
        <v>1258.75</v>
      </c>
      <c r="G1155" s="104" t="inlineStr">
        <is>
          <t>08/2026</t>
        </is>
      </c>
      <c r="H1155" s="104" t="inlineStr">
        <is>
          <t>CODI</t>
        </is>
      </c>
    </row>
    <row r="1156">
      <c r="B1156" s="109" t="n">
        <v>46235</v>
      </c>
      <c r="C1156" s="110" t="inlineStr">
        <is>
          <t>Vendas - 08/2026</t>
        </is>
      </c>
      <c r="D1156" s="110" t="inlineStr">
        <is>
          <t>Entrada</t>
        </is>
      </c>
      <c r="E1156" s="110" t="inlineStr">
        <is>
          <t>Vendas</t>
        </is>
      </c>
      <c r="F1156" s="111" t="n">
        <v>896.4</v>
      </c>
      <c r="G1156" s="104" t="inlineStr">
        <is>
          <t>08/2026</t>
        </is>
      </c>
      <c r="H1156" s="104" t="inlineStr">
        <is>
          <t>CODI</t>
        </is>
      </c>
    </row>
    <row r="1157">
      <c r="B1157" s="109" t="n">
        <v>46235</v>
      </c>
      <c r="C1157" s="110" t="inlineStr">
        <is>
          <t>Vendas - 08/2026</t>
        </is>
      </c>
      <c r="D1157" s="110" t="inlineStr">
        <is>
          <t>Entrada</t>
        </is>
      </c>
      <c r="E1157" s="110" t="inlineStr">
        <is>
          <t>Vendas</t>
        </is>
      </c>
      <c r="F1157" s="111" t="n">
        <v>1168.75</v>
      </c>
      <c r="G1157" s="104" t="inlineStr">
        <is>
          <t>08/2026</t>
        </is>
      </c>
      <c r="H1157" s="104" t="inlineStr">
        <is>
          <t>CODI</t>
        </is>
      </c>
    </row>
    <row r="1158">
      <c r="B1158" s="109" t="n">
        <v>46235</v>
      </c>
      <c r="C1158" s="110" t="inlineStr">
        <is>
          <t>Vendas - 08/2026</t>
        </is>
      </c>
      <c r="D1158" s="110" t="inlineStr">
        <is>
          <t>Entrada</t>
        </is>
      </c>
      <c r="E1158" s="110" t="inlineStr">
        <is>
          <t>Vendas</t>
        </is>
      </c>
      <c r="F1158" s="111" t="n">
        <v>3360</v>
      </c>
      <c r="G1158" s="104" t="inlineStr">
        <is>
          <t>08/2026</t>
        </is>
      </c>
      <c r="H1158" s="104" t="inlineStr">
        <is>
          <t>CODI</t>
        </is>
      </c>
    </row>
    <row r="1159">
      <c r="B1159" s="109" t="n">
        <v>46235</v>
      </c>
      <c r="C1159" s="110" t="inlineStr">
        <is>
          <t>Vendas - 08/2026</t>
        </is>
      </c>
      <c r="D1159" s="110" t="inlineStr">
        <is>
          <t>Entrada</t>
        </is>
      </c>
      <c r="E1159" s="110" t="inlineStr">
        <is>
          <t>Vendas</t>
        </is>
      </c>
      <c r="F1159" s="111" t="n">
        <v>5255</v>
      </c>
      <c r="G1159" s="104" t="inlineStr">
        <is>
          <t>08/2026</t>
        </is>
      </c>
      <c r="H1159" s="104" t="inlineStr">
        <is>
          <t>CODI</t>
        </is>
      </c>
    </row>
    <row r="1160">
      <c r="B1160" s="109" t="n">
        <v>46235</v>
      </c>
      <c r="C1160" s="110" t="inlineStr">
        <is>
          <t>Vendas - 08/2026</t>
        </is>
      </c>
      <c r="D1160" s="110" t="inlineStr">
        <is>
          <t>Entrada</t>
        </is>
      </c>
      <c r="E1160" s="110" t="inlineStr">
        <is>
          <t>Vendas</t>
        </is>
      </c>
      <c r="F1160" s="111" t="n">
        <v>103.58</v>
      </c>
      <c r="G1160" s="104" t="inlineStr">
        <is>
          <t>08/2026</t>
        </is>
      </c>
      <c r="H1160" s="104" t="inlineStr">
        <is>
          <t>CODI</t>
        </is>
      </c>
    </row>
    <row r="1161">
      <c r="B1161" s="109" t="n">
        <v>46235</v>
      </c>
      <c r="C1161" s="110" t="inlineStr">
        <is>
          <t>Vendas - 08/2026</t>
        </is>
      </c>
      <c r="D1161" s="110" t="inlineStr">
        <is>
          <t>Entrada</t>
        </is>
      </c>
      <c r="E1161" s="110" t="inlineStr">
        <is>
          <t>Vendas</t>
        </is>
      </c>
      <c r="F1161" s="111" t="n">
        <v>179.1</v>
      </c>
      <c r="G1161" s="104" t="inlineStr">
        <is>
          <t>08/2026</t>
        </is>
      </c>
      <c r="H1161" s="104" t="inlineStr">
        <is>
          <t>CODI</t>
        </is>
      </c>
    </row>
    <row r="1162">
      <c r="B1162" s="109" t="n">
        <v>46235</v>
      </c>
      <c r="C1162" s="110" t="inlineStr">
        <is>
          <t>Vendas - 08/2026</t>
        </is>
      </c>
      <c r="D1162" s="110" t="inlineStr">
        <is>
          <t>Entrada</t>
        </is>
      </c>
      <c r="E1162" s="110" t="inlineStr">
        <is>
          <t>Vendas</t>
        </is>
      </c>
      <c r="F1162" s="111" t="n">
        <v>179.1</v>
      </c>
      <c r="G1162" s="104" t="inlineStr">
        <is>
          <t>08/2026</t>
        </is>
      </c>
      <c r="H1162" s="104" t="inlineStr">
        <is>
          <t>CODI</t>
        </is>
      </c>
    </row>
    <row r="1163">
      <c r="B1163" s="109" t="n">
        <v>46235</v>
      </c>
      <c r="C1163" s="110" t="inlineStr">
        <is>
          <t>Vendas - 08/2026</t>
        </is>
      </c>
      <c r="D1163" s="110" t="inlineStr">
        <is>
          <t>Entrada</t>
        </is>
      </c>
      <c r="E1163" s="110" t="inlineStr">
        <is>
          <t>Vendas</t>
        </is>
      </c>
      <c r="F1163" s="111" t="n">
        <v>361.38</v>
      </c>
      <c r="G1163" s="104" t="inlineStr">
        <is>
          <t>08/2026</t>
        </is>
      </c>
      <c r="H1163" s="104" t="inlineStr">
        <is>
          <t>CODI</t>
        </is>
      </c>
    </row>
    <row r="1164">
      <c r="B1164" s="109" t="n">
        <v>46235</v>
      </c>
      <c r="C1164" s="110" t="inlineStr">
        <is>
          <t>Vendas - 08/2026</t>
        </is>
      </c>
      <c r="D1164" s="110" t="inlineStr">
        <is>
          <t>Entrada</t>
        </is>
      </c>
      <c r="E1164" s="110" t="inlineStr">
        <is>
          <t>Vendas</t>
        </is>
      </c>
      <c r="F1164" s="111" t="n">
        <v>208.48</v>
      </c>
      <c r="G1164" s="104" t="inlineStr">
        <is>
          <t>08/2026</t>
        </is>
      </c>
      <c r="H1164" s="104" t="inlineStr">
        <is>
          <t>CODI</t>
        </is>
      </c>
    </row>
    <row r="1165">
      <c r="B1165" s="109" t="n">
        <v>46235</v>
      </c>
      <c r="C1165" s="110" t="inlineStr">
        <is>
          <t>Vendas - 08/2026</t>
        </is>
      </c>
      <c r="D1165" s="110" t="inlineStr">
        <is>
          <t>Entrada</t>
        </is>
      </c>
      <c r="E1165" s="110" t="inlineStr">
        <is>
          <t>Vendas</t>
        </is>
      </c>
      <c r="F1165" s="111" t="n">
        <v>1620</v>
      </c>
      <c r="G1165" s="104" t="inlineStr">
        <is>
          <t>08/2026</t>
        </is>
      </c>
      <c r="H1165" s="104" t="inlineStr">
        <is>
          <t>CODI</t>
        </is>
      </c>
    </row>
    <row r="1166">
      <c r="B1166" s="109" t="n">
        <v>46235</v>
      </c>
      <c r="C1166" s="110" t="inlineStr">
        <is>
          <t>Vendas - 08/2026</t>
        </is>
      </c>
      <c r="D1166" s="110" t="inlineStr">
        <is>
          <t>Entrada</t>
        </is>
      </c>
      <c r="E1166" s="110" t="inlineStr">
        <is>
          <t>Vendas</t>
        </is>
      </c>
      <c r="F1166" s="111" t="n">
        <v>2175</v>
      </c>
      <c r="G1166" s="104" t="inlineStr">
        <is>
          <t>08/2026</t>
        </is>
      </c>
      <c r="H1166" s="104" t="inlineStr">
        <is>
          <t>CODI</t>
        </is>
      </c>
    </row>
    <row r="1167">
      <c r="B1167" s="109" t="n">
        <v>46235</v>
      </c>
      <c r="C1167" s="110" t="inlineStr">
        <is>
          <t>Vendas - 08/2026</t>
        </is>
      </c>
      <c r="D1167" s="110" t="inlineStr">
        <is>
          <t>Entrada</t>
        </is>
      </c>
      <c r="E1167" s="110" t="inlineStr">
        <is>
          <t>Vendas</t>
        </is>
      </c>
      <c r="F1167" s="111" t="n">
        <v>223.1</v>
      </c>
      <c r="G1167" s="104" t="inlineStr">
        <is>
          <t>08/2026</t>
        </is>
      </c>
      <c r="H1167" s="104" t="inlineStr">
        <is>
          <t>CODI</t>
        </is>
      </c>
    </row>
    <row r="1168">
      <c r="B1168" s="109" t="n">
        <v>46235</v>
      </c>
      <c r="C1168" s="110" t="inlineStr">
        <is>
          <t>Vendas - 08/2026</t>
        </is>
      </c>
      <c r="D1168" s="110" t="inlineStr">
        <is>
          <t>Entrada</t>
        </is>
      </c>
      <c r="E1168" s="110" t="inlineStr">
        <is>
          <t>Vendas</t>
        </is>
      </c>
      <c r="F1168" s="111" t="n">
        <v>2435</v>
      </c>
      <c r="G1168" s="104" t="inlineStr">
        <is>
          <t>08/2026</t>
        </is>
      </c>
      <c r="H1168" s="104" t="inlineStr">
        <is>
          <t>CODI</t>
        </is>
      </c>
    </row>
    <row r="1169">
      <c r="B1169" s="109" t="n">
        <v>46235</v>
      </c>
      <c r="C1169" s="110" t="inlineStr">
        <is>
          <t>Vendas - 08/2026</t>
        </is>
      </c>
      <c r="D1169" s="110" t="inlineStr">
        <is>
          <t>Entrada</t>
        </is>
      </c>
      <c r="E1169" s="110" t="inlineStr">
        <is>
          <t>Vendas</t>
        </is>
      </c>
      <c r="F1169" s="111" t="n">
        <v>207.37</v>
      </c>
      <c r="G1169" s="104" t="inlineStr">
        <is>
          <t>08/2026</t>
        </is>
      </c>
      <c r="H1169" s="104" t="inlineStr">
        <is>
          <t>CODI</t>
        </is>
      </c>
    </row>
    <row r="1170">
      <c r="B1170" s="109" t="n">
        <v>46235</v>
      </c>
      <c r="C1170" s="110" t="inlineStr">
        <is>
          <t>Vendas - 08/2026</t>
        </is>
      </c>
      <c r="D1170" s="110" t="inlineStr">
        <is>
          <t>Entrada</t>
        </is>
      </c>
      <c r="E1170" s="110" t="inlineStr">
        <is>
          <t>Vendas</t>
        </is>
      </c>
      <c r="F1170" s="111" t="n">
        <v>380.46</v>
      </c>
      <c r="G1170" s="104" t="inlineStr">
        <is>
          <t>08/2026</t>
        </is>
      </c>
      <c r="H1170" s="104" t="inlineStr">
        <is>
          <t>CODI</t>
        </is>
      </c>
    </row>
    <row r="1171">
      <c r="B1171" s="109" t="n">
        <v>46235</v>
      </c>
      <c r="C1171" s="110" t="inlineStr">
        <is>
          <t>Vendas - 08/2026</t>
        </is>
      </c>
      <c r="D1171" s="110" t="inlineStr">
        <is>
          <t>Entrada</t>
        </is>
      </c>
      <c r="E1171" s="110" t="inlineStr">
        <is>
          <t>Vendas</t>
        </is>
      </c>
      <c r="F1171" s="111" t="n">
        <v>150</v>
      </c>
      <c r="G1171" s="104" t="inlineStr">
        <is>
          <t>08/2026</t>
        </is>
      </c>
      <c r="H1171" s="104" t="inlineStr">
        <is>
          <t>CODI</t>
        </is>
      </c>
    </row>
    <row r="1172">
      <c r="B1172" s="109" t="n">
        <v>46235</v>
      </c>
      <c r="C1172" s="110" t="inlineStr">
        <is>
          <t>Vendas - 08/2026</t>
        </is>
      </c>
      <c r="D1172" s="110" t="inlineStr">
        <is>
          <t>Entrada</t>
        </is>
      </c>
      <c r="E1172" s="110" t="inlineStr">
        <is>
          <t>Vendas</t>
        </is>
      </c>
      <c r="F1172" s="111" t="n">
        <v>840</v>
      </c>
      <c r="G1172" s="104" t="inlineStr">
        <is>
          <t>08/2026</t>
        </is>
      </c>
      <c r="H1172" s="104" t="inlineStr">
        <is>
          <t>CODI</t>
        </is>
      </c>
    </row>
    <row r="1173">
      <c r="B1173" s="109" t="n">
        <v>46235</v>
      </c>
      <c r="C1173" s="110" t="inlineStr">
        <is>
          <t>Vendas - 08/2026</t>
        </is>
      </c>
      <c r="D1173" s="110" t="inlineStr">
        <is>
          <t>Entrada</t>
        </is>
      </c>
      <c r="E1173" s="110" t="inlineStr">
        <is>
          <t>Vendas</t>
        </is>
      </c>
      <c r="F1173" s="111" t="n">
        <v>140</v>
      </c>
      <c r="G1173" s="104" t="inlineStr">
        <is>
          <t>08/2026</t>
        </is>
      </c>
      <c r="H1173" s="104" t="inlineStr">
        <is>
          <t>CODI</t>
        </is>
      </c>
    </row>
    <row r="1174">
      <c r="B1174" s="109" t="n">
        <v>46235</v>
      </c>
      <c r="C1174" s="110" t="inlineStr">
        <is>
          <t>Vendas - 08/2026</t>
        </is>
      </c>
      <c r="D1174" s="110" t="inlineStr">
        <is>
          <t>Entrada</t>
        </is>
      </c>
      <c r="E1174" s="110" t="inlineStr">
        <is>
          <t>Vendas</t>
        </is>
      </c>
      <c r="F1174" s="111" t="n">
        <v>490</v>
      </c>
      <c r="G1174" s="104" t="inlineStr">
        <is>
          <t>08/2026</t>
        </is>
      </c>
      <c r="H1174" s="104" t="inlineStr">
        <is>
          <t>CODI</t>
        </is>
      </c>
    </row>
    <row r="1175">
      <c r="B1175" s="109" t="n">
        <v>46235</v>
      </c>
      <c r="C1175" s="110" t="inlineStr">
        <is>
          <t>Vendas - 08/2026</t>
        </is>
      </c>
      <c r="D1175" s="110" t="inlineStr">
        <is>
          <t>Entrada</t>
        </is>
      </c>
      <c r="E1175" s="110" t="inlineStr">
        <is>
          <t>Vendas</t>
        </is>
      </c>
      <c r="F1175" s="111" t="n">
        <v>490</v>
      </c>
      <c r="G1175" s="104" t="inlineStr">
        <is>
          <t>08/2026</t>
        </is>
      </c>
      <c r="H1175" s="104" t="inlineStr">
        <is>
          <t>CODI</t>
        </is>
      </c>
    </row>
    <row r="1176">
      <c r="B1176" s="109" t="n">
        <v>46235</v>
      </c>
      <c r="C1176" s="110" t="inlineStr">
        <is>
          <t>Vendas - 08/2026</t>
        </is>
      </c>
      <c r="D1176" s="110" t="inlineStr">
        <is>
          <t>Entrada</t>
        </is>
      </c>
      <c r="E1176" s="110" t="inlineStr">
        <is>
          <t>Vendas</t>
        </is>
      </c>
      <c r="F1176" s="111" t="n">
        <v>199</v>
      </c>
      <c r="G1176" s="104" t="inlineStr">
        <is>
          <t>08/2026</t>
        </is>
      </c>
      <c r="H1176" s="104" t="inlineStr">
        <is>
          <t>CODI</t>
        </is>
      </c>
    </row>
    <row r="1177">
      <c r="B1177" s="109" t="n">
        <v>46235</v>
      </c>
      <c r="C1177" s="110" t="inlineStr">
        <is>
          <t>Vendas - 08/2026</t>
        </is>
      </c>
      <c r="D1177" s="110" t="inlineStr">
        <is>
          <t>Entrada</t>
        </is>
      </c>
      <c r="E1177" s="110" t="inlineStr">
        <is>
          <t>Vendas</t>
        </is>
      </c>
      <c r="F1177" s="111" t="n">
        <v>199</v>
      </c>
      <c r="G1177" s="104" t="inlineStr">
        <is>
          <t>08/2026</t>
        </is>
      </c>
      <c r="H1177" s="104" t="inlineStr">
        <is>
          <t>CODI</t>
        </is>
      </c>
    </row>
    <row r="1178">
      <c r="B1178" s="109" t="n">
        <v>46235</v>
      </c>
      <c r="C1178" s="110" t="inlineStr">
        <is>
          <t>Vendas - 08/2026</t>
        </is>
      </c>
      <c r="D1178" s="110" t="inlineStr">
        <is>
          <t>Entrada</t>
        </is>
      </c>
      <c r="E1178" s="110" t="inlineStr">
        <is>
          <t>Vendas</t>
        </is>
      </c>
      <c r="F1178" s="111" t="n">
        <v>1457.5</v>
      </c>
      <c r="G1178" s="104" t="inlineStr">
        <is>
          <t>08/2026</t>
        </is>
      </c>
      <c r="H1178" s="104" t="inlineStr">
        <is>
          <t>CODI</t>
        </is>
      </c>
    </row>
    <row r="1179">
      <c r="B1179" s="109" t="n">
        <v>46235</v>
      </c>
      <c r="C1179" s="110" t="inlineStr">
        <is>
          <t>Vendas - 08/2026</t>
        </is>
      </c>
      <c r="D1179" s="110" t="inlineStr">
        <is>
          <t>Entrada</t>
        </is>
      </c>
      <c r="E1179" s="110" t="inlineStr">
        <is>
          <t>Vendas</t>
        </is>
      </c>
      <c r="F1179" s="111" t="n">
        <v>1457.5</v>
      </c>
      <c r="G1179" s="104" t="inlineStr">
        <is>
          <t>08/2026</t>
        </is>
      </c>
      <c r="H1179" s="104" t="inlineStr">
        <is>
          <t>CODI</t>
        </is>
      </c>
    </row>
    <row r="1180">
      <c r="B1180" s="109" t="n">
        <v>46235</v>
      </c>
      <c r="C1180" s="110" t="inlineStr">
        <is>
          <t>Vendas - 08/2026</t>
        </is>
      </c>
      <c r="D1180" s="110" t="inlineStr">
        <is>
          <t>Entrada</t>
        </is>
      </c>
      <c r="E1180" s="110" t="inlineStr">
        <is>
          <t>Vendas</t>
        </is>
      </c>
      <c r="F1180" s="111" t="n">
        <v>1372</v>
      </c>
      <c r="G1180" s="104" t="inlineStr">
        <is>
          <t>08/2026</t>
        </is>
      </c>
      <c r="H1180" s="104" t="inlineStr">
        <is>
          <t>CODI</t>
        </is>
      </c>
    </row>
    <row r="1181">
      <c r="B1181" s="109" t="n">
        <v>46235</v>
      </c>
      <c r="C1181" s="110" t="inlineStr">
        <is>
          <t>Vendas - 08/2026</t>
        </is>
      </c>
      <c r="D1181" s="110" t="inlineStr">
        <is>
          <t>Entrada</t>
        </is>
      </c>
      <c r="E1181" s="110" t="inlineStr">
        <is>
          <t>Vendas</t>
        </is>
      </c>
      <c r="F1181" s="111" t="n">
        <v>4319.85</v>
      </c>
      <c r="G1181" s="104" t="inlineStr">
        <is>
          <t>08/2026</t>
        </is>
      </c>
      <c r="H1181" s="104" t="inlineStr">
        <is>
          <t>CODI</t>
        </is>
      </c>
    </row>
    <row r="1182">
      <c r="B1182" s="109" t="n">
        <v>46235</v>
      </c>
      <c r="C1182" s="110" t="inlineStr">
        <is>
          <t>Vendas - 08/2026</t>
        </is>
      </c>
      <c r="D1182" s="110" t="inlineStr">
        <is>
          <t>Entrada</t>
        </is>
      </c>
      <c r="E1182" s="110" t="inlineStr">
        <is>
          <t>Vendas</t>
        </is>
      </c>
      <c r="F1182" s="111" t="n">
        <v>3202.67</v>
      </c>
      <c r="G1182" s="104" t="inlineStr">
        <is>
          <t>08/2026</t>
        </is>
      </c>
      <c r="H1182" s="104" t="inlineStr">
        <is>
          <t>CODI</t>
        </is>
      </c>
    </row>
    <row r="1183">
      <c r="B1183" s="109" t="n">
        <v>46235</v>
      </c>
      <c r="C1183" s="110" t="inlineStr">
        <is>
          <t>Vendas - 08/2026</t>
        </is>
      </c>
      <c r="D1183" s="110" t="inlineStr">
        <is>
          <t>Entrada</t>
        </is>
      </c>
      <c r="E1183" s="110" t="inlineStr">
        <is>
          <t>Vendas</t>
        </is>
      </c>
      <c r="F1183" s="111" t="n">
        <v>1360</v>
      </c>
      <c r="G1183" s="104" t="inlineStr">
        <is>
          <t>08/2026</t>
        </is>
      </c>
      <c r="H1183" s="104" t="inlineStr">
        <is>
          <t>CODI</t>
        </is>
      </c>
    </row>
    <row r="1184">
      <c r="B1184" s="109" t="n">
        <v>46235</v>
      </c>
      <c r="C1184" s="110" t="inlineStr">
        <is>
          <t>Vendas - 08/2026</t>
        </is>
      </c>
      <c r="D1184" s="110" t="inlineStr">
        <is>
          <t>Entrada</t>
        </is>
      </c>
      <c r="E1184" s="110" t="inlineStr">
        <is>
          <t>Vendas</t>
        </is>
      </c>
      <c r="F1184" s="111" t="n">
        <v>663</v>
      </c>
      <c r="G1184" s="104" t="inlineStr">
        <is>
          <t>08/2026</t>
        </is>
      </c>
      <c r="H1184" s="104" t="inlineStr">
        <is>
          <t>CODI</t>
        </is>
      </c>
    </row>
    <row r="1185">
      <c r="B1185" s="109" t="n">
        <v>46235</v>
      </c>
      <c r="C1185" s="110" t="inlineStr">
        <is>
          <t>Vendas - 08/2026</t>
        </is>
      </c>
      <c r="D1185" s="110" t="inlineStr">
        <is>
          <t>Entrada</t>
        </is>
      </c>
      <c r="E1185" s="110" t="inlineStr">
        <is>
          <t>Vendas</t>
        </is>
      </c>
      <c r="F1185" s="111" t="n">
        <v>995.4</v>
      </c>
      <c r="G1185" s="104" t="inlineStr">
        <is>
          <t>08/2026</t>
        </is>
      </c>
      <c r="H1185" s="104" t="inlineStr">
        <is>
          <t>CODI</t>
        </is>
      </c>
    </row>
    <row r="1186">
      <c r="B1186" s="109" t="n">
        <v>46235</v>
      </c>
      <c r="C1186" s="110" t="inlineStr">
        <is>
          <t>Vendas - 08/2026</t>
        </is>
      </c>
      <c r="D1186" s="110" t="inlineStr">
        <is>
          <t>Entrada</t>
        </is>
      </c>
      <c r="E1186" s="110" t="inlineStr">
        <is>
          <t>Vendas</t>
        </is>
      </c>
      <c r="F1186" s="111" t="n">
        <v>556.47</v>
      </c>
      <c r="G1186" s="104" t="inlineStr">
        <is>
          <t>08/2026</t>
        </is>
      </c>
      <c r="H1186" s="104" t="inlineStr">
        <is>
          <t>CODI</t>
        </is>
      </c>
    </row>
    <row r="1187">
      <c r="B1187" s="109" t="n">
        <v>46235</v>
      </c>
      <c r="C1187" s="110" t="inlineStr">
        <is>
          <t>Vendas - 08/2026</t>
        </is>
      </c>
      <c r="D1187" s="110" t="inlineStr">
        <is>
          <t>Entrada</t>
        </is>
      </c>
      <c r="E1187" s="110" t="inlineStr">
        <is>
          <t>Vendas</t>
        </is>
      </c>
      <c r="F1187" s="111" t="n">
        <v>25.4</v>
      </c>
      <c r="G1187" s="104" t="inlineStr">
        <is>
          <t>08/2026</t>
        </is>
      </c>
      <c r="H1187" s="104" t="inlineStr">
        <is>
          <t>CODI</t>
        </is>
      </c>
    </row>
    <row r="1188">
      <c r="B1188" s="109" t="n">
        <v>46235</v>
      </c>
      <c r="C1188" s="110" t="inlineStr">
        <is>
          <t>Vendas - 08/2026</t>
        </is>
      </c>
      <c r="D1188" s="110" t="inlineStr">
        <is>
          <t>Entrada</t>
        </is>
      </c>
      <c r="E1188" s="110" t="inlineStr">
        <is>
          <t>Vendas</t>
        </is>
      </c>
      <c r="F1188" s="111" t="n">
        <v>25.41</v>
      </c>
      <c r="G1188" s="104" t="inlineStr">
        <is>
          <t>08/2026</t>
        </is>
      </c>
      <c r="H1188" s="104" t="inlineStr">
        <is>
          <t>CODI</t>
        </is>
      </c>
    </row>
    <row r="1189">
      <c r="B1189" s="109" t="n">
        <v>46235</v>
      </c>
      <c r="C1189" s="110" t="inlineStr">
        <is>
          <t>Vendas - 08/2026</t>
        </is>
      </c>
      <c r="D1189" s="110" t="inlineStr">
        <is>
          <t>Entrada</t>
        </is>
      </c>
      <c r="E1189" s="110" t="inlineStr">
        <is>
          <t>Vendas</t>
        </is>
      </c>
      <c r="F1189" s="111" t="n">
        <v>25.41</v>
      </c>
      <c r="G1189" s="104" t="inlineStr">
        <is>
          <t>08/2026</t>
        </is>
      </c>
      <c r="H1189" s="104" t="inlineStr">
        <is>
          <t>CODI</t>
        </is>
      </c>
    </row>
    <row r="1190">
      <c r="B1190" s="109" t="n">
        <v>46235</v>
      </c>
      <c r="C1190" s="110" t="inlineStr">
        <is>
          <t>Vendas - 08/2026</t>
        </is>
      </c>
      <c r="D1190" s="110" t="inlineStr">
        <is>
          <t>Entrada</t>
        </is>
      </c>
      <c r="E1190" s="110" t="inlineStr">
        <is>
          <t>Vendas</t>
        </is>
      </c>
      <c r="F1190" s="111" t="n">
        <v>25.41</v>
      </c>
      <c r="G1190" s="104" t="inlineStr">
        <is>
          <t>08/2026</t>
        </is>
      </c>
      <c r="H1190" s="104" t="inlineStr">
        <is>
          <t>CODI</t>
        </is>
      </c>
    </row>
    <row r="1191">
      <c r="B1191" s="109" t="n">
        <v>46235</v>
      </c>
      <c r="C1191" s="110" t="inlineStr">
        <is>
          <t>Vendas - 08/2026</t>
        </is>
      </c>
      <c r="D1191" s="110" t="inlineStr">
        <is>
          <t>Entrada</t>
        </is>
      </c>
      <c r="E1191" s="110" t="inlineStr">
        <is>
          <t>Vendas</t>
        </is>
      </c>
      <c r="F1191" s="111" t="n">
        <v>2425</v>
      </c>
      <c r="G1191" s="104" t="inlineStr">
        <is>
          <t>08/2026</t>
        </is>
      </c>
      <c r="H1191" s="104" t="inlineStr">
        <is>
          <t>CODI</t>
        </is>
      </c>
    </row>
    <row r="1192">
      <c r="B1192" s="109" t="n">
        <v>46235</v>
      </c>
      <c r="C1192" s="110" t="inlineStr">
        <is>
          <t>Vendas - 08/2026</t>
        </is>
      </c>
      <c r="D1192" s="110" t="inlineStr">
        <is>
          <t>Entrada</t>
        </is>
      </c>
      <c r="E1192" s="110" t="inlineStr">
        <is>
          <t>Vendas</t>
        </is>
      </c>
      <c r="F1192" s="111" t="n">
        <v>68</v>
      </c>
      <c r="G1192" s="104" t="inlineStr">
        <is>
          <t>08/2026</t>
        </is>
      </c>
      <c r="H1192" s="104" t="inlineStr">
        <is>
          <t>CODI</t>
        </is>
      </c>
    </row>
    <row r="1193">
      <c r="B1193" s="109" t="n">
        <v>46235</v>
      </c>
      <c r="C1193" s="110" t="inlineStr">
        <is>
          <t>Vendas - 08/2026</t>
        </is>
      </c>
      <c r="D1193" s="110" t="inlineStr">
        <is>
          <t>Entrada</t>
        </is>
      </c>
      <c r="E1193" s="110" t="inlineStr">
        <is>
          <t>Vendas</t>
        </is>
      </c>
      <c r="F1193" s="111" t="n">
        <v>1080</v>
      </c>
      <c r="G1193" s="104" t="inlineStr">
        <is>
          <t>08/2026</t>
        </is>
      </c>
      <c r="H1193" s="104" t="inlineStr">
        <is>
          <t>CODI</t>
        </is>
      </c>
    </row>
    <row r="1194">
      <c r="B1194" s="109" t="n">
        <v>46235</v>
      </c>
      <c r="C1194" s="110" t="inlineStr">
        <is>
          <t>Vendas - 08/2026</t>
        </is>
      </c>
      <c r="D1194" s="110" t="inlineStr">
        <is>
          <t>Entrada</t>
        </is>
      </c>
      <c r="E1194" s="110" t="inlineStr">
        <is>
          <t>Vendas</t>
        </is>
      </c>
      <c r="F1194" s="111" t="n">
        <v>1330</v>
      </c>
      <c r="G1194" s="104" t="inlineStr">
        <is>
          <t>08/2026</t>
        </is>
      </c>
      <c r="H1194" s="104" t="inlineStr">
        <is>
          <t>CODI</t>
        </is>
      </c>
    </row>
    <row r="1195">
      <c r="B1195" s="109" t="n">
        <v>46235</v>
      </c>
      <c r="C1195" s="110" t="inlineStr">
        <is>
          <t>Vendas - 08/2026</t>
        </is>
      </c>
      <c r="D1195" s="110" t="inlineStr">
        <is>
          <t>Entrada</t>
        </is>
      </c>
      <c r="E1195" s="110" t="inlineStr">
        <is>
          <t>Vendas</t>
        </is>
      </c>
      <c r="F1195" s="111" t="n">
        <v>1560</v>
      </c>
      <c r="G1195" s="104" t="inlineStr">
        <is>
          <t>08/2026</t>
        </is>
      </c>
      <c r="H1195" s="104" t="inlineStr">
        <is>
          <t>CODI</t>
        </is>
      </c>
    </row>
    <row r="1196">
      <c r="B1196" s="109" t="n">
        <v>46235</v>
      </c>
      <c r="C1196" s="110" t="inlineStr">
        <is>
          <t>Vendas - 08/2026</t>
        </is>
      </c>
      <c r="D1196" s="110" t="inlineStr">
        <is>
          <t>Entrada</t>
        </is>
      </c>
      <c r="E1196" s="110" t="inlineStr">
        <is>
          <t>Vendas</t>
        </is>
      </c>
      <c r="F1196" s="111" t="n">
        <v>1560</v>
      </c>
      <c r="G1196" s="104" t="inlineStr">
        <is>
          <t>08/2026</t>
        </is>
      </c>
      <c r="H1196" s="104" t="inlineStr">
        <is>
          <t>CODI</t>
        </is>
      </c>
    </row>
    <row r="1197">
      <c r="B1197" s="109" t="n">
        <v>46235</v>
      </c>
      <c r="C1197" s="110" t="inlineStr">
        <is>
          <t>Vendas - 08/2026</t>
        </is>
      </c>
      <c r="D1197" s="110" t="inlineStr">
        <is>
          <t>Entrada</t>
        </is>
      </c>
      <c r="E1197" s="110" t="inlineStr">
        <is>
          <t>Vendas</t>
        </is>
      </c>
      <c r="F1197" s="111" t="n">
        <v>4045</v>
      </c>
      <c r="G1197" s="104" t="inlineStr">
        <is>
          <t>08/2026</t>
        </is>
      </c>
      <c r="H1197" s="104" t="inlineStr">
        <is>
          <t>CODI</t>
        </is>
      </c>
    </row>
    <row r="1198">
      <c r="B1198" s="109" t="n">
        <v>46235</v>
      </c>
      <c r="C1198" s="110" t="inlineStr">
        <is>
          <t>Vendas - 08/2026</t>
        </is>
      </c>
      <c r="D1198" s="110" t="inlineStr">
        <is>
          <t>Entrada</t>
        </is>
      </c>
      <c r="E1198" s="110" t="inlineStr">
        <is>
          <t>Vendas</t>
        </is>
      </c>
      <c r="F1198" s="111" t="n">
        <v>825</v>
      </c>
      <c r="G1198" s="104" t="inlineStr">
        <is>
          <t>08/2026</t>
        </is>
      </c>
      <c r="H1198" s="104" t="inlineStr">
        <is>
          <t>CODI</t>
        </is>
      </c>
    </row>
    <row r="1199">
      <c r="B1199" s="109" t="n">
        <v>46235</v>
      </c>
      <c r="C1199" s="110" t="inlineStr">
        <is>
          <t>Vendas - 08/2026</t>
        </is>
      </c>
      <c r="D1199" s="110" t="inlineStr">
        <is>
          <t>Entrada</t>
        </is>
      </c>
      <c r="E1199" s="110" t="inlineStr">
        <is>
          <t>Vendas</t>
        </is>
      </c>
      <c r="F1199" s="111" t="n">
        <v>1110</v>
      </c>
      <c r="G1199" s="104" t="inlineStr">
        <is>
          <t>08/2026</t>
        </is>
      </c>
      <c r="H1199" s="104" t="inlineStr">
        <is>
          <t>CODI</t>
        </is>
      </c>
    </row>
    <row r="1200">
      <c r="B1200" s="109" t="n">
        <v>46235</v>
      </c>
      <c r="C1200" s="110" t="inlineStr">
        <is>
          <t>Vendas - 08/2026</t>
        </is>
      </c>
      <c r="D1200" s="110" t="inlineStr">
        <is>
          <t>Entrada</t>
        </is>
      </c>
      <c r="E1200" s="110" t="inlineStr">
        <is>
          <t>Vendas</t>
        </is>
      </c>
      <c r="F1200" s="111" t="n">
        <v>2954</v>
      </c>
      <c r="G1200" s="104" t="inlineStr">
        <is>
          <t>08/2026</t>
        </is>
      </c>
      <c r="H1200" s="104" t="inlineStr">
        <is>
          <t>CODI</t>
        </is>
      </c>
    </row>
    <row r="1201">
      <c r="B1201" s="109" t="n">
        <v>46235</v>
      </c>
      <c r="C1201" s="110" t="inlineStr">
        <is>
          <t>Vendas - 08/2026</t>
        </is>
      </c>
      <c r="D1201" s="110" t="inlineStr">
        <is>
          <t>Entrada</t>
        </is>
      </c>
      <c r="E1201" s="110" t="inlineStr">
        <is>
          <t>Vendas</t>
        </is>
      </c>
      <c r="F1201" s="111" t="n">
        <v>2220</v>
      </c>
      <c r="G1201" s="104" t="inlineStr">
        <is>
          <t>08/2026</t>
        </is>
      </c>
      <c r="H1201" s="104" t="inlineStr">
        <is>
          <t>CODI</t>
        </is>
      </c>
    </row>
    <row r="1202">
      <c r="B1202" s="109" t="n">
        <v>46235</v>
      </c>
      <c r="C1202" s="110" t="inlineStr">
        <is>
          <t>Vendas - 08/2026</t>
        </is>
      </c>
      <c r="D1202" s="110" t="inlineStr">
        <is>
          <t>Entrada</t>
        </is>
      </c>
      <c r="E1202" s="110" t="inlineStr">
        <is>
          <t>Vendas</t>
        </is>
      </c>
      <c r="F1202" s="111" t="n">
        <v>110</v>
      </c>
      <c r="G1202" s="104" t="inlineStr">
        <is>
          <t>08/2026</t>
        </is>
      </c>
      <c r="H1202" s="104" t="inlineStr">
        <is>
          <t>CODI</t>
        </is>
      </c>
    </row>
    <row r="1203">
      <c r="B1203" s="109" t="n">
        <v>46235</v>
      </c>
      <c r="C1203" s="110" t="inlineStr">
        <is>
          <t>Vendas - 08/2026</t>
        </is>
      </c>
      <c r="D1203" s="110" t="inlineStr">
        <is>
          <t>Entrada</t>
        </is>
      </c>
      <c r="E1203" s="110" t="inlineStr">
        <is>
          <t>Vendas</t>
        </is>
      </c>
      <c r="F1203" s="111" t="n">
        <v>1565</v>
      </c>
      <c r="G1203" s="104" t="inlineStr">
        <is>
          <t>08/2026</t>
        </is>
      </c>
      <c r="H1203" s="104" t="inlineStr">
        <is>
          <t>CODI</t>
        </is>
      </c>
    </row>
    <row r="1204">
      <c r="B1204" s="109" t="n">
        <v>46235</v>
      </c>
      <c r="C1204" s="110" t="inlineStr">
        <is>
          <t>Vendas - 08/2026</t>
        </is>
      </c>
      <c r="D1204" s="110" t="inlineStr">
        <is>
          <t>Entrada</t>
        </is>
      </c>
      <c r="E1204" s="110" t="inlineStr">
        <is>
          <t>Vendas</t>
        </is>
      </c>
      <c r="F1204" s="111" t="n">
        <v>2584</v>
      </c>
      <c r="G1204" s="104" t="inlineStr">
        <is>
          <t>08/2026</t>
        </is>
      </c>
      <c r="H1204" s="104" t="inlineStr">
        <is>
          <t>CODI</t>
        </is>
      </c>
    </row>
    <row r="1205">
      <c r="B1205" s="109" t="n">
        <v>46235</v>
      </c>
      <c r="C1205" s="110" t="inlineStr">
        <is>
          <t>Vendas - 08/2026</t>
        </is>
      </c>
      <c r="D1205" s="110" t="inlineStr">
        <is>
          <t>Entrada</t>
        </is>
      </c>
      <c r="E1205" s="110" t="inlineStr">
        <is>
          <t>Vendas</t>
        </is>
      </c>
      <c r="F1205" s="111" t="n">
        <v>6854</v>
      </c>
      <c r="G1205" s="104" t="inlineStr">
        <is>
          <t>08/2026</t>
        </is>
      </c>
      <c r="H1205" s="104" t="inlineStr">
        <is>
          <t>CODI</t>
        </is>
      </c>
    </row>
    <row r="1206">
      <c r="B1206" s="109" t="n">
        <v>46235</v>
      </c>
      <c r="C1206" s="110" t="inlineStr">
        <is>
          <t>Vendas - 08/2026</t>
        </is>
      </c>
      <c r="D1206" s="110" t="inlineStr">
        <is>
          <t>Entrada</t>
        </is>
      </c>
      <c r="E1206" s="110" t="inlineStr">
        <is>
          <t>Vendas</t>
        </is>
      </c>
      <c r="F1206" s="111" t="n">
        <v>1335</v>
      </c>
      <c r="G1206" s="104" t="inlineStr">
        <is>
          <t>08/2026</t>
        </is>
      </c>
      <c r="H1206" s="104" t="inlineStr">
        <is>
          <t>CODI</t>
        </is>
      </c>
    </row>
    <row r="1207">
      <c r="B1207" s="109" t="n">
        <v>46235</v>
      </c>
      <c r="C1207" s="110" t="inlineStr">
        <is>
          <t>Vendas - 08/2026</t>
        </is>
      </c>
      <c r="D1207" s="110" t="inlineStr">
        <is>
          <t>Entrada</t>
        </is>
      </c>
      <c r="E1207" s="110" t="inlineStr">
        <is>
          <t>Vendas</t>
        </is>
      </c>
      <c r="F1207" s="111" t="n">
        <v>125</v>
      </c>
      <c r="G1207" s="104" t="inlineStr">
        <is>
          <t>08/2026</t>
        </is>
      </c>
      <c r="H1207" s="104" t="inlineStr">
        <is>
          <t>CODI</t>
        </is>
      </c>
    </row>
    <row r="1208">
      <c r="B1208" s="109" t="n">
        <v>46235</v>
      </c>
      <c r="C1208" s="110" t="inlineStr">
        <is>
          <t>Vendas - 08/2026</t>
        </is>
      </c>
      <c r="D1208" s="110" t="inlineStr">
        <is>
          <t>Entrada</t>
        </is>
      </c>
      <c r="E1208" s="110" t="inlineStr">
        <is>
          <t>Vendas</t>
        </is>
      </c>
      <c r="F1208" s="111" t="n">
        <v>2480</v>
      </c>
      <c r="G1208" s="104" t="inlineStr">
        <is>
          <t>08/2026</t>
        </is>
      </c>
      <c r="H1208" s="104" t="inlineStr">
        <is>
          <t>CODI</t>
        </is>
      </c>
    </row>
    <row r="1209">
      <c r="B1209" s="109" t="n">
        <v>46235</v>
      </c>
      <c r="C1209" s="110" t="inlineStr">
        <is>
          <t>Vendas - 08/2026</t>
        </is>
      </c>
      <c r="D1209" s="110" t="inlineStr">
        <is>
          <t>Entrada</t>
        </is>
      </c>
      <c r="E1209" s="110" t="inlineStr">
        <is>
          <t>Vendas</t>
        </is>
      </c>
      <c r="F1209" s="111" t="n">
        <v>85</v>
      </c>
      <c r="G1209" s="104" t="inlineStr">
        <is>
          <t>08/2026</t>
        </is>
      </c>
      <c r="H1209" s="104" t="inlineStr">
        <is>
          <t>CODI</t>
        </is>
      </c>
    </row>
    <row r="1210">
      <c r="B1210" s="109" t="n">
        <v>46235</v>
      </c>
      <c r="C1210" s="110" t="inlineStr">
        <is>
          <t>Vendas - 08/2026</t>
        </is>
      </c>
      <c r="D1210" s="110" t="inlineStr">
        <is>
          <t>Entrada</t>
        </is>
      </c>
      <c r="E1210" s="110" t="inlineStr">
        <is>
          <t>Vendas</t>
        </is>
      </c>
      <c r="F1210" s="111" t="n">
        <v>80.27</v>
      </c>
      <c r="G1210" s="104" t="inlineStr">
        <is>
          <t>08/2026</t>
        </is>
      </c>
      <c r="H1210" s="104" t="inlineStr">
        <is>
          <t>CODI</t>
        </is>
      </c>
    </row>
    <row r="1211">
      <c r="B1211" s="109" t="n">
        <v>46235</v>
      </c>
      <c r="C1211" s="110" t="inlineStr">
        <is>
          <t>Vendas - 08/2026</t>
        </is>
      </c>
      <c r="D1211" s="110" t="inlineStr">
        <is>
          <t>Entrada</t>
        </is>
      </c>
      <c r="E1211" s="110" t="inlineStr">
        <is>
          <t>Vendas</t>
        </is>
      </c>
      <c r="F1211" s="111" t="n">
        <v>80.27</v>
      </c>
      <c r="G1211" s="104" t="inlineStr">
        <is>
          <t>08/2026</t>
        </is>
      </c>
      <c r="H1211" s="104" t="inlineStr">
        <is>
          <t>CODI</t>
        </is>
      </c>
    </row>
    <row r="1212">
      <c r="B1212" s="109" t="n">
        <v>46235</v>
      </c>
      <c r="C1212" s="110" t="inlineStr">
        <is>
          <t>Vendas - 08/2026</t>
        </is>
      </c>
      <c r="D1212" s="110" t="inlineStr">
        <is>
          <t>Entrada</t>
        </is>
      </c>
      <c r="E1212" s="110" t="inlineStr">
        <is>
          <t>Vendas</t>
        </is>
      </c>
      <c r="F1212" s="111" t="n">
        <v>80.27</v>
      </c>
      <c r="G1212" s="104" t="inlineStr">
        <is>
          <t>08/2026</t>
        </is>
      </c>
      <c r="H1212" s="104" t="inlineStr">
        <is>
          <t>CODI</t>
        </is>
      </c>
    </row>
    <row r="1213">
      <c r="B1213" s="109" t="n">
        <v>46235</v>
      </c>
      <c r="C1213" s="110" t="inlineStr">
        <is>
          <t>Vendas - 08/2026</t>
        </is>
      </c>
      <c r="D1213" s="110" t="inlineStr">
        <is>
          <t>Entrada</t>
        </is>
      </c>
      <c r="E1213" s="110" t="inlineStr">
        <is>
          <t>Vendas</t>
        </is>
      </c>
      <c r="F1213" s="111" t="n">
        <v>80.28</v>
      </c>
      <c r="G1213" s="104" t="inlineStr">
        <is>
          <t>08/2026</t>
        </is>
      </c>
      <c r="H1213" s="104" t="inlineStr">
        <is>
          <t>CODI</t>
        </is>
      </c>
    </row>
    <row r="1214">
      <c r="B1214" s="109" t="n">
        <v>46235</v>
      </c>
      <c r="C1214" s="110" t="inlineStr">
        <is>
          <t>Vendas - 08/2026</t>
        </is>
      </c>
      <c r="D1214" s="110" t="inlineStr">
        <is>
          <t>Entrada</t>
        </is>
      </c>
      <c r="E1214" s="110" t="inlineStr">
        <is>
          <t>Vendas</t>
        </is>
      </c>
      <c r="F1214" s="111" t="n">
        <v>80.27</v>
      </c>
      <c r="G1214" s="104" t="inlineStr">
        <is>
          <t>08/2026</t>
        </is>
      </c>
      <c r="H1214" s="104" t="inlineStr">
        <is>
          <t>CODI</t>
        </is>
      </c>
    </row>
    <row r="1215">
      <c r="B1215" s="109" t="n">
        <v>46235</v>
      </c>
      <c r="C1215" s="110" t="inlineStr">
        <is>
          <t>Vendas - 08/2026</t>
        </is>
      </c>
      <c r="D1215" s="110" t="inlineStr">
        <is>
          <t>Entrada</t>
        </is>
      </c>
      <c r="E1215" s="110" t="inlineStr">
        <is>
          <t>Vendas</t>
        </is>
      </c>
      <c r="F1215" s="111" t="n">
        <v>80.29000000000001</v>
      </c>
      <c r="G1215" s="104" t="inlineStr">
        <is>
          <t>08/2026</t>
        </is>
      </c>
      <c r="H1215" s="104" t="inlineStr">
        <is>
          <t>CODI</t>
        </is>
      </c>
    </row>
    <row r="1216">
      <c r="B1216" s="109" t="n">
        <v>46235</v>
      </c>
      <c r="C1216" s="110" t="inlineStr">
        <is>
          <t>Vendas - 08/2026</t>
        </is>
      </c>
      <c r="D1216" s="110" t="inlineStr">
        <is>
          <t>Entrada</t>
        </is>
      </c>
      <c r="E1216" s="110" t="inlineStr">
        <is>
          <t>Vendas</t>
        </is>
      </c>
      <c r="F1216" s="111" t="n">
        <v>8550</v>
      </c>
      <c r="G1216" s="104" t="inlineStr">
        <is>
          <t>08/2026</t>
        </is>
      </c>
      <c r="H1216" s="104" t="inlineStr">
        <is>
          <t>CODI</t>
        </is>
      </c>
    </row>
    <row r="1217">
      <c r="B1217" s="109" t="n">
        <v>46235</v>
      </c>
      <c r="C1217" s="110" t="inlineStr">
        <is>
          <t>Vendas - 08/2026</t>
        </is>
      </c>
      <c r="D1217" s="110" t="inlineStr">
        <is>
          <t>Entrada</t>
        </is>
      </c>
      <c r="E1217" s="110" t="inlineStr">
        <is>
          <t>Vendas</t>
        </is>
      </c>
      <c r="F1217" s="111" t="n">
        <v>2014.14</v>
      </c>
      <c r="G1217" s="104" t="inlineStr">
        <is>
          <t>08/2026</t>
        </is>
      </c>
      <c r="H1217" s="104" t="inlineStr">
        <is>
          <t>CODI</t>
        </is>
      </c>
    </row>
    <row r="1218">
      <c r="B1218" s="109" t="n">
        <v>46235</v>
      </c>
      <c r="C1218" s="110" t="inlineStr">
        <is>
          <t>Vendas - 08/2026</t>
        </is>
      </c>
      <c r="D1218" s="110" t="inlineStr">
        <is>
          <t>Entrada</t>
        </is>
      </c>
      <c r="E1218" s="110" t="inlineStr">
        <is>
          <t>Vendas</t>
        </is>
      </c>
      <c r="F1218" s="111" t="n">
        <v>8000</v>
      </c>
      <c r="G1218" s="104" t="inlineStr">
        <is>
          <t>08/2026</t>
        </is>
      </c>
      <c r="H1218" s="104" t="inlineStr">
        <is>
          <t>CODI</t>
        </is>
      </c>
    </row>
    <row r="1219">
      <c r="B1219" s="109" t="n">
        <v>46235</v>
      </c>
      <c r="C1219" s="110" t="inlineStr">
        <is>
          <t>Vendas - 08/2026</t>
        </is>
      </c>
      <c r="D1219" s="110" t="inlineStr">
        <is>
          <t>Entrada</t>
        </is>
      </c>
      <c r="E1219" s="110" t="inlineStr">
        <is>
          <t>Vendas</t>
        </is>
      </c>
      <c r="F1219" s="111" t="n">
        <v>911.25</v>
      </c>
      <c r="G1219" s="104" t="inlineStr">
        <is>
          <t>08/2026</t>
        </is>
      </c>
      <c r="H1219" s="104" t="inlineStr">
        <is>
          <t>CODI</t>
        </is>
      </c>
    </row>
    <row r="1220">
      <c r="B1220" s="109" t="n">
        <v>46235</v>
      </c>
      <c r="C1220" s="110" t="inlineStr">
        <is>
          <t>Vendas - 08/2026</t>
        </is>
      </c>
      <c r="D1220" s="110" t="inlineStr">
        <is>
          <t>Entrada</t>
        </is>
      </c>
      <c r="E1220" s="110" t="inlineStr">
        <is>
          <t>Vendas</t>
        </is>
      </c>
      <c r="F1220" s="111" t="n">
        <v>824</v>
      </c>
      <c r="G1220" s="104" t="inlineStr">
        <is>
          <t>08/2026</t>
        </is>
      </c>
      <c r="H1220" s="104" t="inlineStr">
        <is>
          <t>CODI</t>
        </is>
      </c>
    </row>
    <row r="1221">
      <c r="B1221" s="109" t="n">
        <v>46235</v>
      </c>
      <c r="C1221" s="110" t="inlineStr">
        <is>
          <t>Vendas - 08/2026</t>
        </is>
      </c>
      <c r="D1221" s="110" t="inlineStr">
        <is>
          <t>Entrada</t>
        </is>
      </c>
      <c r="E1221" s="110" t="inlineStr">
        <is>
          <t>Vendas</t>
        </is>
      </c>
      <c r="F1221" s="111" t="n">
        <v>1687.5</v>
      </c>
      <c r="G1221" s="104" t="inlineStr">
        <is>
          <t>08/2026</t>
        </is>
      </c>
      <c r="H1221" s="104" t="inlineStr">
        <is>
          <t>CODI</t>
        </is>
      </c>
    </row>
    <row r="1222">
      <c r="B1222" s="109" t="n">
        <v>46235</v>
      </c>
      <c r="C1222" s="110" t="inlineStr">
        <is>
          <t>Vendas - 08/2026</t>
        </is>
      </c>
      <c r="D1222" s="110" t="inlineStr">
        <is>
          <t>Entrada</t>
        </is>
      </c>
      <c r="E1222" s="110" t="inlineStr">
        <is>
          <t>Vendas</t>
        </is>
      </c>
      <c r="F1222" s="111" t="n">
        <v>952.3</v>
      </c>
      <c r="G1222" s="104" t="inlineStr">
        <is>
          <t>08/2026</t>
        </is>
      </c>
      <c r="H1222" s="104" t="inlineStr">
        <is>
          <t>CODI</t>
        </is>
      </c>
    </row>
    <row r="1223">
      <c r="B1223" s="109" t="n">
        <v>46235</v>
      </c>
      <c r="C1223" s="110" t="inlineStr">
        <is>
          <t>Vendas - 08/2026</t>
        </is>
      </c>
      <c r="D1223" s="110" t="inlineStr">
        <is>
          <t>Entrada</t>
        </is>
      </c>
      <c r="E1223" s="110" t="inlineStr">
        <is>
          <t>Vendas</t>
        </is>
      </c>
      <c r="F1223" s="111" t="n">
        <v>4565.74</v>
      </c>
      <c r="G1223" s="104" t="inlineStr">
        <is>
          <t>08/2026</t>
        </is>
      </c>
      <c r="H1223" s="104" t="inlineStr">
        <is>
          <t>CODI</t>
        </is>
      </c>
    </row>
    <row r="1224">
      <c r="B1224" s="109" t="n">
        <v>46235</v>
      </c>
      <c r="C1224" s="110" t="inlineStr">
        <is>
          <t>Vendas - 08/2026</t>
        </is>
      </c>
      <c r="D1224" s="110" t="inlineStr">
        <is>
          <t>Entrada</t>
        </is>
      </c>
      <c r="E1224" s="110" t="inlineStr">
        <is>
          <t>Vendas</t>
        </is>
      </c>
      <c r="F1224" s="111" t="n">
        <v>2895.75</v>
      </c>
      <c r="G1224" s="104" t="inlineStr">
        <is>
          <t>08/2026</t>
        </is>
      </c>
      <c r="H1224" s="104" t="inlineStr">
        <is>
          <t>CODI</t>
        </is>
      </c>
    </row>
    <row r="1225">
      <c r="B1225" s="109" t="n">
        <v>46235</v>
      </c>
      <c r="C1225" s="110" t="inlineStr">
        <is>
          <t>Vendas - 08/2026</t>
        </is>
      </c>
      <c r="D1225" s="110" t="inlineStr">
        <is>
          <t>Entrada</t>
        </is>
      </c>
      <c r="E1225" s="110" t="inlineStr">
        <is>
          <t>Vendas</t>
        </is>
      </c>
      <c r="F1225" s="111" t="n">
        <v>1522.8</v>
      </c>
      <c r="G1225" s="104" t="inlineStr">
        <is>
          <t>08/2026</t>
        </is>
      </c>
      <c r="H1225" s="104" t="inlineStr">
        <is>
          <t>CODI</t>
        </is>
      </c>
    </row>
    <row r="1226">
      <c r="B1226" s="109" t="n">
        <v>46235</v>
      </c>
      <c r="C1226" s="110" t="inlineStr">
        <is>
          <t>Vendas - 08/2026</t>
        </is>
      </c>
      <c r="D1226" s="110" t="inlineStr">
        <is>
          <t>Entrada</t>
        </is>
      </c>
      <c r="E1226" s="110" t="inlineStr">
        <is>
          <t>Vendas</t>
        </is>
      </c>
      <c r="F1226" s="111" t="n">
        <v>21600</v>
      </c>
      <c r="G1226" s="104" t="inlineStr">
        <is>
          <t>08/2026</t>
        </is>
      </c>
      <c r="H1226" s="104" t="inlineStr">
        <is>
          <t>CODI</t>
        </is>
      </c>
    </row>
    <row r="1227">
      <c r="B1227" s="109" t="n">
        <v>46235</v>
      </c>
      <c r="C1227" s="110" t="inlineStr">
        <is>
          <t>Vendas - 08/2026</t>
        </is>
      </c>
      <c r="D1227" s="110" t="inlineStr">
        <is>
          <t>Entrada</t>
        </is>
      </c>
      <c r="E1227" s="110" t="inlineStr">
        <is>
          <t>Vendas</t>
        </is>
      </c>
      <c r="F1227" s="111" t="n">
        <v>490</v>
      </c>
      <c r="G1227" s="104" t="inlineStr">
        <is>
          <t>08/2026</t>
        </is>
      </c>
      <c r="H1227" s="104" t="inlineStr">
        <is>
          <t>VAREN</t>
        </is>
      </c>
    </row>
    <row r="1228">
      <c r="B1228" s="109" t="n">
        <v>46235</v>
      </c>
      <c r="C1228" s="110" t="inlineStr">
        <is>
          <t>Vendas - 08/2026</t>
        </is>
      </c>
      <c r="D1228" s="110" t="inlineStr">
        <is>
          <t>Entrada</t>
        </is>
      </c>
      <c r="E1228" s="110" t="inlineStr">
        <is>
          <t>Vendas</t>
        </is>
      </c>
      <c r="F1228" s="111" t="n">
        <v>1500</v>
      </c>
      <c r="G1228" s="104" t="inlineStr">
        <is>
          <t>08/2026</t>
        </is>
      </c>
      <c r="H1228" s="104" t="inlineStr">
        <is>
          <t>CODI</t>
        </is>
      </c>
    </row>
    <row r="1229">
      <c r="B1229" s="109" t="n">
        <v>46235</v>
      </c>
      <c r="C1229" s="110" t="inlineStr">
        <is>
          <t>Vendas - 08/2026</t>
        </is>
      </c>
      <c r="D1229" s="110" t="inlineStr">
        <is>
          <t>Entrada</t>
        </is>
      </c>
      <c r="E1229" s="110" t="inlineStr">
        <is>
          <t>Vendas</t>
        </is>
      </c>
      <c r="F1229" s="111" t="n">
        <v>2250</v>
      </c>
      <c r="G1229" s="104" t="inlineStr">
        <is>
          <t>08/2026</t>
        </is>
      </c>
      <c r="H1229" s="104" t="inlineStr">
        <is>
          <t>CODI</t>
        </is>
      </c>
    </row>
    <row r="1230">
      <c r="B1230" s="109" t="n">
        <v>46235</v>
      </c>
      <c r="C1230" s="110" t="inlineStr">
        <is>
          <t>Vendas - 08/2026</t>
        </is>
      </c>
      <c r="D1230" s="110" t="inlineStr">
        <is>
          <t>Entrada</t>
        </is>
      </c>
      <c r="E1230" s="110" t="inlineStr">
        <is>
          <t>Vendas</t>
        </is>
      </c>
      <c r="F1230" s="111" t="n">
        <v>6750</v>
      </c>
      <c r="G1230" s="104" t="inlineStr">
        <is>
          <t>08/2026</t>
        </is>
      </c>
      <c r="H1230" s="104" t="inlineStr">
        <is>
          <t>CODI</t>
        </is>
      </c>
    </row>
    <row r="1231">
      <c r="B1231" s="109" t="n">
        <v>46235</v>
      </c>
      <c r="C1231" s="110" t="inlineStr">
        <is>
          <t>Vendas - 08/2026</t>
        </is>
      </c>
      <c r="D1231" s="110" t="inlineStr">
        <is>
          <t>Entrada</t>
        </is>
      </c>
      <c r="E1231" s="110" t="inlineStr">
        <is>
          <t>Vendas</t>
        </is>
      </c>
      <c r="F1231" s="111" t="n">
        <v>4627</v>
      </c>
      <c r="G1231" s="104" t="inlineStr">
        <is>
          <t>08/2026</t>
        </is>
      </c>
      <c r="H1231" s="104" t="inlineStr">
        <is>
          <t>CODI</t>
        </is>
      </c>
    </row>
    <row r="1232">
      <c r="B1232" s="109" t="n">
        <v>46235</v>
      </c>
      <c r="C1232" s="110" t="inlineStr">
        <is>
          <t>Vendas - 08/2026</t>
        </is>
      </c>
      <c r="D1232" s="110" t="inlineStr">
        <is>
          <t>Entrada</t>
        </is>
      </c>
      <c r="E1232" s="110" t="inlineStr">
        <is>
          <t>Vendas</t>
        </is>
      </c>
      <c r="F1232" s="111" t="n">
        <v>1844</v>
      </c>
      <c r="G1232" s="104" t="inlineStr">
        <is>
          <t>08/2026</t>
        </is>
      </c>
      <c r="H1232" s="104" t="inlineStr">
        <is>
          <t>CODI</t>
        </is>
      </c>
    </row>
    <row r="1233">
      <c r="B1233" s="109" t="n">
        <v>46235</v>
      </c>
      <c r="C1233" s="110" t="inlineStr">
        <is>
          <t>Vendas - 08/2026</t>
        </is>
      </c>
      <c r="D1233" s="110" t="inlineStr">
        <is>
          <t>Entrada</t>
        </is>
      </c>
      <c r="E1233" s="110" t="inlineStr">
        <is>
          <t>Vendas</t>
        </is>
      </c>
      <c r="F1233" s="111" t="n">
        <v>1650</v>
      </c>
      <c r="G1233" s="104" t="inlineStr">
        <is>
          <t>08/2026</t>
        </is>
      </c>
      <c r="H1233" s="104" t="inlineStr">
        <is>
          <t>CODI</t>
        </is>
      </c>
    </row>
    <row r="1234">
      <c r="B1234" s="109" t="n">
        <v>46235</v>
      </c>
      <c r="C1234" s="110" t="inlineStr">
        <is>
          <t>Vendas - 08/2026</t>
        </is>
      </c>
      <c r="D1234" s="110" t="inlineStr">
        <is>
          <t>Entrada</t>
        </is>
      </c>
      <c r="E1234" s="110" t="inlineStr">
        <is>
          <t>Vendas</t>
        </is>
      </c>
      <c r="F1234" s="111" t="n">
        <v>2415.3</v>
      </c>
      <c r="G1234" s="104" t="inlineStr">
        <is>
          <t>08/2026</t>
        </is>
      </c>
      <c r="H1234" s="104" t="inlineStr">
        <is>
          <t>CODI</t>
        </is>
      </c>
    </row>
    <row r="1235">
      <c r="B1235" s="109" t="n">
        <v>46235</v>
      </c>
      <c r="C1235" s="110" t="inlineStr">
        <is>
          <t>Vendas - 08/2026</t>
        </is>
      </c>
      <c r="D1235" s="110" t="inlineStr">
        <is>
          <t>Entrada</t>
        </is>
      </c>
      <c r="E1235" s="110" t="inlineStr">
        <is>
          <t>Vendas</t>
        </is>
      </c>
      <c r="F1235" s="111" t="n">
        <v>1145</v>
      </c>
      <c r="G1235" s="104" t="inlineStr">
        <is>
          <t>08/2026</t>
        </is>
      </c>
      <c r="H1235" s="104" t="inlineStr">
        <is>
          <t>CODI</t>
        </is>
      </c>
    </row>
    <row r="1236">
      <c r="B1236" s="109" t="n">
        <v>46235</v>
      </c>
      <c r="C1236" s="110" t="inlineStr">
        <is>
          <t>Vendas - 08/2026</t>
        </is>
      </c>
      <c r="D1236" s="110" t="inlineStr">
        <is>
          <t>Entrada</t>
        </is>
      </c>
      <c r="E1236" s="110" t="inlineStr">
        <is>
          <t>Vendas</t>
        </is>
      </c>
      <c r="F1236" s="111" t="n">
        <v>1470</v>
      </c>
      <c r="G1236" s="104" t="inlineStr">
        <is>
          <t>08/2026</t>
        </is>
      </c>
      <c r="H1236" s="104" t="inlineStr">
        <is>
          <t>CODI</t>
        </is>
      </c>
    </row>
    <row r="1237">
      <c r="B1237" s="109" t="n">
        <v>46235</v>
      </c>
      <c r="C1237" s="110" t="inlineStr">
        <is>
          <t>Vendas - 08/2026</t>
        </is>
      </c>
      <c r="D1237" s="110" t="inlineStr">
        <is>
          <t>Entrada</t>
        </is>
      </c>
      <c r="E1237" s="110" t="inlineStr">
        <is>
          <t>Vendas</t>
        </is>
      </c>
      <c r="F1237" s="111" t="n">
        <v>571.3</v>
      </c>
      <c r="G1237" s="104" t="inlineStr">
        <is>
          <t>08/2026</t>
        </is>
      </c>
      <c r="H1237" s="104" t="inlineStr">
        <is>
          <t>CODI</t>
        </is>
      </c>
    </row>
    <row r="1238">
      <c r="B1238" s="109" t="n">
        <v>46235</v>
      </c>
      <c r="C1238" s="110" t="inlineStr">
        <is>
          <t>Vendas - 08/2026</t>
        </is>
      </c>
      <c r="D1238" s="110" t="inlineStr">
        <is>
          <t>Entrada</t>
        </is>
      </c>
      <c r="E1238" s="110" t="inlineStr">
        <is>
          <t>Vendas</t>
        </is>
      </c>
      <c r="F1238" s="111" t="n">
        <v>350</v>
      </c>
      <c r="G1238" s="104" t="inlineStr">
        <is>
          <t>08/2026</t>
        </is>
      </c>
      <c r="H1238" s="104" t="inlineStr">
        <is>
          <t>CODI</t>
        </is>
      </c>
    </row>
    <row r="1239">
      <c r="B1239" s="109" t="n">
        <v>46235</v>
      </c>
      <c r="C1239" s="110" t="inlineStr">
        <is>
          <t>Vendas - 08/2026</t>
        </is>
      </c>
      <c r="D1239" s="110" t="inlineStr">
        <is>
          <t>Entrada</t>
        </is>
      </c>
      <c r="E1239" s="110" t="inlineStr">
        <is>
          <t>Vendas</t>
        </is>
      </c>
      <c r="F1239" s="111" t="n">
        <v>1380</v>
      </c>
      <c r="G1239" s="104" t="inlineStr">
        <is>
          <t>08/2026</t>
        </is>
      </c>
      <c r="H1239" s="104" t="inlineStr">
        <is>
          <t>CODI</t>
        </is>
      </c>
    </row>
    <row r="1240">
      <c r="B1240" s="109" t="n">
        <v>46235</v>
      </c>
      <c r="C1240" s="110" t="inlineStr">
        <is>
          <t>Vendas - 08/2026</t>
        </is>
      </c>
      <c r="D1240" s="110" t="inlineStr">
        <is>
          <t>Entrada</t>
        </is>
      </c>
      <c r="E1240" s="110" t="inlineStr">
        <is>
          <t>Vendas</t>
        </is>
      </c>
      <c r="F1240" s="111" t="n">
        <v>2170</v>
      </c>
      <c r="G1240" s="104" t="inlineStr">
        <is>
          <t>08/2026</t>
        </is>
      </c>
      <c r="H1240" s="104" t="inlineStr">
        <is>
          <t>CODI</t>
        </is>
      </c>
    </row>
    <row r="1241">
      <c r="B1241" s="109" t="n">
        <v>46235</v>
      </c>
      <c r="C1241" s="110" t="inlineStr">
        <is>
          <t>Vendas - 08/2026</t>
        </is>
      </c>
      <c r="D1241" s="110" t="inlineStr">
        <is>
          <t>Entrada</t>
        </is>
      </c>
      <c r="E1241" s="110" t="inlineStr">
        <is>
          <t>Vendas</t>
        </is>
      </c>
      <c r="F1241" s="111" t="n">
        <v>874.8</v>
      </c>
      <c r="G1241" s="104" t="inlineStr">
        <is>
          <t>08/2026</t>
        </is>
      </c>
      <c r="H1241" s="104" t="inlineStr">
        <is>
          <t>CODI</t>
        </is>
      </c>
    </row>
    <row r="1242">
      <c r="B1242" s="109" t="n">
        <v>46235</v>
      </c>
      <c r="C1242" s="110" t="inlineStr">
        <is>
          <t>Vendas - 08/2026</t>
        </is>
      </c>
      <c r="D1242" s="110" t="inlineStr">
        <is>
          <t>Entrada</t>
        </is>
      </c>
      <c r="E1242" s="110" t="inlineStr">
        <is>
          <t>Vendas</t>
        </is>
      </c>
      <c r="F1242" s="111" t="n">
        <v>4019.57</v>
      </c>
      <c r="G1242" s="104" t="inlineStr">
        <is>
          <t>08/2026</t>
        </is>
      </c>
      <c r="H1242" s="104" t="inlineStr">
        <is>
          <t>CODI</t>
        </is>
      </c>
    </row>
    <row r="1243">
      <c r="B1243" s="109" t="n">
        <v>46235</v>
      </c>
      <c r="C1243" s="110" t="inlineStr">
        <is>
          <t>Vendas - 08/2026</t>
        </is>
      </c>
      <c r="D1243" s="110" t="inlineStr">
        <is>
          <t>Entrada</t>
        </is>
      </c>
      <c r="E1243" s="110" t="inlineStr">
        <is>
          <t>Vendas</t>
        </is>
      </c>
      <c r="F1243" s="111" t="n">
        <v>1168.75</v>
      </c>
      <c r="G1243" s="104" t="inlineStr">
        <is>
          <t>08/2026</t>
        </is>
      </c>
      <c r="H1243" s="104" t="inlineStr">
        <is>
          <t>CODI</t>
        </is>
      </c>
    </row>
    <row r="1244">
      <c r="B1244" s="109" t="n">
        <v>46235</v>
      </c>
      <c r="C1244" s="110" t="inlineStr">
        <is>
          <t>Vendas - 08/2026</t>
        </is>
      </c>
      <c r="D1244" s="110" t="inlineStr">
        <is>
          <t>Entrada</t>
        </is>
      </c>
      <c r="E1244" s="110" t="inlineStr">
        <is>
          <t>Vendas</t>
        </is>
      </c>
      <c r="F1244" s="111" t="n">
        <v>1175.81</v>
      </c>
      <c r="G1244" s="104" t="inlineStr">
        <is>
          <t>08/2026</t>
        </is>
      </c>
      <c r="H1244" s="104" t="inlineStr">
        <is>
          <t>CODI</t>
        </is>
      </c>
    </row>
    <row r="1245">
      <c r="B1245" s="109" t="n">
        <v>46235</v>
      </c>
      <c r="C1245" s="110" t="inlineStr">
        <is>
          <t>Vendas - 08/2026</t>
        </is>
      </c>
      <c r="D1245" s="110" t="inlineStr">
        <is>
          <t>Entrada</t>
        </is>
      </c>
      <c r="E1245" s="110" t="inlineStr">
        <is>
          <t>Vendas</t>
        </is>
      </c>
      <c r="F1245" s="111" t="n">
        <v>605</v>
      </c>
      <c r="G1245" s="104" t="inlineStr">
        <is>
          <t>08/2026</t>
        </is>
      </c>
      <c r="H1245" s="104" t="inlineStr">
        <is>
          <t>CODI</t>
        </is>
      </c>
    </row>
    <row r="1246">
      <c r="B1246" s="109" t="n">
        <v>46235</v>
      </c>
      <c r="C1246" s="110" t="inlineStr">
        <is>
          <t>Vendas - 08/2026</t>
        </is>
      </c>
      <c r="D1246" s="110" t="inlineStr">
        <is>
          <t>Entrada</t>
        </is>
      </c>
      <c r="E1246" s="110" t="inlineStr">
        <is>
          <t>Vendas</t>
        </is>
      </c>
      <c r="F1246" s="111" t="n">
        <v>2000</v>
      </c>
      <c r="G1246" s="104" t="inlineStr">
        <is>
          <t>08/2026</t>
        </is>
      </c>
      <c r="H1246" s="104" t="inlineStr">
        <is>
          <t>CODI</t>
        </is>
      </c>
    </row>
    <row r="1247">
      <c r="B1247" s="109" t="n">
        <v>46235</v>
      </c>
      <c r="C1247" s="110" t="inlineStr">
        <is>
          <t>Vendas - 08/2026</t>
        </is>
      </c>
      <c r="D1247" s="110" t="inlineStr">
        <is>
          <t>Entrada</t>
        </is>
      </c>
      <c r="E1247" s="110" t="inlineStr">
        <is>
          <t>Vendas</t>
        </is>
      </c>
      <c r="F1247" s="111" t="n">
        <v>418.3</v>
      </c>
      <c r="G1247" s="104" t="inlineStr">
        <is>
          <t>08/2026</t>
        </is>
      </c>
      <c r="H1247" s="104" t="inlineStr">
        <is>
          <t>CODI</t>
        </is>
      </c>
    </row>
    <row r="1248">
      <c r="B1248" s="109" t="n">
        <v>46235</v>
      </c>
      <c r="C1248" s="110" t="inlineStr">
        <is>
          <t>Vendas - 08/2026</t>
        </is>
      </c>
      <c r="D1248" s="110" t="inlineStr">
        <is>
          <t>Entrada</t>
        </is>
      </c>
      <c r="E1248" s="110" t="inlineStr">
        <is>
          <t>Vendas</t>
        </is>
      </c>
      <c r="F1248" s="111" t="n">
        <v>2412.45</v>
      </c>
      <c r="G1248" s="104" t="inlineStr">
        <is>
          <t>08/2026</t>
        </is>
      </c>
      <c r="H1248" s="104" t="inlineStr">
        <is>
          <t>CODI</t>
        </is>
      </c>
    </row>
    <row r="1249">
      <c r="B1249" s="109" t="n">
        <v>46235</v>
      </c>
      <c r="C1249" s="110" t="inlineStr">
        <is>
          <t>Vendas - 08/2026</t>
        </is>
      </c>
      <c r="D1249" s="110" t="inlineStr">
        <is>
          <t>Entrada</t>
        </is>
      </c>
      <c r="E1249" s="110" t="inlineStr">
        <is>
          <t>Vendas</t>
        </is>
      </c>
      <c r="F1249" s="111" t="n">
        <v>1654.55</v>
      </c>
      <c r="G1249" s="104" t="inlineStr">
        <is>
          <t>08/2026</t>
        </is>
      </c>
      <c r="H1249" s="104" t="inlineStr">
        <is>
          <t>CODI</t>
        </is>
      </c>
    </row>
    <row r="1250">
      <c r="B1250" s="109" t="n">
        <v>46235</v>
      </c>
      <c r="C1250" s="110" t="inlineStr">
        <is>
          <t>Vendas - 08/2026</t>
        </is>
      </c>
      <c r="D1250" s="110" t="inlineStr">
        <is>
          <t>Entrada</t>
        </is>
      </c>
      <c r="E1250" s="110" t="inlineStr">
        <is>
          <t>Vendas</t>
        </is>
      </c>
      <c r="F1250" s="111" t="n">
        <v>2970</v>
      </c>
      <c r="G1250" s="104" t="inlineStr">
        <is>
          <t>08/2026</t>
        </is>
      </c>
      <c r="H1250" s="104" t="inlineStr">
        <is>
          <t>CODI</t>
        </is>
      </c>
    </row>
    <row r="1251">
      <c r="B1251" s="109" t="n">
        <v>46235</v>
      </c>
      <c r="C1251" s="110" t="inlineStr">
        <is>
          <t>Vendas - 08/2026</t>
        </is>
      </c>
      <c r="D1251" s="110" t="inlineStr">
        <is>
          <t>Entrada</t>
        </is>
      </c>
      <c r="E1251" s="110" t="inlineStr">
        <is>
          <t>Vendas</t>
        </is>
      </c>
      <c r="F1251" s="111" t="n">
        <v>1632</v>
      </c>
      <c r="G1251" s="104" t="inlineStr">
        <is>
          <t>08/2026</t>
        </is>
      </c>
      <c r="H1251" s="104" t="inlineStr">
        <is>
          <t>CODI</t>
        </is>
      </c>
    </row>
    <row r="1252">
      <c r="B1252" s="109" t="n">
        <v>46235</v>
      </c>
      <c r="C1252" s="110" t="inlineStr">
        <is>
          <t>Vendas - 08/2026</t>
        </is>
      </c>
      <c r="D1252" s="110" t="inlineStr">
        <is>
          <t>Entrada</t>
        </is>
      </c>
      <c r="E1252" s="110" t="inlineStr">
        <is>
          <t>Vendas</t>
        </is>
      </c>
      <c r="F1252" s="111" t="n">
        <v>704</v>
      </c>
      <c r="G1252" s="104" t="inlineStr">
        <is>
          <t>08/2026</t>
        </is>
      </c>
      <c r="H1252" s="104" t="inlineStr">
        <is>
          <t>CODI</t>
        </is>
      </c>
    </row>
    <row r="1253">
      <c r="B1253" s="109" t="n">
        <v>46235</v>
      </c>
      <c r="C1253" s="110" t="inlineStr">
        <is>
          <t>Vendas - 08/2026</t>
        </is>
      </c>
      <c r="D1253" s="110" t="inlineStr">
        <is>
          <t>Entrada</t>
        </is>
      </c>
      <c r="E1253" s="110" t="inlineStr">
        <is>
          <t>Vendas</t>
        </is>
      </c>
      <c r="F1253" s="111" t="n">
        <v>560</v>
      </c>
      <c r="G1253" s="104" t="inlineStr">
        <is>
          <t>08/2026</t>
        </is>
      </c>
      <c r="H1253" s="104" t="inlineStr">
        <is>
          <t>CODI</t>
        </is>
      </c>
    </row>
    <row r="1254">
      <c r="B1254" s="109" t="n">
        <v>46235</v>
      </c>
      <c r="C1254" s="110" t="inlineStr">
        <is>
          <t>Vendas - 08/2026</t>
        </is>
      </c>
      <c r="D1254" s="110" t="inlineStr">
        <is>
          <t>Entrada</t>
        </is>
      </c>
      <c r="E1254" s="110" t="inlineStr">
        <is>
          <t>Vendas</t>
        </is>
      </c>
      <c r="F1254" s="111" t="n">
        <v>1036.8</v>
      </c>
      <c r="G1254" s="104" t="inlineStr">
        <is>
          <t>08/2026</t>
        </is>
      </c>
      <c r="H1254" s="104" t="inlineStr">
        <is>
          <t>CODI</t>
        </is>
      </c>
    </row>
    <row r="1255">
      <c r="B1255" s="109" t="n">
        <v>46235</v>
      </c>
      <c r="C1255" s="110" t="inlineStr">
        <is>
          <t>Vendas - 08/2026</t>
        </is>
      </c>
      <c r="D1255" s="110" t="inlineStr">
        <is>
          <t>Entrada</t>
        </is>
      </c>
      <c r="E1255" s="110" t="inlineStr">
        <is>
          <t>Vendas</t>
        </is>
      </c>
      <c r="F1255" s="111" t="n">
        <v>506.67</v>
      </c>
      <c r="G1255" s="104" t="inlineStr">
        <is>
          <t>08/2026</t>
        </is>
      </c>
      <c r="H1255" s="104" t="inlineStr">
        <is>
          <t>CODI</t>
        </is>
      </c>
    </row>
    <row r="1256">
      <c r="B1256" s="109" t="n">
        <v>46235</v>
      </c>
      <c r="C1256" s="110" t="inlineStr">
        <is>
          <t>Vendas - 08/2026</t>
        </is>
      </c>
      <c r="D1256" s="110" t="inlineStr">
        <is>
          <t>Entrada</t>
        </is>
      </c>
      <c r="E1256" s="110" t="inlineStr">
        <is>
          <t>Vendas</t>
        </is>
      </c>
      <c r="F1256" s="111" t="n">
        <v>1973.33</v>
      </c>
      <c r="G1256" s="104" t="inlineStr">
        <is>
          <t>08/2026</t>
        </is>
      </c>
      <c r="H1256" s="104" t="inlineStr">
        <is>
          <t>CODI</t>
        </is>
      </c>
    </row>
    <row r="1257">
      <c r="B1257" s="109" t="n">
        <v>46235</v>
      </c>
      <c r="C1257" s="110" t="inlineStr">
        <is>
          <t>Vendas - 08/2026</t>
        </is>
      </c>
      <c r="D1257" s="110" t="inlineStr">
        <is>
          <t>Entrada</t>
        </is>
      </c>
      <c r="E1257" s="110" t="inlineStr">
        <is>
          <t>Vendas</t>
        </is>
      </c>
      <c r="F1257" s="111" t="n">
        <v>516.96</v>
      </c>
      <c r="G1257" s="104" t="inlineStr">
        <is>
          <t>08/2026</t>
        </is>
      </c>
      <c r="H1257" s="104" t="inlineStr">
        <is>
          <t>CODI</t>
        </is>
      </c>
    </row>
    <row r="1258">
      <c r="B1258" s="109" t="n">
        <v>46235</v>
      </c>
      <c r="C1258" s="110" t="inlineStr">
        <is>
          <t>Vendas - 08/2026</t>
        </is>
      </c>
      <c r="D1258" s="110" t="inlineStr">
        <is>
          <t>Entrada</t>
        </is>
      </c>
      <c r="E1258" s="110" t="inlineStr">
        <is>
          <t>Vendas</t>
        </is>
      </c>
      <c r="F1258" s="111" t="n">
        <v>1055.81</v>
      </c>
      <c r="G1258" s="104" t="inlineStr">
        <is>
          <t>08/2026</t>
        </is>
      </c>
      <c r="H1258" s="104" t="inlineStr">
        <is>
          <t>CODI</t>
        </is>
      </c>
    </row>
    <row r="1259">
      <c r="B1259" s="109" t="n">
        <v>46235</v>
      </c>
      <c r="C1259" s="110" t="inlineStr">
        <is>
          <t>Vendas - 08/2026</t>
        </is>
      </c>
      <c r="D1259" s="110" t="inlineStr">
        <is>
          <t>Entrada</t>
        </is>
      </c>
      <c r="E1259" s="110" t="inlineStr">
        <is>
          <t>Vendas</t>
        </is>
      </c>
      <c r="F1259" s="111" t="n">
        <v>2230</v>
      </c>
      <c r="G1259" s="104" t="inlineStr">
        <is>
          <t>08/2026</t>
        </is>
      </c>
      <c r="H1259" s="104" t="inlineStr">
        <is>
          <t>CODI</t>
        </is>
      </c>
    </row>
    <row r="1260">
      <c r="B1260" s="109" t="n">
        <v>46235</v>
      </c>
      <c r="C1260" s="110" t="inlineStr">
        <is>
          <t>Vendas - 08/2026</t>
        </is>
      </c>
      <c r="D1260" s="110" t="inlineStr">
        <is>
          <t>Entrada</t>
        </is>
      </c>
      <c r="E1260" s="110" t="inlineStr">
        <is>
          <t>Vendas</t>
        </is>
      </c>
      <c r="F1260" s="111" t="n">
        <v>658</v>
      </c>
      <c r="G1260" s="104" t="inlineStr">
        <is>
          <t>08/2026</t>
        </is>
      </c>
      <c r="H1260" s="104" t="inlineStr">
        <is>
          <t>CODI</t>
        </is>
      </c>
    </row>
    <row r="1261">
      <c r="B1261" s="109" t="n">
        <v>46235</v>
      </c>
      <c r="C1261" s="110" t="inlineStr">
        <is>
          <t>Vendas - 08/2026</t>
        </is>
      </c>
      <c r="D1261" s="110" t="inlineStr">
        <is>
          <t>Entrada</t>
        </is>
      </c>
      <c r="E1261" s="110" t="inlineStr">
        <is>
          <t>Vendas</t>
        </is>
      </c>
      <c r="F1261" s="111" t="n">
        <v>13020</v>
      </c>
      <c r="G1261" s="104" t="inlineStr">
        <is>
          <t>08/2026</t>
        </is>
      </c>
      <c r="H1261" s="104" t="inlineStr">
        <is>
          <t>CODI</t>
        </is>
      </c>
    </row>
    <row r="1262">
      <c r="B1262" s="109" t="n">
        <v>46235</v>
      </c>
      <c r="C1262" s="110" t="inlineStr">
        <is>
          <t>Vendas - 08/2026</t>
        </is>
      </c>
      <c r="D1262" s="110" t="inlineStr">
        <is>
          <t>Entrada</t>
        </is>
      </c>
      <c r="E1262" s="110" t="inlineStr">
        <is>
          <t>Vendas</t>
        </is>
      </c>
      <c r="F1262" s="111" t="n">
        <v>14000</v>
      </c>
      <c r="G1262" s="104" t="inlineStr">
        <is>
          <t>08/2026</t>
        </is>
      </c>
      <c r="H1262" s="104" t="inlineStr">
        <is>
          <t>CODI</t>
        </is>
      </c>
    </row>
    <row r="1263">
      <c r="B1263" s="109" t="n">
        <v>46235</v>
      </c>
      <c r="C1263" s="110" t="inlineStr">
        <is>
          <t>Vendas - 08/2026</t>
        </is>
      </c>
      <c r="D1263" s="110" t="inlineStr">
        <is>
          <t>Entrada</t>
        </is>
      </c>
      <c r="E1263" s="110" t="inlineStr">
        <is>
          <t>Vendas</t>
        </is>
      </c>
      <c r="F1263" s="111" t="n">
        <v>2040</v>
      </c>
      <c r="G1263" s="104" t="inlineStr">
        <is>
          <t>08/2026</t>
        </is>
      </c>
      <c r="H1263" s="104" t="inlineStr">
        <is>
          <t>CODI</t>
        </is>
      </c>
    </row>
    <row r="1264">
      <c r="B1264" s="109" t="n">
        <v>46235</v>
      </c>
      <c r="C1264" s="110" t="inlineStr">
        <is>
          <t>Vendas - 08/2026</t>
        </is>
      </c>
      <c r="D1264" s="110" t="inlineStr">
        <is>
          <t>Entrada</t>
        </is>
      </c>
      <c r="E1264" s="110" t="inlineStr">
        <is>
          <t>Vendas</t>
        </is>
      </c>
      <c r="F1264" s="111" t="n">
        <v>5570</v>
      </c>
      <c r="G1264" s="104" t="inlineStr">
        <is>
          <t>08/2026</t>
        </is>
      </c>
      <c r="H1264" s="104" t="inlineStr">
        <is>
          <t>CODI</t>
        </is>
      </c>
    </row>
    <row r="1265">
      <c r="B1265" s="109" t="n">
        <v>46235</v>
      </c>
      <c r="C1265" s="110" t="inlineStr">
        <is>
          <t>Vendas - 08/2026</t>
        </is>
      </c>
      <c r="D1265" s="110" t="inlineStr">
        <is>
          <t>Entrada</t>
        </is>
      </c>
      <c r="E1265" s="110" t="inlineStr">
        <is>
          <t>Vendas</t>
        </is>
      </c>
      <c r="F1265" s="111" t="n">
        <v>3940</v>
      </c>
      <c r="G1265" s="104" t="inlineStr">
        <is>
          <t>08/2026</t>
        </is>
      </c>
      <c r="H1265" s="104" t="inlineStr">
        <is>
          <t>CODI</t>
        </is>
      </c>
    </row>
    <row r="1266">
      <c r="B1266" s="109" t="n">
        <v>46235</v>
      </c>
      <c r="C1266" s="110" t="inlineStr">
        <is>
          <t>Vendas - 08/2026</t>
        </is>
      </c>
      <c r="D1266" s="110" t="inlineStr">
        <is>
          <t>Entrada</t>
        </is>
      </c>
      <c r="E1266" s="110" t="inlineStr">
        <is>
          <t>Vendas</t>
        </is>
      </c>
      <c r="F1266" s="111" t="n">
        <v>795</v>
      </c>
      <c r="G1266" s="104" t="inlineStr">
        <is>
          <t>08/2026</t>
        </is>
      </c>
      <c r="H1266" s="104" t="inlineStr">
        <is>
          <t>CODI</t>
        </is>
      </c>
    </row>
    <row r="1267">
      <c r="B1267" s="109" t="n">
        <v>46235</v>
      </c>
      <c r="C1267" s="110" t="inlineStr">
        <is>
          <t>Vendas - 08/2026</t>
        </is>
      </c>
      <c r="D1267" s="110" t="inlineStr">
        <is>
          <t>Entrada</t>
        </is>
      </c>
      <c r="E1267" s="110" t="inlineStr">
        <is>
          <t>Vendas</t>
        </is>
      </c>
      <c r="F1267" s="111" t="n">
        <v>3245</v>
      </c>
      <c r="G1267" s="104" t="inlineStr">
        <is>
          <t>08/2026</t>
        </is>
      </c>
      <c r="H1267" s="104" t="inlineStr">
        <is>
          <t>CODI</t>
        </is>
      </c>
    </row>
    <row r="1268">
      <c r="B1268" s="109" t="n">
        <v>46235</v>
      </c>
      <c r="C1268" s="110" t="inlineStr">
        <is>
          <t>Vendas - 08/2026</t>
        </is>
      </c>
      <c r="D1268" s="110" t="inlineStr">
        <is>
          <t>Entrada</t>
        </is>
      </c>
      <c r="E1268" s="110" t="inlineStr">
        <is>
          <t>Vendas</t>
        </is>
      </c>
      <c r="F1268" s="111" t="n">
        <v>5082.5</v>
      </c>
      <c r="G1268" s="104" t="inlineStr">
        <is>
          <t>08/2026</t>
        </is>
      </c>
      <c r="H1268" s="104" t="inlineStr">
        <is>
          <t>CODI</t>
        </is>
      </c>
    </row>
    <row r="1269">
      <c r="B1269" s="109" t="n">
        <v>46235</v>
      </c>
      <c r="C1269" s="110" t="inlineStr">
        <is>
          <t>Vendas - 08/2026</t>
        </is>
      </c>
      <c r="D1269" s="110" t="inlineStr">
        <is>
          <t>Entrada</t>
        </is>
      </c>
      <c r="E1269" s="110" t="inlineStr">
        <is>
          <t>Vendas</t>
        </is>
      </c>
      <c r="F1269" s="111" t="n">
        <v>1665</v>
      </c>
      <c r="G1269" s="104" t="inlineStr">
        <is>
          <t>08/2026</t>
        </is>
      </c>
      <c r="H1269" s="104" t="inlineStr">
        <is>
          <t>CODI</t>
        </is>
      </c>
    </row>
    <row r="1270">
      <c r="B1270" s="109" t="n">
        <v>46235</v>
      </c>
      <c r="C1270" s="110" t="inlineStr">
        <is>
          <t>Vendas - 08/2026</t>
        </is>
      </c>
      <c r="D1270" s="110" t="inlineStr">
        <is>
          <t>Entrada</t>
        </is>
      </c>
      <c r="E1270" s="110" t="inlineStr">
        <is>
          <t>Vendas</t>
        </is>
      </c>
      <c r="F1270" s="111" t="n">
        <v>3380</v>
      </c>
      <c r="G1270" s="104" t="inlineStr">
        <is>
          <t>08/2026</t>
        </is>
      </c>
      <c r="H1270" s="104" t="inlineStr">
        <is>
          <t>CODI</t>
        </is>
      </c>
    </row>
    <row r="1271">
      <c r="B1271" s="109" t="n">
        <v>46235</v>
      </c>
      <c r="C1271" s="110" t="inlineStr">
        <is>
          <t>Vendas - 08/2026</t>
        </is>
      </c>
      <c r="D1271" s="110" t="inlineStr">
        <is>
          <t>Entrada</t>
        </is>
      </c>
      <c r="E1271" s="110" t="inlineStr">
        <is>
          <t>Vendas</t>
        </is>
      </c>
      <c r="F1271" s="111" t="n">
        <v>2475</v>
      </c>
      <c r="G1271" s="104" t="inlineStr">
        <is>
          <t>08/2026</t>
        </is>
      </c>
      <c r="H1271" s="104" t="inlineStr">
        <is>
          <t>CODI</t>
        </is>
      </c>
    </row>
    <row r="1272">
      <c r="B1272" s="109" t="n">
        <v>46235</v>
      </c>
      <c r="C1272" s="110" t="inlineStr">
        <is>
          <t>Vendas - 08/2026</t>
        </is>
      </c>
      <c r="D1272" s="110" t="inlineStr">
        <is>
          <t>Entrada</t>
        </is>
      </c>
      <c r="E1272" s="110" t="inlineStr">
        <is>
          <t>Vendas</t>
        </is>
      </c>
      <c r="F1272" s="111" t="n">
        <v>1385</v>
      </c>
      <c r="G1272" s="104" t="inlineStr">
        <is>
          <t>08/2026</t>
        </is>
      </c>
      <c r="H1272" s="104" t="inlineStr">
        <is>
          <t>CODI</t>
        </is>
      </c>
    </row>
    <row r="1273">
      <c r="B1273" s="109" t="n">
        <v>46235</v>
      </c>
      <c r="C1273" s="110" t="inlineStr">
        <is>
          <t>Vendas - 08/2026</t>
        </is>
      </c>
      <c r="D1273" s="110" t="inlineStr">
        <is>
          <t>Entrada</t>
        </is>
      </c>
      <c r="E1273" s="110" t="inlineStr">
        <is>
          <t>Vendas</t>
        </is>
      </c>
      <c r="F1273" s="111" t="n">
        <v>1105</v>
      </c>
      <c r="G1273" s="104" t="inlineStr">
        <is>
          <t>08/2026</t>
        </is>
      </c>
      <c r="H1273" s="104" t="inlineStr">
        <is>
          <t>CODI</t>
        </is>
      </c>
    </row>
    <row r="1274">
      <c r="B1274" s="109" t="n">
        <v>46235</v>
      </c>
      <c r="C1274" s="110" t="inlineStr">
        <is>
          <t>Vendas - 08/2026</t>
        </is>
      </c>
      <c r="D1274" s="110" t="inlineStr">
        <is>
          <t>Entrada</t>
        </is>
      </c>
      <c r="E1274" s="110" t="inlineStr">
        <is>
          <t>Vendas</t>
        </is>
      </c>
      <c r="F1274" s="111" t="n">
        <v>1650</v>
      </c>
      <c r="G1274" s="104" t="inlineStr">
        <is>
          <t>08/2026</t>
        </is>
      </c>
      <c r="H1274" s="104" t="inlineStr">
        <is>
          <t>CODI</t>
        </is>
      </c>
    </row>
    <row r="1275">
      <c r="B1275" s="109" t="n">
        <v>46235</v>
      </c>
      <c r="C1275" s="110" t="inlineStr">
        <is>
          <t>Vendas - 08/2026</t>
        </is>
      </c>
      <c r="D1275" s="110" t="inlineStr">
        <is>
          <t>Entrada</t>
        </is>
      </c>
      <c r="E1275" s="110" t="inlineStr">
        <is>
          <t>Vendas</t>
        </is>
      </c>
      <c r="F1275" s="111" t="n">
        <v>4445</v>
      </c>
      <c r="G1275" s="104" t="inlineStr">
        <is>
          <t>08/2026</t>
        </is>
      </c>
      <c r="H1275" s="104" t="inlineStr">
        <is>
          <t>CODI</t>
        </is>
      </c>
    </row>
    <row r="1276">
      <c r="B1276" s="109" t="n">
        <v>46235</v>
      </c>
      <c r="C1276" s="110" t="inlineStr">
        <is>
          <t>Vendas - 08/2026</t>
        </is>
      </c>
      <c r="D1276" s="110" t="inlineStr">
        <is>
          <t>Entrada</t>
        </is>
      </c>
      <c r="E1276" s="110" t="inlineStr">
        <is>
          <t>Vendas</t>
        </is>
      </c>
      <c r="F1276" s="111" t="n">
        <v>4146</v>
      </c>
      <c r="G1276" s="104" t="inlineStr">
        <is>
          <t>08/2026</t>
        </is>
      </c>
      <c r="H1276" s="104" t="inlineStr">
        <is>
          <t>CODI</t>
        </is>
      </c>
    </row>
    <row r="1277">
      <c r="B1277" s="109" t="n">
        <v>46235</v>
      </c>
      <c r="C1277" s="110" t="inlineStr">
        <is>
          <t>Vendas - 08/2026</t>
        </is>
      </c>
      <c r="D1277" s="110" t="inlineStr">
        <is>
          <t>Entrada</t>
        </is>
      </c>
      <c r="E1277" s="110" t="inlineStr">
        <is>
          <t>Vendas</t>
        </is>
      </c>
      <c r="F1277" s="111" t="n">
        <v>3228.36</v>
      </c>
      <c r="G1277" s="104" t="inlineStr">
        <is>
          <t>08/2026</t>
        </is>
      </c>
      <c r="H1277" s="104" t="inlineStr">
        <is>
          <t>CODI</t>
        </is>
      </c>
    </row>
    <row r="1278">
      <c r="B1278" s="109" t="n">
        <v>46235</v>
      </c>
      <c r="C1278" s="110" t="inlineStr">
        <is>
          <t>Vendas - 08/2026</t>
        </is>
      </c>
      <c r="D1278" s="110" t="inlineStr">
        <is>
          <t>Entrada</t>
        </is>
      </c>
      <c r="E1278" s="110" t="inlineStr">
        <is>
          <t>Vendas</t>
        </is>
      </c>
      <c r="F1278" s="111" t="n">
        <v>6865</v>
      </c>
      <c r="G1278" s="104" t="inlineStr">
        <is>
          <t>08/2026</t>
        </is>
      </c>
      <c r="H1278" s="104" t="inlineStr">
        <is>
          <t>CODI</t>
        </is>
      </c>
    </row>
    <row r="1279">
      <c r="B1279" s="109" t="n">
        <v>46235</v>
      </c>
      <c r="C1279" s="110" t="inlineStr">
        <is>
          <t>Vendas - 08/2026</t>
        </is>
      </c>
      <c r="D1279" s="110" t="inlineStr">
        <is>
          <t>Entrada</t>
        </is>
      </c>
      <c r="E1279" s="110" t="inlineStr">
        <is>
          <t>Vendas</t>
        </is>
      </c>
      <c r="F1279" s="111" t="n">
        <v>1195</v>
      </c>
      <c r="G1279" s="104" t="inlineStr">
        <is>
          <t>08/2026</t>
        </is>
      </c>
      <c r="H1279" s="104" t="inlineStr">
        <is>
          <t>CODI</t>
        </is>
      </c>
    </row>
    <row r="1280">
      <c r="B1280" s="109" t="n">
        <v>46235</v>
      </c>
      <c r="C1280" s="110" t="inlineStr">
        <is>
          <t>Vendas - 08/2026</t>
        </is>
      </c>
      <c r="D1280" s="110" t="inlineStr">
        <is>
          <t>Entrada</t>
        </is>
      </c>
      <c r="E1280" s="110" t="inlineStr">
        <is>
          <t>Vendas</t>
        </is>
      </c>
      <c r="F1280" s="111" t="n">
        <v>1870</v>
      </c>
      <c r="G1280" s="104" t="inlineStr">
        <is>
          <t>08/2026</t>
        </is>
      </c>
      <c r="H1280" s="104" t="inlineStr">
        <is>
          <t>CODI</t>
        </is>
      </c>
    </row>
    <row r="1281">
      <c r="B1281" s="109" t="n">
        <v>46235</v>
      </c>
      <c r="C1281" s="110" t="inlineStr">
        <is>
          <t>Vendas - 08/2026</t>
        </is>
      </c>
      <c r="D1281" s="110" t="inlineStr">
        <is>
          <t>Entrada</t>
        </is>
      </c>
      <c r="E1281" s="110" t="inlineStr">
        <is>
          <t>Vendas</t>
        </is>
      </c>
      <c r="F1281" s="111" t="n">
        <v>2880</v>
      </c>
      <c r="G1281" s="104" t="inlineStr">
        <is>
          <t>08/2026</t>
        </is>
      </c>
      <c r="H1281" s="104" t="inlineStr">
        <is>
          <t>CODI</t>
        </is>
      </c>
    </row>
    <row r="1282">
      <c r="B1282" s="109" t="n">
        <v>46235</v>
      </c>
      <c r="C1282" s="110" t="inlineStr">
        <is>
          <t>Vendas - 08/2026</t>
        </is>
      </c>
      <c r="D1282" s="110" t="inlineStr">
        <is>
          <t>Entrada</t>
        </is>
      </c>
      <c r="E1282" s="110" t="inlineStr">
        <is>
          <t>Vendas</t>
        </is>
      </c>
      <c r="F1282" s="111" t="n">
        <v>3520</v>
      </c>
      <c r="G1282" s="104" t="inlineStr">
        <is>
          <t>08/2026</t>
        </is>
      </c>
      <c r="H1282" s="104" t="inlineStr">
        <is>
          <t>CODI</t>
        </is>
      </c>
    </row>
    <row r="1283">
      <c r="B1283" s="109" t="n">
        <v>46235</v>
      </c>
      <c r="C1283" s="110" t="inlineStr">
        <is>
          <t>Vendas - 08/2026</t>
        </is>
      </c>
      <c r="D1283" s="110" t="inlineStr">
        <is>
          <t>Entrada</t>
        </is>
      </c>
      <c r="E1283" s="110" t="inlineStr">
        <is>
          <t>Vendas</t>
        </is>
      </c>
      <c r="F1283" s="111" t="n">
        <v>5110</v>
      </c>
      <c r="G1283" s="104" t="inlineStr">
        <is>
          <t>08/2026</t>
        </is>
      </c>
      <c r="H1283" s="104" t="inlineStr">
        <is>
          <t>CODI</t>
        </is>
      </c>
    </row>
    <row r="1284">
      <c r="B1284" s="109" t="n">
        <v>46235</v>
      </c>
      <c r="C1284" s="110" t="inlineStr">
        <is>
          <t>Vendas - 08/2026</t>
        </is>
      </c>
      <c r="D1284" s="110" t="inlineStr">
        <is>
          <t>Entrada</t>
        </is>
      </c>
      <c r="E1284" s="110" t="inlineStr">
        <is>
          <t>Vendas</t>
        </is>
      </c>
      <c r="F1284" s="111" t="n">
        <v>1615</v>
      </c>
      <c r="G1284" s="104" t="inlineStr">
        <is>
          <t>08/2026</t>
        </is>
      </c>
      <c r="H1284" s="104" t="inlineStr">
        <is>
          <t>CODI</t>
        </is>
      </c>
    </row>
    <row r="1285">
      <c r="B1285" s="109" t="n">
        <v>46235</v>
      </c>
      <c r="C1285" s="110" t="inlineStr">
        <is>
          <t>Vendas - 08/2026</t>
        </is>
      </c>
      <c r="D1285" s="110" t="inlineStr">
        <is>
          <t>Entrada</t>
        </is>
      </c>
      <c r="E1285" s="110" t="inlineStr">
        <is>
          <t>Vendas</t>
        </is>
      </c>
      <c r="F1285" s="111" t="n">
        <v>1375</v>
      </c>
      <c r="G1285" s="104" t="inlineStr">
        <is>
          <t>08/2026</t>
        </is>
      </c>
      <c r="H1285" s="104" t="inlineStr">
        <is>
          <t>CODI</t>
        </is>
      </c>
    </row>
    <row r="1286">
      <c r="B1286" s="109" t="n">
        <v>46235</v>
      </c>
      <c r="C1286" s="110" t="inlineStr">
        <is>
          <t>Vendas - 08/2026</t>
        </is>
      </c>
      <c r="D1286" s="110" t="inlineStr">
        <is>
          <t>Entrada</t>
        </is>
      </c>
      <c r="E1286" s="110" t="inlineStr">
        <is>
          <t>Vendas</t>
        </is>
      </c>
      <c r="F1286" s="111" t="n">
        <v>1430</v>
      </c>
      <c r="G1286" s="104" t="inlineStr">
        <is>
          <t>08/2026</t>
        </is>
      </c>
      <c r="H1286" s="104" t="inlineStr">
        <is>
          <t>CODI</t>
        </is>
      </c>
    </row>
    <row r="1287">
      <c r="B1287" s="109" t="n">
        <v>46235</v>
      </c>
      <c r="C1287" s="110" t="inlineStr">
        <is>
          <t>Vendas - 08/2026</t>
        </is>
      </c>
      <c r="D1287" s="110" t="inlineStr">
        <is>
          <t>Entrada</t>
        </is>
      </c>
      <c r="E1287" s="110" t="inlineStr">
        <is>
          <t>Vendas</t>
        </is>
      </c>
      <c r="F1287" s="111" t="n">
        <v>2105</v>
      </c>
      <c r="G1287" s="104" t="inlineStr">
        <is>
          <t>08/2026</t>
        </is>
      </c>
      <c r="H1287" s="104" t="inlineStr">
        <is>
          <t>CODI</t>
        </is>
      </c>
    </row>
    <row r="1288">
      <c r="B1288" s="109" t="n">
        <v>46235</v>
      </c>
      <c r="C1288" s="110" t="inlineStr">
        <is>
          <t>Vendas - 08/2026</t>
        </is>
      </c>
      <c r="D1288" s="110" t="inlineStr">
        <is>
          <t>Entrada</t>
        </is>
      </c>
      <c r="E1288" s="110" t="inlineStr">
        <is>
          <t>Vendas</t>
        </is>
      </c>
      <c r="F1288" s="111" t="n">
        <v>2815</v>
      </c>
      <c r="G1288" s="104" t="inlineStr">
        <is>
          <t>08/2026</t>
        </is>
      </c>
      <c r="H1288" s="104" t="inlineStr">
        <is>
          <t>CODI</t>
        </is>
      </c>
    </row>
    <row r="1289">
      <c r="B1289" s="109" t="n">
        <v>46235</v>
      </c>
      <c r="C1289" s="110" t="inlineStr">
        <is>
          <t>Vendas - 08/2026</t>
        </is>
      </c>
      <c r="D1289" s="110" t="inlineStr">
        <is>
          <t>Entrada</t>
        </is>
      </c>
      <c r="E1289" s="110" t="inlineStr">
        <is>
          <t>Vendas</t>
        </is>
      </c>
      <c r="F1289" s="111" t="n">
        <v>500</v>
      </c>
      <c r="G1289" s="104" t="inlineStr">
        <is>
          <t>08/2026</t>
        </is>
      </c>
      <c r="H1289" s="104" t="inlineStr">
        <is>
          <t>CODI</t>
        </is>
      </c>
    </row>
    <row r="1290">
      <c r="B1290" s="109" t="n">
        <v>46235</v>
      </c>
      <c r="C1290" s="110" t="inlineStr">
        <is>
          <t>Vendas - 08/2026</t>
        </is>
      </c>
      <c r="D1290" s="110" t="inlineStr">
        <is>
          <t>Entrada</t>
        </is>
      </c>
      <c r="E1290" s="110" t="inlineStr">
        <is>
          <t>Vendas</t>
        </is>
      </c>
      <c r="F1290" s="111" t="n">
        <v>5248.48</v>
      </c>
      <c r="G1290" s="104" t="inlineStr">
        <is>
          <t>08/2026</t>
        </is>
      </c>
      <c r="H1290" s="104" t="inlineStr">
        <is>
          <t>CODI</t>
        </is>
      </c>
    </row>
    <row r="1291">
      <c r="B1291" s="109" t="n">
        <v>46235</v>
      </c>
      <c r="C1291" s="110" t="inlineStr">
        <is>
          <t>Vendas - 08/2026</t>
        </is>
      </c>
      <c r="D1291" s="110" t="inlineStr">
        <is>
          <t>Entrada</t>
        </is>
      </c>
      <c r="E1291" s="110" t="inlineStr">
        <is>
          <t>Vendas</t>
        </is>
      </c>
      <c r="F1291" s="111" t="n">
        <v>6478.74</v>
      </c>
      <c r="G1291" s="104" t="inlineStr">
        <is>
          <t>08/2026</t>
        </is>
      </c>
      <c r="H1291" s="104" t="inlineStr">
        <is>
          <t>CODI</t>
        </is>
      </c>
    </row>
    <row r="1292">
      <c r="B1292" s="109" t="n">
        <v>46235</v>
      </c>
      <c r="C1292" s="110" t="inlineStr">
        <is>
          <t>Vendas - 08/2026</t>
        </is>
      </c>
      <c r="D1292" s="110" t="inlineStr">
        <is>
          <t>Entrada</t>
        </is>
      </c>
      <c r="E1292" s="110" t="inlineStr">
        <is>
          <t>Vendas</t>
        </is>
      </c>
      <c r="F1292" s="111" t="n">
        <v>5989.75</v>
      </c>
      <c r="G1292" s="104" t="inlineStr">
        <is>
          <t>08/2026</t>
        </is>
      </c>
      <c r="H1292" s="104" t="inlineStr">
        <is>
          <t>CODI</t>
        </is>
      </c>
    </row>
    <row r="1293">
      <c r="B1293" s="109" t="n">
        <v>46235</v>
      </c>
      <c r="C1293" s="110" t="inlineStr">
        <is>
          <t>Vendas - 08/2026</t>
        </is>
      </c>
      <c r="D1293" s="110" t="inlineStr">
        <is>
          <t>Entrada</t>
        </is>
      </c>
      <c r="E1293" s="110" t="inlineStr">
        <is>
          <t>Vendas</t>
        </is>
      </c>
      <c r="F1293" s="111" t="n">
        <v>6659.5</v>
      </c>
      <c r="G1293" s="104" t="inlineStr">
        <is>
          <t>08/2026</t>
        </is>
      </c>
      <c r="H1293" s="104" t="inlineStr">
        <is>
          <t>CODI</t>
        </is>
      </c>
    </row>
    <row r="1294">
      <c r="B1294" s="109" t="n">
        <v>46235</v>
      </c>
      <c r="C1294" s="110" t="inlineStr">
        <is>
          <t>Vendas - 08/2026</t>
        </is>
      </c>
      <c r="D1294" s="110" t="inlineStr">
        <is>
          <t>Entrada</t>
        </is>
      </c>
      <c r="E1294" s="110" t="inlineStr">
        <is>
          <t>Vendas</t>
        </is>
      </c>
      <c r="F1294" s="111" t="n">
        <v>5760</v>
      </c>
      <c r="G1294" s="104" t="inlineStr">
        <is>
          <t>08/2026</t>
        </is>
      </c>
      <c r="H1294" s="104" t="inlineStr">
        <is>
          <t>CODI</t>
        </is>
      </c>
    </row>
    <row r="1295">
      <c r="B1295" s="109" t="n">
        <v>46235</v>
      </c>
      <c r="C1295" s="110" t="inlineStr">
        <is>
          <t>Vendas - 08/2026</t>
        </is>
      </c>
      <c r="D1295" s="110" t="inlineStr">
        <is>
          <t>Entrada</t>
        </is>
      </c>
      <c r="E1295" s="110" t="inlineStr">
        <is>
          <t>Vendas</t>
        </is>
      </c>
      <c r="F1295" s="111" t="n">
        <v>179.1</v>
      </c>
      <c r="G1295" s="104" t="inlineStr">
        <is>
          <t>08/2026</t>
        </is>
      </c>
      <c r="H1295" s="104" t="inlineStr">
        <is>
          <t>CODI</t>
        </is>
      </c>
    </row>
    <row r="1296">
      <c r="B1296" s="109" t="n">
        <v>46235</v>
      </c>
      <c r="C1296" s="110" t="inlineStr">
        <is>
          <t>Vendas - 08/2026</t>
        </is>
      </c>
      <c r="D1296" s="110" t="inlineStr">
        <is>
          <t>Entrada</t>
        </is>
      </c>
      <c r="E1296" s="110" t="inlineStr">
        <is>
          <t>Vendas</t>
        </is>
      </c>
      <c r="F1296" s="111" t="n">
        <v>397.27</v>
      </c>
      <c r="G1296" s="104" t="inlineStr">
        <is>
          <t>08/2026</t>
        </is>
      </c>
      <c r="H1296" s="104" t="inlineStr">
        <is>
          <t>CODI</t>
        </is>
      </c>
    </row>
    <row r="1297">
      <c r="B1297" s="109" t="n">
        <v>46235</v>
      </c>
      <c r="C1297" s="110" t="inlineStr">
        <is>
          <t>Vendas - 08/2026</t>
        </is>
      </c>
      <c r="D1297" s="110" t="inlineStr">
        <is>
          <t>Entrada</t>
        </is>
      </c>
      <c r="E1297" s="110" t="inlineStr">
        <is>
          <t>Vendas</t>
        </is>
      </c>
      <c r="F1297" s="111" t="n">
        <v>206.78</v>
      </c>
      <c r="G1297" s="104" t="inlineStr">
        <is>
          <t>08/2026</t>
        </is>
      </c>
      <c r="H1297" s="104" t="inlineStr">
        <is>
          <t>CODI</t>
        </is>
      </c>
    </row>
    <row r="1298">
      <c r="B1298" s="109" t="n">
        <v>46235</v>
      </c>
      <c r="C1298" s="110" t="inlineStr">
        <is>
          <t>Vendas - 08/2026</t>
        </is>
      </c>
      <c r="D1298" s="110" t="inlineStr">
        <is>
          <t>Entrada</t>
        </is>
      </c>
      <c r="E1298" s="110" t="inlineStr">
        <is>
          <t>Vendas</t>
        </is>
      </c>
      <c r="F1298" s="111" t="n">
        <v>4288</v>
      </c>
      <c r="G1298" s="104" t="inlineStr">
        <is>
          <t>08/2026</t>
        </is>
      </c>
      <c r="H1298" s="104" t="inlineStr">
        <is>
          <t>CODI</t>
        </is>
      </c>
    </row>
    <row r="1299">
      <c r="B1299" s="109" t="n">
        <v>46235</v>
      </c>
      <c r="C1299" s="110" t="inlineStr">
        <is>
          <t>Vendas - 08/2026</t>
        </is>
      </c>
      <c r="D1299" s="110" t="inlineStr">
        <is>
          <t>Entrada</t>
        </is>
      </c>
      <c r="E1299" s="110" t="inlineStr">
        <is>
          <t>Vendas</t>
        </is>
      </c>
      <c r="F1299" s="111" t="n">
        <v>1050</v>
      </c>
      <c r="G1299" s="104" t="inlineStr">
        <is>
          <t>08/2026</t>
        </is>
      </c>
      <c r="H1299" s="104" t="inlineStr">
        <is>
          <t>CODI</t>
        </is>
      </c>
    </row>
    <row r="1300">
      <c r="B1300" s="109" t="n">
        <v>46235</v>
      </c>
      <c r="C1300" s="110" t="inlineStr">
        <is>
          <t>Vendas - 08/2026</t>
        </is>
      </c>
      <c r="D1300" s="110" t="inlineStr">
        <is>
          <t>Entrada</t>
        </is>
      </c>
      <c r="E1300" s="110" t="inlineStr">
        <is>
          <t>Vendas</t>
        </is>
      </c>
      <c r="F1300" s="111" t="n">
        <v>700</v>
      </c>
      <c r="G1300" s="104" t="inlineStr">
        <is>
          <t>08/2026</t>
        </is>
      </c>
      <c r="H1300" s="104" t="inlineStr">
        <is>
          <t>CODI</t>
        </is>
      </c>
    </row>
    <row r="1301">
      <c r="B1301" s="109" t="n">
        <v>46235</v>
      </c>
      <c r="C1301" s="110" t="inlineStr">
        <is>
          <t>Vendas - 08/2026</t>
        </is>
      </c>
      <c r="D1301" s="110" t="inlineStr">
        <is>
          <t>Entrada</t>
        </is>
      </c>
      <c r="E1301" s="110" t="inlineStr">
        <is>
          <t>Vendas</t>
        </is>
      </c>
      <c r="F1301" s="111" t="n">
        <v>70</v>
      </c>
      <c r="G1301" s="104" t="inlineStr">
        <is>
          <t>08/2026</t>
        </is>
      </c>
      <c r="H1301" s="104" t="inlineStr">
        <is>
          <t>CODI</t>
        </is>
      </c>
    </row>
    <row r="1302">
      <c r="B1302" s="109" t="n">
        <v>46235</v>
      </c>
      <c r="C1302" s="110" t="inlineStr">
        <is>
          <t>Vendas - 08/2026</t>
        </is>
      </c>
      <c r="D1302" s="110" t="inlineStr">
        <is>
          <t>Entrada</t>
        </is>
      </c>
      <c r="E1302" s="110" t="inlineStr">
        <is>
          <t>Vendas</t>
        </is>
      </c>
      <c r="F1302" s="111" t="n">
        <v>6180</v>
      </c>
      <c r="G1302" s="104" t="inlineStr">
        <is>
          <t>08/2026</t>
        </is>
      </c>
      <c r="H1302" s="104" t="inlineStr">
        <is>
          <t>CODI</t>
        </is>
      </c>
    </row>
    <row r="1303">
      <c r="B1303" s="109" t="n">
        <v>46235</v>
      </c>
      <c r="C1303" s="110" t="inlineStr">
        <is>
          <t>Vendas - 08/2026</t>
        </is>
      </c>
      <c r="D1303" s="110" t="inlineStr">
        <is>
          <t>Entrada</t>
        </is>
      </c>
      <c r="E1303" s="110" t="inlineStr">
        <is>
          <t>Vendas</t>
        </is>
      </c>
      <c r="F1303" s="111" t="n">
        <v>995</v>
      </c>
      <c r="G1303" s="104" t="inlineStr">
        <is>
          <t>08/2026</t>
        </is>
      </c>
      <c r="H1303" s="104" t="inlineStr">
        <is>
          <t>CODI</t>
        </is>
      </c>
    </row>
    <row r="1304">
      <c r="B1304" s="109" t="n">
        <v>46235</v>
      </c>
      <c r="C1304" s="110" t="inlineStr">
        <is>
          <t>Vendas - 08/2026</t>
        </is>
      </c>
      <c r="D1304" s="110" t="inlineStr">
        <is>
          <t>Entrada</t>
        </is>
      </c>
      <c r="E1304" s="110" t="inlineStr">
        <is>
          <t>Vendas</t>
        </is>
      </c>
      <c r="F1304" s="111" t="n">
        <v>3605</v>
      </c>
      <c r="G1304" s="104" t="inlineStr">
        <is>
          <t>08/2026</t>
        </is>
      </c>
      <c r="H1304" s="104" t="inlineStr">
        <is>
          <t>CODI</t>
        </is>
      </c>
    </row>
    <row r="1305">
      <c r="B1305" s="109" t="n">
        <v>46235</v>
      </c>
      <c r="C1305" s="110" t="inlineStr">
        <is>
          <t>Vendas - 08/2026</t>
        </is>
      </c>
      <c r="D1305" s="110" t="inlineStr">
        <is>
          <t>Entrada</t>
        </is>
      </c>
      <c r="E1305" s="110" t="inlineStr">
        <is>
          <t>Vendas</t>
        </is>
      </c>
      <c r="F1305" s="111" t="n">
        <v>1390</v>
      </c>
      <c r="G1305" s="104" t="inlineStr">
        <is>
          <t>08/2026</t>
        </is>
      </c>
      <c r="H1305" s="104" t="inlineStr">
        <is>
          <t>CODI</t>
        </is>
      </c>
    </row>
    <row r="1306">
      <c r="B1306" s="109" t="n">
        <v>46235</v>
      </c>
      <c r="C1306" s="110" t="inlineStr">
        <is>
          <t>Vendas - 08/2026</t>
        </is>
      </c>
      <c r="D1306" s="110" t="inlineStr">
        <is>
          <t>Entrada</t>
        </is>
      </c>
      <c r="E1306" s="110" t="inlineStr">
        <is>
          <t>Vendas</t>
        </is>
      </c>
      <c r="F1306" s="111" t="n">
        <v>5200</v>
      </c>
      <c r="G1306" s="104" t="inlineStr">
        <is>
          <t>08/2026</t>
        </is>
      </c>
      <c r="H1306" s="104" t="inlineStr">
        <is>
          <t>CODI</t>
        </is>
      </c>
    </row>
    <row r="1307">
      <c r="B1307" s="109" t="n">
        <v>46235</v>
      </c>
      <c r="C1307" s="110" t="inlineStr">
        <is>
          <t>Vendas - 08/2026</t>
        </is>
      </c>
      <c r="D1307" s="110" t="inlineStr">
        <is>
          <t>Entrada</t>
        </is>
      </c>
      <c r="E1307" s="110" t="inlineStr">
        <is>
          <t>Vendas</t>
        </is>
      </c>
      <c r="F1307" s="111" t="n">
        <v>5200</v>
      </c>
      <c r="G1307" s="104" t="inlineStr">
        <is>
          <t>08/2026</t>
        </is>
      </c>
      <c r="H1307" s="104" t="inlineStr">
        <is>
          <t>CODI</t>
        </is>
      </c>
    </row>
    <row r="1308">
      <c r="B1308" s="109" t="n">
        <v>46235</v>
      </c>
      <c r="C1308" s="110" t="inlineStr">
        <is>
          <t>Vendas - 08/2026</t>
        </is>
      </c>
      <c r="D1308" s="110" t="inlineStr">
        <is>
          <t>Entrada</t>
        </is>
      </c>
      <c r="E1308" s="110" t="inlineStr">
        <is>
          <t>Vendas</t>
        </is>
      </c>
      <c r="F1308" s="111" t="n">
        <v>5375</v>
      </c>
      <c r="G1308" s="104" t="inlineStr">
        <is>
          <t>08/2026</t>
        </is>
      </c>
      <c r="H1308" s="104" t="inlineStr">
        <is>
          <t>CODI</t>
        </is>
      </c>
    </row>
    <row r="1309">
      <c r="B1309" s="109" t="n">
        <v>46235</v>
      </c>
      <c r="C1309" s="110" t="inlineStr">
        <is>
          <t>Vendas - 08/2026</t>
        </is>
      </c>
      <c r="D1309" s="110" t="inlineStr">
        <is>
          <t>Entrada</t>
        </is>
      </c>
      <c r="E1309" s="110" t="inlineStr">
        <is>
          <t>Vendas</t>
        </is>
      </c>
      <c r="F1309" s="111" t="n">
        <v>285.44</v>
      </c>
      <c r="G1309" s="104" t="inlineStr">
        <is>
          <t>08/2026</t>
        </is>
      </c>
      <c r="H1309" s="104" t="inlineStr">
        <is>
          <t>CODI</t>
        </is>
      </c>
    </row>
    <row r="1310">
      <c r="B1310" s="109" t="n">
        <v>46235</v>
      </c>
      <c r="C1310" s="110" t="inlineStr">
        <is>
          <t>Vendas - 08/2026</t>
        </is>
      </c>
      <c r="D1310" s="110" t="inlineStr">
        <is>
          <t>Entrada</t>
        </is>
      </c>
      <c r="E1310" s="110" t="inlineStr">
        <is>
          <t>Vendas</t>
        </is>
      </c>
      <c r="F1310" s="111" t="n">
        <v>205.1</v>
      </c>
      <c r="G1310" s="104" t="inlineStr">
        <is>
          <t>08/2026</t>
        </is>
      </c>
      <c r="H1310" s="104" t="inlineStr">
        <is>
          <t>CODI</t>
        </is>
      </c>
    </row>
    <row r="1311">
      <c r="B1311" s="109" t="n">
        <v>46235</v>
      </c>
      <c r="C1311" s="110" t="inlineStr">
        <is>
          <t>Vendas - 08/2026</t>
        </is>
      </c>
      <c r="D1311" s="110" t="inlineStr">
        <is>
          <t>Entrada</t>
        </is>
      </c>
      <c r="E1311" s="110" t="inlineStr">
        <is>
          <t>Vendas</t>
        </is>
      </c>
      <c r="F1311" s="111" t="n">
        <v>399.42</v>
      </c>
      <c r="G1311" s="104" t="inlineStr">
        <is>
          <t>08/2026</t>
        </is>
      </c>
      <c r="H1311" s="104" t="inlineStr">
        <is>
          <t>CODI</t>
        </is>
      </c>
    </row>
    <row r="1312">
      <c r="B1312" s="109" t="n">
        <v>46235</v>
      </c>
      <c r="C1312" s="110" t="inlineStr">
        <is>
          <t>Vendas - 08/2026</t>
        </is>
      </c>
      <c r="D1312" s="110" t="inlineStr">
        <is>
          <t>Entrada</t>
        </is>
      </c>
      <c r="E1312" s="110" t="inlineStr">
        <is>
          <t>Vendas</t>
        </is>
      </c>
      <c r="F1312" s="111" t="n">
        <v>210.6</v>
      </c>
      <c r="G1312" s="104" t="inlineStr">
        <is>
          <t>08/2026</t>
        </is>
      </c>
      <c r="H1312" s="104" t="inlineStr">
        <is>
          <t>CODI</t>
        </is>
      </c>
    </row>
    <row r="1313">
      <c r="B1313" s="109" t="n">
        <v>46235</v>
      </c>
      <c r="C1313" s="110" t="inlineStr">
        <is>
          <t>Vendas - 08/2026</t>
        </is>
      </c>
      <c r="D1313" s="110" t="inlineStr">
        <is>
          <t>Entrada</t>
        </is>
      </c>
      <c r="E1313" s="110" t="inlineStr">
        <is>
          <t>Vendas</t>
        </is>
      </c>
      <c r="F1313" s="111" t="n">
        <v>2330</v>
      </c>
      <c r="G1313" s="104" t="inlineStr">
        <is>
          <t>08/2026</t>
        </is>
      </c>
      <c r="H1313" s="104" t="inlineStr">
        <is>
          <t>CODI</t>
        </is>
      </c>
    </row>
    <row r="1314">
      <c r="B1314" s="109" t="n">
        <v>46235</v>
      </c>
      <c r="C1314" s="110" t="inlineStr">
        <is>
          <t>Vendas - 08/2026</t>
        </is>
      </c>
      <c r="D1314" s="110" t="inlineStr">
        <is>
          <t>Entrada</t>
        </is>
      </c>
      <c r="E1314" s="110" t="inlineStr">
        <is>
          <t>Vendas</t>
        </is>
      </c>
      <c r="F1314" s="111" t="n">
        <v>1355</v>
      </c>
      <c r="G1314" s="104" t="inlineStr">
        <is>
          <t>08/2026</t>
        </is>
      </c>
      <c r="H1314" s="104" t="inlineStr">
        <is>
          <t>CODI</t>
        </is>
      </c>
    </row>
    <row r="1315">
      <c r="B1315" s="109" t="n">
        <v>46235</v>
      </c>
      <c r="C1315" s="110" t="inlineStr">
        <is>
          <t>Vendas - 08/2026</t>
        </is>
      </c>
      <c r="D1315" s="110" t="inlineStr">
        <is>
          <t>Entrada</t>
        </is>
      </c>
      <c r="E1315" s="110" t="inlineStr">
        <is>
          <t>Vendas</t>
        </is>
      </c>
      <c r="F1315" s="111" t="n">
        <v>398</v>
      </c>
      <c r="G1315" s="104" t="inlineStr">
        <is>
          <t>08/2026</t>
        </is>
      </c>
      <c r="H1315" s="104" t="inlineStr">
        <is>
          <t>CODI</t>
        </is>
      </c>
    </row>
    <row r="1316">
      <c r="B1316" s="109" t="n">
        <v>46235</v>
      </c>
      <c r="C1316" s="110" t="inlineStr">
        <is>
          <t>Vendas - 08/2026</t>
        </is>
      </c>
      <c r="D1316" s="110" t="inlineStr">
        <is>
          <t>Entrada</t>
        </is>
      </c>
      <c r="E1316" s="110" t="inlineStr">
        <is>
          <t>Vendas</t>
        </is>
      </c>
      <c r="F1316" s="111" t="n">
        <v>2975</v>
      </c>
      <c r="G1316" s="104" t="inlineStr">
        <is>
          <t>08/2026</t>
        </is>
      </c>
      <c r="H1316" s="104" t="inlineStr">
        <is>
          <t>CODI</t>
        </is>
      </c>
    </row>
    <row r="1317">
      <c r="B1317" s="109" t="n">
        <v>46235</v>
      </c>
      <c r="C1317" s="110" t="inlineStr">
        <is>
          <t>Vendas - 08/2026</t>
        </is>
      </c>
      <c r="D1317" s="110" t="inlineStr">
        <is>
          <t>Entrada</t>
        </is>
      </c>
      <c r="E1317" s="110" t="inlineStr">
        <is>
          <t>Vendas</t>
        </is>
      </c>
      <c r="F1317" s="111" t="n">
        <v>2812.45</v>
      </c>
      <c r="G1317" s="104" t="inlineStr">
        <is>
          <t>08/2026</t>
        </is>
      </c>
      <c r="H1317" s="104" t="inlineStr">
        <is>
          <t>CODI</t>
        </is>
      </c>
    </row>
    <row r="1318">
      <c r="B1318" s="109" t="n">
        <v>46235</v>
      </c>
      <c r="C1318" s="110" t="inlineStr">
        <is>
          <t>Vendas - 08/2026</t>
        </is>
      </c>
      <c r="D1318" s="110" t="inlineStr">
        <is>
          <t>Entrada</t>
        </is>
      </c>
      <c r="E1318" s="110" t="inlineStr">
        <is>
          <t>Vendas</t>
        </is>
      </c>
      <c r="F1318" s="111" t="n">
        <v>940</v>
      </c>
      <c r="G1318" s="104" t="inlineStr">
        <is>
          <t>08/2026</t>
        </is>
      </c>
      <c r="H1318" s="104" t="inlineStr">
        <is>
          <t>CODI</t>
        </is>
      </c>
    </row>
    <row r="1319">
      <c r="B1319" s="109" t="n">
        <v>46235</v>
      </c>
      <c r="C1319" s="110" t="inlineStr">
        <is>
          <t>Vendas - 08/2026</t>
        </is>
      </c>
      <c r="D1319" s="110" t="inlineStr">
        <is>
          <t>Entrada</t>
        </is>
      </c>
      <c r="E1319" s="110" t="inlineStr">
        <is>
          <t>Vendas</t>
        </is>
      </c>
      <c r="F1319" s="111" t="n">
        <v>1306.66</v>
      </c>
      <c r="G1319" s="104" t="inlineStr">
        <is>
          <t>08/2026</t>
        </is>
      </c>
      <c r="H1319" s="104" t="inlineStr">
        <is>
          <t>CODI</t>
        </is>
      </c>
    </row>
    <row r="1320">
      <c r="B1320" s="109" t="n">
        <v>46235</v>
      </c>
      <c r="C1320" s="110" t="inlineStr">
        <is>
          <t>Vendas - 08/2026</t>
        </is>
      </c>
      <c r="D1320" s="110" t="inlineStr">
        <is>
          <t>Entrada</t>
        </is>
      </c>
      <c r="E1320" s="110" t="inlineStr">
        <is>
          <t>Vendas</t>
        </is>
      </c>
      <c r="F1320" s="111" t="n">
        <v>1306.66</v>
      </c>
      <c r="G1320" s="104" t="inlineStr">
        <is>
          <t>08/2026</t>
        </is>
      </c>
      <c r="H1320" s="104" t="inlineStr">
        <is>
          <t>CODI</t>
        </is>
      </c>
    </row>
    <row r="1321">
      <c r="B1321" s="109" t="n">
        <v>46235</v>
      </c>
      <c r="C1321" s="110" t="inlineStr">
        <is>
          <t>Vendas - 08/2026</t>
        </is>
      </c>
      <c r="D1321" s="110" t="inlineStr">
        <is>
          <t>Entrada</t>
        </is>
      </c>
      <c r="E1321" s="110" t="inlineStr">
        <is>
          <t>Vendas</t>
        </is>
      </c>
      <c r="F1321" s="111" t="n">
        <v>835.83</v>
      </c>
      <c r="G1321" s="104" t="inlineStr">
        <is>
          <t>08/2026</t>
        </is>
      </c>
      <c r="H1321" s="104" t="inlineStr">
        <is>
          <t>CODI</t>
        </is>
      </c>
    </row>
    <row r="1322">
      <c r="B1322" s="109" t="n">
        <v>46235</v>
      </c>
      <c r="C1322" s="110" t="inlineStr">
        <is>
          <t>Vendas - 08/2026</t>
        </is>
      </c>
      <c r="D1322" s="110" t="inlineStr">
        <is>
          <t>Entrada</t>
        </is>
      </c>
      <c r="E1322" s="110" t="inlineStr">
        <is>
          <t>Vendas</t>
        </is>
      </c>
      <c r="F1322" s="111" t="n">
        <v>1602</v>
      </c>
      <c r="G1322" s="104" t="inlineStr">
        <is>
          <t>08/2026</t>
        </is>
      </c>
      <c r="H1322" s="104" t="inlineStr">
        <is>
          <t>CODI</t>
        </is>
      </c>
    </row>
    <row r="1323">
      <c r="B1323" s="109" t="n">
        <v>46235</v>
      </c>
      <c r="C1323" s="110" t="inlineStr">
        <is>
          <t>Vendas - 08/2026</t>
        </is>
      </c>
      <c r="D1323" s="110" t="inlineStr">
        <is>
          <t>Entrada</t>
        </is>
      </c>
      <c r="E1323" s="110" t="inlineStr">
        <is>
          <t>Vendas</t>
        </is>
      </c>
      <c r="F1323" s="111" t="n">
        <v>1679</v>
      </c>
      <c r="G1323" s="104" t="inlineStr">
        <is>
          <t>08/2026</t>
        </is>
      </c>
      <c r="H1323" s="104" t="inlineStr">
        <is>
          <t>CODI</t>
        </is>
      </c>
    </row>
    <row r="1324">
      <c r="B1324" s="109" t="n">
        <v>46235</v>
      </c>
      <c r="C1324" s="110" t="inlineStr">
        <is>
          <t>Vendas - 08/2026</t>
        </is>
      </c>
      <c r="D1324" s="110" t="inlineStr">
        <is>
          <t>Entrada</t>
        </is>
      </c>
      <c r="E1324" s="110" t="inlineStr">
        <is>
          <t>Vendas</t>
        </is>
      </c>
      <c r="F1324" s="111" t="n">
        <v>367.2</v>
      </c>
      <c r="G1324" s="104" t="inlineStr">
        <is>
          <t>08/2026</t>
        </is>
      </c>
      <c r="H1324" s="104" t="inlineStr">
        <is>
          <t>CODI</t>
        </is>
      </c>
    </row>
    <row r="1325">
      <c r="B1325" s="109" t="n">
        <v>46235</v>
      </c>
      <c r="C1325" s="110" t="inlineStr">
        <is>
          <t>Vendas - 08/2026</t>
        </is>
      </c>
      <c r="D1325" s="110" t="inlineStr">
        <is>
          <t>Entrada</t>
        </is>
      </c>
      <c r="E1325" s="110" t="inlineStr">
        <is>
          <t>Vendas</t>
        </is>
      </c>
      <c r="F1325" s="111" t="n">
        <v>1370</v>
      </c>
      <c r="G1325" s="104" t="inlineStr">
        <is>
          <t>08/2026</t>
        </is>
      </c>
      <c r="H1325" s="104" t="inlineStr">
        <is>
          <t>CODI</t>
        </is>
      </c>
    </row>
    <row r="1326">
      <c r="B1326" s="109" t="n">
        <v>46235</v>
      </c>
      <c r="C1326" s="110" t="inlineStr">
        <is>
          <t>Vendas - 08/2026</t>
        </is>
      </c>
      <c r="D1326" s="110" t="inlineStr">
        <is>
          <t>Entrada</t>
        </is>
      </c>
      <c r="E1326" s="110" t="inlineStr">
        <is>
          <t>Vendas</t>
        </is>
      </c>
      <c r="F1326" s="111" t="n">
        <v>1948</v>
      </c>
      <c r="G1326" s="104" t="inlineStr">
        <is>
          <t>08/2026</t>
        </is>
      </c>
      <c r="H1326" s="104" t="inlineStr">
        <is>
          <t>CODI</t>
        </is>
      </c>
    </row>
    <row r="1327">
      <c r="B1327" s="109" t="n">
        <v>46235</v>
      </c>
      <c r="C1327" s="110" t="inlineStr">
        <is>
          <t>Vendas - 08/2026</t>
        </is>
      </c>
      <c r="D1327" s="110" t="inlineStr">
        <is>
          <t>Entrada</t>
        </is>
      </c>
      <c r="E1327" s="110" t="inlineStr">
        <is>
          <t>Vendas</t>
        </is>
      </c>
      <c r="F1327" s="111" t="n">
        <v>1280</v>
      </c>
      <c r="G1327" s="104" t="inlineStr">
        <is>
          <t>08/2026</t>
        </is>
      </c>
      <c r="H1327" s="104" t="inlineStr">
        <is>
          <t>CODI</t>
        </is>
      </c>
    </row>
    <row r="1328">
      <c r="B1328" s="109" t="n">
        <v>46235</v>
      </c>
      <c r="C1328" s="110" t="inlineStr">
        <is>
          <t>Vendas - 08/2026</t>
        </is>
      </c>
      <c r="D1328" s="110" t="inlineStr">
        <is>
          <t>Entrada</t>
        </is>
      </c>
      <c r="E1328" s="110" t="inlineStr">
        <is>
          <t>Vendas</t>
        </is>
      </c>
      <c r="F1328" s="111" t="n">
        <v>95</v>
      </c>
      <c r="G1328" s="104" t="inlineStr">
        <is>
          <t>08/2026</t>
        </is>
      </c>
      <c r="H1328" s="104" t="inlineStr">
        <is>
          <t>CODI</t>
        </is>
      </c>
    </row>
    <row r="1329">
      <c r="B1329" s="109" t="n">
        <v>46235</v>
      </c>
      <c r="C1329" s="110" t="inlineStr">
        <is>
          <t>Vendas - 08/2026</t>
        </is>
      </c>
      <c r="D1329" s="110" t="inlineStr">
        <is>
          <t>Entrada</t>
        </is>
      </c>
      <c r="E1329" s="110" t="inlineStr">
        <is>
          <t>Vendas</t>
        </is>
      </c>
      <c r="F1329" s="111" t="n">
        <v>3250</v>
      </c>
      <c r="G1329" s="104" t="inlineStr">
        <is>
          <t>08/2026</t>
        </is>
      </c>
      <c r="H1329" s="104" t="inlineStr">
        <is>
          <t>CODI</t>
        </is>
      </c>
    </row>
    <row r="1330">
      <c r="B1330" s="109" t="n">
        <v>46235</v>
      </c>
      <c r="C1330" s="110" t="inlineStr">
        <is>
          <t>Vendas - 08/2026</t>
        </is>
      </c>
      <c r="D1330" s="110" t="inlineStr">
        <is>
          <t>Entrada</t>
        </is>
      </c>
      <c r="E1330" s="110" t="inlineStr">
        <is>
          <t>Vendas</t>
        </is>
      </c>
      <c r="F1330" s="111" t="n">
        <v>1435</v>
      </c>
      <c r="G1330" s="104" t="inlineStr">
        <is>
          <t>08/2026</t>
        </is>
      </c>
      <c r="H1330" s="104" t="inlineStr">
        <is>
          <t>CODI</t>
        </is>
      </c>
    </row>
    <row r="1331">
      <c r="B1331" s="109" t="n">
        <v>46235</v>
      </c>
      <c r="C1331" s="110" t="inlineStr">
        <is>
          <t>Vendas - 08/2026</t>
        </is>
      </c>
      <c r="D1331" s="110" t="inlineStr">
        <is>
          <t>Entrada</t>
        </is>
      </c>
      <c r="E1331" s="110" t="inlineStr">
        <is>
          <t>Vendas</t>
        </is>
      </c>
      <c r="F1331" s="111" t="n">
        <v>399.08</v>
      </c>
      <c r="G1331" s="104" t="inlineStr">
        <is>
          <t>08/2026</t>
        </is>
      </c>
      <c r="H1331" s="104" t="inlineStr">
        <is>
          <t>CODI</t>
        </is>
      </c>
    </row>
    <row r="1332">
      <c r="B1332" s="109" t="n">
        <v>46235</v>
      </c>
      <c r="C1332" s="110" t="inlineStr">
        <is>
          <t>Vendas - 08/2026</t>
        </is>
      </c>
      <c r="D1332" s="110" t="inlineStr">
        <is>
          <t>Entrada</t>
        </is>
      </c>
      <c r="E1332" s="110" t="inlineStr">
        <is>
          <t>Vendas</t>
        </is>
      </c>
      <c r="F1332" s="111" t="n">
        <v>461.54</v>
      </c>
      <c r="G1332" s="104" t="inlineStr">
        <is>
          <t>08/2026</t>
        </is>
      </c>
      <c r="H1332" s="104" t="inlineStr">
        <is>
          <t>CODI</t>
        </is>
      </c>
    </row>
    <row r="1333">
      <c r="B1333" s="109" t="n">
        <v>46235</v>
      </c>
      <c r="C1333" s="110" t="inlineStr">
        <is>
          <t>Vendas - 08/2026</t>
        </is>
      </c>
      <c r="D1333" s="110" t="inlineStr">
        <is>
          <t>Entrada</t>
        </is>
      </c>
      <c r="E1333" s="110" t="inlineStr">
        <is>
          <t>Vendas</t>
        </is>
      </c>
      <c r="F1333" s="111" t="n">
        <v>6320</v>
      </c>
      <c r="G1333" s="104" t="inlineStr">
        <is>
          <t>08/2026</t>
        </is>
      </c>
      <c r="H1333" s="104" t="inlineStr">
        <is>
          <t>CODI</t>
        </is>
      </c>
    </row>
    <row r="1334">
      <c r="B1334" s="109" t="n">
        <v>46235</v>
      </c>
      <c r="C1334" s="110" t="inlineStr">
        <is>
          <t>Vendas - 08/2026</t>
        </is>
      </c>
      <c r="D1334" s="110" t="inlineStr">
        <is>
          <t>Entrada</t>
        </is>
      </c>
      <c r="E1334" s="110" t="inlineStr">
        <is>
          <t>Vendas</t>
        </is>
      </c>
      <c r="F1334" s="111" t="n">
        <v>1014.56</v>
      </c>
      <c r="G1334" s="104" t="inlineStr">
        <is>
          <t>08/2026</t>
        </is>
      </c>
      <c r="H1334" s="104" t="inlineStr">
        <is>
          <t>CODI</t>
        </is>
      </c>
    </row>
    <row r="1335">
      <c r="B1335" s="109" t="n">
        <v>46235</v>
      </c>
      <c r="C1335" s="110" t="inlineStr">
        <is>
          <t>Vendas - 08/2026</t>
        </is>
      </c>
      <c r="D1335" s="110" t="inlineStr">
        <is>
          <t>Entrada</t>
        </is>
      </c>
      <c r="E1335" s="110" t="inlineStr">
        <is>
          <t>Vendas</t>
        </is>
      </c>
      <c r="F1335" s="111" t="n">
        <v>475.7</v>
      </c>
      <c r="G1335" s="104" t="inlineStr">
        <is>
          <t>08/2026</t>
        </is>
      </c>
      <c r="H1335" s="104" t="inlineStr">
        <is>
          <t>CODI</t>
        </is>
      </c>
    </row>
    <row r="1336">
      <c r="B1336" s="109" t="n">
        <v>46235</v>
      </c>
      <c r="C1336" s="110" t="inlineStr">
        <is>
          <t>Vendas - 08/2026</t>
        </is>
      </c>
      <c r="D1336" s="110" t="inlineStr">
        <is>
          <t>Entrada</t>
        </is>
      </c>
      <c r="E1336" s="110" t="inlineStr">
        <is>
          <t>Vendas</t>
        </is>
      </c>
      <c r="F1336" s="111" t="n">
        <v>1608.54</v>
      </c>
      <c r="G1336" s="104" t="inlineStr">
        <is>
          <t>08/2026</t>
        </is>
      </c>
      <c r="H1336" s="104" t="inlineStr">
        <is>
          <t>CODI</t>
        </is>
      </c>
    </row>
    <row r="1337">
      <c r="B1337" s="109" t="n">
        <v>46235</v>
      </c>
      <c r="C1337" s="110" t="inlineStr">
        <is>
          <t>Vendas - 08/2026</t>
        </is>
      </c>
      <c r="D1337" s="110" t="inlineStr">
        <is>
          <t>Entrada</t>
        </is>
      </c>
      <c r="E1337" s="110" t="inlineStr">
        <is>
          <t>Vendas</t>
        </is>
      </c>
      <c r="F1337" s="111" t="n">
        <v>3971.06</v>
      </c>
      <c r="G1337" s="104" t="inlineStr">
        <is>
          <t>08/2026</t>
        </is>
      </c>
      <c r="H1337" s="104" t="inlineStr">
        <is>
          <t>CODI</t>
        </is>
      </c>
    </row>
    <row r="1338">
      <c r="B1338" s="109" t="n">
        <v>46235</v>
      </c>
      <c r="C1338" s="110" t="inlineStr">
        <is>
          <t>Vendas - 08/2026</t>
        </is>
      </c>
      <c r="D1338" s="110" t="inlineStr">
        <is>
          <t>Entrada</t>
        </is>
      </c>
      <c r="E1338" s="110" t="inlineStr">
        <is>
          <t>Vendas</t>
        </is>
      </c>
      <c r="F1338" s="111" t="n">
        <v>666.66</v>
      </c>
      <c r="G1338" s="104" t="inlineStr">
        <is>
          <t>08/2026</t>
        </is>
      </c>
      <c r="H1338" s="104" t="inlineStr">
        <is>
          <t>CODI</t>
        </is>
      </c>
    </row>
    <row r="1339">
      <c r="B1339" s="109" t="n">
        <v>46235</v>
      </c>
      <c r="C1339" s="110" t="inlineStr">
        <is>
          <t>Vendas - 08/2026</t>
        </is>
      </c>
      <c r="D1339" s="110" t="inlineStr">
        <is>
          <t>Entrada</t>
        </is>
      </c>
      <c r="E1339" s="110" t="inlineStr">
        <is>
          <t>Vendas</t>
        </is>
      </c>
      <c r="F1339" s="111" t="n">
        <v>554.8</v>
      </c>
      <c r="G1339" s="104" t="inlineStr">
        <is>
          <t>08/2026</t>
        </is>
      </c>
      <c r="H1339" s="104" t="inlineStr">
        <is>
          <t>CODI</t>
        </is>
      </c>
    </row>
    <row r="1340">
      <c r="B1340" s="109" t="n">
        <v>46235</v>
      </c>
      <c r="C1340" s="110" t="inlineStr">
        <is>
          <t>Vendas - 08/2026</t>
        </is>
      </c>
      <c r="D1340" s="110" t="inlineStr">
        <is>
          <t>Entrada</t>
        </is>
      </c>
      <c r="E1340" s="110" t="inlineStr">
        <is>
          <t>Vendas</t>
        </is>
      </c>
      <c r="F1340" s="111" t="n">
        <v>547.4</v>
      </c>
      <c r="G1340" s="104" t="inlineStr">
        <is>
          <t>08/2026</t>
        </is>
      </c>
      <c r="H1340" s="104" t="inlineStr">
        <is>
          <t>CODI</t>
        </is>
      </c>
    </row>
    <row r="1341">
      <c r="B1341" s="109" t="n">
        <v>46235</v>
      </c>
      <c r="C1341" s="110" t="inlineStr">
        <is>
          <t>Vendas - 08/2026</t>
        </is>
      </c>
      <c r="D1341" s="110" t="inlineStr">
        <is>
          <t>Entrada</t>
        </is>
      </c>
      <c r="E1341" s="110" t="inlineStr">
        <is>
          <t>Vendas</t>
        </is>
      </c>
      <c r="F1341" s="111" t="n">
        <v>738.36</v>
      </c>
      <c r="G1341" s="104" t="inlineStr">
        <is>
          <t>08/2026</t>
        </is>
      </c>
      <c r="H1341" s="104" t="inlineStr">
        <is>
          <t>CODI</t>
        </is>
      </c>
    </row>
    <row r="1342">
      <c r="B1342" s="109" t="n">
        <v>46235</v>
      </c>
      <c r="C1342" s="110" t="inlineStr">
        <is>
          <t>Vendas - 08/2026</t>
        </is>
      </c>
      <c r="D1342" s="110" t="inlineStr">
        <is>
          <t>Entrada</t>
        </is>
      </c>
      <c r="E1342" s="110" t="inlineStr">
        <is>
          <t>Vendas</t>
        </is>
      </c>
      <c r="F1342" s="111" t="n">
        <v>382.05</v>
      </c>
      <c r="G1342" s="104" t="inlineStr">
        <is>
          <t>08/2026</t>
        </is>
      </c>
      <c r="H1342" s="104" t="inlineStr">
        <is>
          <t>CODI</t>
        </is>
      </c>
    </row>
    <row r="1343">
      <c r="B1343" s="109" t="n">
        <v>46235</v>
      </c>
      <c r="C1343" s="110" t="inlineStr">
        <is>
          <t>Vendas - 08/2026</t>
        </is>
      </c>
      <c r="D1343" s="110" t="inlineStr">
        <is>
          <t>Entrada</t>
        </is>
      </c>
      <c r="E1343" s="110" t="inlineStr">
        <is>
          <t>Vendas</t>
        </is>
      </c>
      <c r="F1343" s="111" t="n">
        <v>3500</v>
      </c>
      <c r="G1343" s="104" t="inlineStr">
        <is>
          <t>08/2026</t>
        </is>
      </c>
      <c r="H1343" s="104" t="inlineStr">
        <is>
          <t>CODI</t>
        </is>
      </c>
    </row>
    <row r="1344">
      <c r="B1344" s="109" t="n">
        <v>46235</v>
      </c>
      <c r="C1344" s="110" t="inlineStr">
        <is>
          <t>Vendas - 08/2026</t>
        </is>
      </c>
      <c r="D1344" s="110" t="inlineStr">
        <is>
          <t>Entrada</t>
        </is>
      </c>
      <c r="E1344" s="110" t="inlineStr">
        <is>
          <t>Vendas</t>
        </is>
      </c>
      <c r="F1344" s="111" t="n">
        <v>1125</v>
      </c>
      <c r="G1344" s="104" t="inlineStr">
        <is>
          <t>08/2026</t>
        </is>
      </c>
      <c r="H1344" s="104" t="inlineStr">
        <is>
          <t>CODI</t>
        </is>
      </c>
    </row>
    <row r="1345">
      <c r="B1345" s="109" t="n">
        <v>46235</v>
      </c>
      <c r="C1345" s="110" t="inlineStr">
        <is>
          <t>Vendas - 08/2026</t>
        </is>
      </c>
      <c r="D1345" s="110" t="inlineStr">
        <is>
          <t>Entrada</t>
        </is>
      </c>
      <c r="E1345" s="110" t="inlineStr">
        <is>
          <t>Vendas</t>
        </is>
      </c>
      <c r="F1345" s="111" t="n">
        <v>1103</v>
      </c>
      <c r="G1345" s="104" t="inlineStr">
        <is>
          <t>08/2026</t>
        </is>
      </c>
      <c r="H1345" s="104" t="inlineStr">
        <is>
          <t>CODI</t>
        </is>
      </c>
    </row>
    <row r="1346">
      <c r="B1346" s="109" t="n">
        <v>46235</v>
      </c>
      <c r="C1346" s="110" t="inlineStr">
        <is>
          <t>Vendas - 08/2026</t>
        </is>
      </c>
      <c r="D1346" s="110" t="inlineStr">
        <is>
          <t>Entrada</t>
        </is>
      </c>
      <c r="E1346" s="110" t="inlineStr">
        <is>
          <t>Vendas</t>
        </is>
      </c>
      <c r="F1346" s="111" t="n">
        <v>1197.96</v>
      </c>
      <c r="G1346" s="104" t="inlineStr">
        <is>
          <t>08/2026</t>
        </is>
      </c>
      <c r="H1346" s="104" t="inlineStr">
        <is>
          <t>CODI</t>
        </is>
      </c>
    </row>
    <row r="1347">
      <c r="B1347" s="109" t="n">
        <v>46235</v>
      </c>
      <c r="C1347" s="110" t="inlineStr">
        <is>
          <t>Vale Transporte - 08/2026</t>
        </is>
      </c>
      <c r="D1347" s="110" t="inlineStr">
        <is>
          <t>Saída</t>
        </is>
      </c>
      <c r="E1347" s="110" t="inlineStr">
        <is>
          <t>Vale Transporte</t>
        </is>
      </c>
      <c r="F1347" s="111" t="n">
        <v>2830</v>
      </c>
      <c r="G1347" s="104" t="inlineStr">
        <is>
          <t>08/2026</t>
        </is>
      </c>
      <c r="H1347" s="104" t="inlineStr">
        <is>
          <t>CODI</t>
        </is>
      </c>
    </row>
    <row r="1348">
      <c r="B1348" s="109" t="n">
        <v>46235</v>
      </c>
      <c r="C1348" s="110" t="inlineStr">
        <is>
          <t>Vales e Adiantamentos - 08/2026</t>
        </is>
      </c>
      <c r="D1348" s="110" t="inlineStr">
        <is>
          <t>Saída</t>
        </is>
      </c>
      <c r="E1348" s="110" t="inlineStr">
        <is>
          <t>Vales e Adiantamentos</t>
        </is>
      </c>
      <c r="F1348" s="111" t="n">
        <v>2715</v>
      </c>
      <c r="G1348" s="104" t="inlineStr">
        <is>
          <t>08/2026</t>
        </is>
      </c>
      <c r="H1348" s="104" t="inlineStr">
        <is>
          <t>CODI</t>
        </is>
      </c>
    </row>
    <row r="1349">
      <c r="B1349" s="109" t="n">
        <v>46235</v>
      </c>
      <c r="C1349" s="110" t="inlineStr">
        <is>
          <t>Bordado Manual - 08/2026</t>
        </is>
      </c>
      <c r="D1349" s="110" t="inlineStr">
        <is>
          <t>Saída</t>
        </is>
      </c>
      <c r="E1349" s="110" t="inlineStr">
        <is>
          <t>Bordado Manual</t>
        </is>
      </c>
      <c r="F1349" s="111" t="n">
        <v>183.33</v>
      </c>
      <c r="G1349" s="104" t="inlineStr">
        <is>
          <t>08/2026</t>
        </is>
      </c>
      <c r="H1349" s="104" t="inlineStr">
        <is>
          <t>CODI</t>
        </is>
      </c>
    </row>
    <row r="1350">
      <c r="B1350" s="109" t="n">
        <v>46235</v>
      </c>
      <c r="C1350" s="110" t="inlineStr">
        <is>
          <t>Lavanderia - 08/2026</t>
        </is>
      </c>
      <c r="D1350" s="110" t="inlineStr">
        <is>
          <t>Saída</t>
        </is>
      </c>
      <c r="E1350" s="110" t="inlineStr">
        <is>
          <t>Lavanderia</t>
        </is>
      </c>
      <c r="F1350" s="111" t="n">
        <v>19680</v>
      </c>
      <c r="G1350" s="104" t="inlineStr">
        <is>
          <t>08/2026</t>
        </is>
      </c>
      <c r="H1350" s="104" t="inlineStr">
        <is>
          <t>CODI</t>
        </is>
      </c>
    </row>
    <row r="1351">
      <c r="B1351" s="109" t="n">
        <v>46235</v>
      </c>
      <c r="C1351" s="110" t="inlineStr">
        <is>
          <t>Etiquetas - 08/2026</t>
        </is>
      </c>
      <c r="D1351" s="110" t="inlineStr">
        <is>
          <t>Saída</t>
        </is>
      </c>
      <c r="E1351" s="110" t="inlineStr">
        <is>
          <t>Etiquetas</t>
        </is>
      </c>
      <c r="F1351" s="111" t="n">
        <v>5925.36</v>
      </c>
      <c r="G1351" s="104" t="inlineStr">
        <is>
          <t>08/2026</t>
        </is>
      </c>
      <c r="H1351" s="104" t="inlineStr">
        <is>
          <t>CODI</t>
        </is>
      </c>
    </row>
    <row r="1352">
      <c r="B1352" s="109" t="n">
        <v>46235</v>
      </c>
      <c r="C1352" s="110" t="inlineStr">
        <is>
          <t>Acabamento Externo - 08/2026</t>
        </is>
      </c>
      <c r="D1352" s="110" t="inlineStr">
        <is>
          <t>Saída</t>
        </is>
      </c>
      <c r="E1352" s="110" t="inlineStr">
        <is>
          <t>Acabamento Externo</t>
        </is>
      </c>
      <c r="F1352" s="111" t="n">
        <v>16979.3</v>
      </c>
      <c r="G1352" s="104" t="inlineStr">
        <is>
          <t>08/2026</t>
        </is>
      </c>
      <c r="H1352" s="104" t="inlineStr">
        <is>
          <t>CODI</t>
        </is>
      </c>
    </row>
    <row r="1353">
      <c r="B1353" s="109" t="n">
        <v>46235</v>
      </c>
      <c r="C1353" s="110" t="inlineStr">
        <is>
          <t>PROVISÃO CDK - 08/2026</t>
        </is>
      </c>
      <c r="D1353" s="110" t="inlineStr">
        <is>
          <t>Saída</t>
        </is>
      </c>
      <c r="E1353" s="110" t="inlineStr">
        <is>
          <t>PROVISÃO CDK</t>
        </is>
      </c>
      <c r="F1353" s="111" t="n">
        <v>6998.2</v>
      </c>
      <c r="G1353" s="104" t="inlineStr">
        <is>
          <t>08/2026</t>
        </is>
      </c>
      <c r="H1353" s="104" t="inlineStr">
        <is>
          <t>CDK</t>
        </is>
      </c>
    </row>
    <row r="1354">
      <c r="B1354" s="109" t="n">
        <v>46235</v>
      </c>
      <c r="C1354" s="110" t="inlineStr">
        <is>
          <t>Embalagens - 08/2026</t>
        </is>
      </c>
      <c r="D1354" s="110" t="inlineStr">
        <is>
          <t>Saída</t>
        </is>
      </c>
      <c r="E1354" s="110" t="inlineStr">
        <is>
          <t>Embalagens</t>
        </is>
      </c>
      <c r="F1354" s="111" t="n">
        <v>561.87</v>
      </c>
      <c r="G1354" s="104" t="inlineStr">
        <is>
          <t>08/2026</t>
        </is>
      </c>
      <c r="H1354" s="104" t="inlineStr">
        <is>
          <t>CDK</t>
        </is>
      </c>
    </row>
    <row r="1355">
      <c r="B1355" s="109" t="n">
        <v>46235</v>
      </c>
      <c r="C1355" s="110" t="inlineStr">
        <is>
          <t>Aviamento - 08/2026</t>
        </is>
      </c>
      <c r="D1355" s="110" t="inlineStr">
        <is>
          <t>Saída</t>
        </is>
      </c>
      <c r="E1355" s="110" t="inlineStr">
        <is>
          <t>Aviamento</t>
        </is>
      </c>
      <c r="F1355" s="111" t="n">
        <v>522.8</v>
      </c>
      <c r="G1355" s="104" t="inlineStr">
        <is>
          <t>08/2026</t>
        </is>
      </c>
      <c r="H1355" s="104" t="inlineStr">
        <is>
          <t>CDK</t>
        </is>
      </c>
    </row>
    <row r="1356">
      <c r="B1356" s="109" t="n">
        <v>46235</v>
      </c>
      <c r="C1356" s="110" t="inlineStr">
        <is>
          <t>Facção - 08/2026</t>
        </is>
      </c>
      <c r="D1356" s="110" t="inlineStr">
        <is>
          <t>Saída</t>
        </is>
      </c>
      <c r="E1356" s="110" t="inlineStr">
        <is>
          <t>Facção</t>
        </is>
      </c>
      <c r="F1356" s="111" t="n">
        <v>73686.39</v>
      </c>
      <c r="G1356" s="104" t="inlineStr">
        <is>
          <t>08/2026</t>
        </is>
      </c>
      <c r="H1356" s="104" t="inlineStr">
        <is>
          <t>CODI</t>
        </is>
      </c>
    </row>
    <row r="1357">
      <c r="B1357" s="109" t="n">
        <v>46235</v>
      </c>
      <c r="C1357" s="110" t="inlineStr">
        <is>
          <t>Frete e Transporte de Mercadorias - 08/2026</t>
        </is>
      </c>
      <c r="D1357" s="110" t="inlineStr">
        <is>
          <t>Saída</t>
        </is>
      </c>
      <c r="E1357" s="110" t="inlineStr">
        <is>
          <t>Frete e Transporte de Mercadorias</t>
        </is>
      </c>
      <c r="F1357" s="111" t="n">
        <v>4146.28</v>
      </c>
      <c r="G1357" s="104" t="inlineStr">
        <is>
          <t>08/2026</t>
        </is>
      </c>
      <c r="H1357" s="104" t="inlineStr">
        <is>
          <t>CODI</t>
        </is>
      </c>
    </row>
    <row r="1358">
      <c r="B1358" s="109" t="n">
        <v>46235</v>
      </c>
      <c r="C1358" s="110" t="inlineStr">
        <is>
          <t>Criação de Modelos - 08/2026</t>
        </is>
      </c>
      <c r="D1358" s="110" t="inlineStr">
        <is>
          <t>Saída</t>
        </is>
      </c>
      <c r="E1358" s="110" t="inlineStr">
        <is>
          <t>Criação de Modelos</t>
        </is>
      </c>
      <c r="F1358" s="111" t="n">
        <v>5290</v>
      </c>
      <c r="G1358" s="104" t="inlineStr">
        <is>
          <t>08/2026</t>
        </is>
      </c>
      <c r="H1358" s="104" t="inlineStr">
        <is>
          <t>CODI</t>
        </is>
      </c>
    </row>
    <row r="1359">
      <c r="B1359" s="109" t="n">
        <v>46235</v>
      </c>
      <c r="C1359" s="110" t="inlineStr">
        <is>
          <t>Web Site e Sistema ERP - 08/2026</t>
        </is>
      </c>
      <c r="D1359" s="110" t="inlineStr">
        <is>
          <t>Saída</t>
        </is>
      </c>
      <c r="E1359" s="110" t="inlineStr">
        <is>
          <t>Web Site e Sistema ERP</t>
        </is>
      </c>
      <c r="F1359" s="111" t="n">
        <v>4819.4</v>
      </c>
      <c r="G1359" s="104" t="inlineStr">
        <is>
          <t>08/2026</t>
        </is>
      </c>
      <c r="H1359" s="104" t="inlineStr">
        <is>
          <t>CODI</t>
        </is>
      </c>
    </row>
    <row r="1360">
      <c r="B1360" s="109" t="n">
        <v>46235</v>
      </c>
      <c r="C1360" s="110" t="inlineStr">
        <is>
          <t>Material de Limpeza e Higiene - 08/2026</t>
        </is>
      </c>
      <c r="D1360" s="110" t="inlineStr">
        <is>
          <t>Saída</t>
        </is>
      </c>
      <c r="E1360" s="110" t="inlineStr">
        <is>
          <t>Material de Limpeza e Higiene</t>
        </is>
      </c>
      <c r="F1360" s="111" t="n">
        <v>67.18000000000001</v>
      </c>
      <c r="G1360" s="104" t="inlineStr">
        <is>
          <t>08/2026</t>
        </is>
      </c>
      <c r="H1360" s="104" t="inlineStr">
        <is>
          <t>CODI</t>
        </is>
      </c>
    </row>
    <row r="1361">
      <c r="B1361" s="109" t="n">
        <v>46235</v>
      </c>
      <c r="C1361" s="110" t="inlineStr">
        <is>
          <t>Tráfego/Social Mídia - 08/2026</t>
        </is>
      </c>
      <c r="D1361" s="110" t="inlineStr">
        <is>
          <t>Saída</t>
        </is>
      </c>
      <c r="E1361" s="110" t="inlineStr">
        <is>
          <t>Tráfego/Social Mídia</t>
        </is>
      </c>
      <c r="F1361" s="111" t="n">
        <v>5935.05</v>
      </c>
      <c r="G1361" s="104" t="inlineStr">
        <is>
          <t>08/2026</t>
        </is>
      </c>
      <c r="H1361" s="104" t="inlineStr">
        <is>
          <t>CODI</t>
        </is>
      </c>
    </row>
    <row r="1362">
      <c r="B1362" s="109" t="n">
        <v>46235</v>
      </c>
      <c r="C1362" s="110" t="inlineStr">
        <is>
          <t>Aviamento - 08/2026</t>
        </is>
      </c>
      <c r="D1362" s="110" t="inlineStr">
        <is>
          <t>Saída</t>
        </is>
      </c>
      <c r="E1362" s="110" t="inlineStr">
        <is>
          <t>Aviamento</t>
        </is>
      </c>
      <c r="F1362" s="111" t="n">
        <v>8015.96</v>
      </c>
      <c r="G1362" s="104" t="inlineStr">
        <is>
          <t>08/2026</t>
        </is>
      </c>
      <c r="H1362" s="104" t="inlineStr">
        <is>
          <t>CODI</t>
        </is>
      </c>
    </row>
    <row r="1363">
      <c r="B1363" s="109" t="n">
        <v>46235</v>
      </c>
      <c r="C1363" s="110" t="inlineStr">
        <is>
          <t>Acertos e Recisões - 08/2026</t>
        </is>
      </c>
      <c r="D1363" s="110" t="inlineStr">
        <is>
          <t>Saída</t>
        </is>
      </c>
      <c r="E1363" s="110" t="inlineStr">
        <is>
          <t>Acertos e Recisões</t>
        </is>
      </c>
      <c r="F1363" s="111" t="n">
        <v>14962.53</v>
      </c>
      <c r="G1363" s="104" t="inlineStr">
        <is>
          <t>08/2026</t>
        </is>
      </c>
      <c r="H1363" s="104" t="inlineStr">
        <is>
          <t>CODI</t>
        </is>
      </c>
    </row>
    <row r="1364">
      <c r="B1364" s="109" t="n">
        <v>46235</v>
      </c>
      <c r="C1364" s="110" t="inlineStr">
        <is>
          <t>Salário e Ordenados - 08/2026</t>
        </is>
      </c>
      <c r="D1364" s="110" t="inlineStr">
        <is>
          <t>Saída</t>
        </is>
      </c>
      <c r="E1364" s="110" t="inlineStr">
        <is>
          <t>Salário e Ordenados</t>
        </is>
      </c>
      <c r="F1364" s="111" t="n">
        <v>26000.22</v>
      </c>
      <c r="G1364" s="104" t="inlineStr">
        <is>
          <t>08/2026</t>
        </is>
      </c>
      <c r="H1364" s="104" t="inlineStr">
        <is>
          <t>CODI</t>
        </is>
      </c>
    </row>
    <row r="1365">
      <c r="B1365" s="109" t="n">
        <v>46235</v>
      </c>
      <c r="C1365" s="110" t="inlineStr">
        <is>
          <t>Comissão de vendedores - 08/2026</t>
        </is>
      </c>
      <c r="D1365" s="110" t="inlineStr">
        <is>
          <t>Saída</t>
        </is>
      </c>
      <c r="E1365" s="110" t="inlineStr">
        <is>
          <t>Comissão de vendedores</t>
        </is>
      </c>
      <c r="F1365" s="111" t="n">
        <v>7132.98</v>
      </c>
      <c r="G1365" s="104" t="inlineStr">
        <is>
          <t>08/2026</t>
        </is>
      </c>
      <c r="H1365" s="104" t="inlineStr">
        <is>
          <t>CODI</t>
        </is>
      </c>
    </row>
    <row r="1366">
      <c r="B1366" s="109" t="n">
        <v>46235</v>
      </c>
      <c r="C1366" s="110" t="inlineStr">
        <is>
          <t>Advogados - Honorários - 08/2026</t>
        </is>
      </c>
      <c r="D1366" s="110" t="inlineStr">
        <is>
          <t>Saída</t>
        </is>
      </c>
      <c r="E1366" s="110" t="inlineStr">
        <is>
          <t>Advogados - Honorários</t>
        </is>
      </c>
      <c r="F1366" s="111" t="n">
        <v>2500</v>
      </c>
      <c r="G1366" s="104" t="inlineStr">
        <is>
          <t>08/2026</t>
        </is>
      </c>
      <c r="H1366" s="104" t="inlineStr">
        <is>
          <t>CODI</t>
        </is>
      </c>
    </row>
    <row r="1367">
      <c r="B1367" s="109" t="n">
        <v>46235</v>
      </c>
      <c r="C1367" s="110" t="inlineStr">
        <is>
          <t>Tecidos - 08/2026</t>
        </is>
      </c>
      <c r="D1367" s="110" t="inlineStr">
        <is>
          <t>Saída</t>
        </is>
      </c>
      <c r="E1367" s="110" t="inlineStr">
        <is>
          <t>Tecidos</t>
        </is>
      </c>
      <c r="F1367" s="111" t="n">
        <v>164492.15</v>
      </c>
      <c r="G1367" s="104" t="inlineStr">
        <is>
          <t>08/2026</t>
        </is>
      </c>
      <c r="H1367" s="104" t="inlineStr">
        <is>
          <t>CODI</t>
        </is>
      </c>
    </row>
    <row r="1368">
      <c r="B1368" s="109" t="n">
        <v>46235</v>
      </c>
      <c r="C1368" s="110" t="inlineStr">
        <is>
          <t>Combustíveis - 08/2026</t>
        </is>
      </c>
      <c r="D1368" s="110" t="inlineStr">
        <is>
          <t>Saída</t>
        </is>
      </c>
      <c r="E1368" s="110" t="inlineStr">
        <is>
          <t>Combustíveis</t>
        </is>
      </c>
      <c r="F1368" s="111" t="n">
        <v>841</v>
      </c>
      <c r="G1368" s="104" t="inlineStr">
        <is>
          <t>08/2026</t>
        </is>
      </c>
      <c r="H1368" s="104" t="inlineStr">
        <is>
          <t>CODI</t>
        </is>
      </c>
    </row>
    <row r="1369">
      <c r="B1369" s="109" t="n">
        <v>46235</v>
      </c>
      <c r="C1369" s="110" t="inlineStr">
        <is>
          <t>Travete - 08/2026</t>
        </is>
      </c>
      <c r="D1369" s="110" t="inlineStr">
        <is>
          <t>Saída</t>
        </is>
      </c>
      <c r="E1369" s="110" t="inlineStr">
        <is>
          <t>Travete</t>
        </is>
      </c>
      <c r="F1369" s="111" t="n">
        <v>1293.3</v>
      </c>
      <c r="G1369" s="104" t="inlineStr">
        <is>
          <t>08/2026</t>
        </is>
      </c>
      <c r="H1369" s="104" t="inlineStr">
        <is>
          <t>CDK</t>
        </is>
      </c>
    </row>
    <row r="1370">
      <c r="B1370" s="109" t="n">
        <v>46235</v>
      </c>
      <c r="C1370" s="110" t="inlineStr">
        <is>
          <t>Assessoria Técnica Profissional - 08/2026</t>
        </is>
      </c>
      <c r="D1370" s="110" t="inlineStr">
        <is>
          <t>Saída</t>
        </is>
      </c>
      <c r="E1370" s="110" t="inlineStr">
        <is>
          <t>Assessoria Técnica Profissional</t>
        </is>
      </c>
      <c r="F1370" s="111" t="n">
        <v>3500</v>
      </c>
      <c r="G1370" s="104" t="inlineStr">
        <is>
          <t>08/2026</t>
        </is>
      </c>
      <c r="H1370" s="104" t="inlineStr">
        <is>
          <t>CODI</t>
        </is>
      </c>
    </row>
    <row r="1371">
      <c r="B1371" s="109" t="n">
        <v>46235</v>
      </c>
      <c r="C1371" s="110" t="inlineStr">
        <is>
          <t>Tecidos - 08/2026</t>
        </is>
      </c>
      <c r="D1371" s="110" t="inlineStr">
        <is>
          <t>Saída</t>
        </is>
      </c>
      <c r="E1371" s="110" t="inlineStr">
        <is>
          <t>Tecidos</t>
        </is>
      </c>
      <c r="F1371" s="111" t="n">
        <v>53389.1</v>
      </c>
      <c r="G1371" s="104" t="inlineStr">
        <is>
          <t>08/2026</t>
        </is>
      </c>
      <c r="H1371" s="104" t="inlineStr">
        <is>
          <t>CDK</t>
        </is>
      </c>
    </row>
    <row r="1372">
      <c r="B1372" s="109" t="n">
        <v>46235</v>
      </c>
      <c r="C1372" s="110" t="inlineStr">
        <is>
          <t>Lavanderia - 08/2026</t>
        </is>
      </c>
      <c r="D1372" s="110" t="inlineStr">
        <is>
          <t>Saída</t>
        </is>
      </c>
      <c r="E1372" s="110" t="inlineStr">
        <is>
          <t>Lavanderia</t>
        </is>
      </c>
      <c r="F1372" s="111" t="n">
        <v>673.2</v>
      </c>
      <c r="G1372" s="104" t="inlineStr">
        <is>
          <t>08/2026</t>
        </is>
      </c>
      <c r="H1372" s="104" t="inlineStr">
        <is>
          <t>CDK</t>
        </is>
      </c>
    </row>
    <row r="1373">
      <c r="B1373" s="109" t="n">
        <v>46235</v>
      </c>
      <c r="C1373" s="110" t="inlineStr">
        <is>
          <t>Acabamento Externo - 08/2026</t>
        </is>
      </c>
      <c r="D1373" s="110" t="inlineStr">
        <is>
          <t>Saída</t>
        </is>
      </c>
      <c r="E1373" s="110" t="inlineStr">
        <is>
          <t>Acabamento Externo</t>
        </is>
      </c>
      <c r="F1373" s="111" t="n">
        <v>4480</v>
      </c>
      <c r="G1373" s="104" t="inlineStr">
        <is>
          <t>08/2026</t>
        </is>
      </c>
      <c r="H1373" s="104" t="inlineStr">
        <is>
          <t>CDK</t>
        </is>
      </c>
    </row>
    <row r="1374">
      <c r="B1374" s="109" t="n">
        <v>46235</v>
      </c>
      <c r="C1374" s="110" t="inlineStr">
        <is>
          <t>Produção Externa - 08/2026</t>
        </is>
      </c>
      <c r="D1374" s="110" t="inlineStr">
        <is>
          <t>Saída</t>
        </is>
      </c>
      <c r="E1374" s="110" t="inlineStr">
        <is>
          <t>Produção Externa</t>
        </is>
      </c>
      <c r="F1374" s="111" t="n">
        <v>39735</v>
      </c>
      <c r="G1374" s="104" t="inlineStr">
        <is>
          <t>08/2026</t>
        </is>
      </c>
      <c r="H1374" s="104" t="inlineStr">
        <is>
          <t>CODI</t>
        </is>
      </c>
    </row>
    <row r="1375">
      <c r="B1375" s="109" t="n">
        <v>46235</v>
      </c>
      <c r="C1375" s="110" t="inlineStr">
        <is>
          <t>Acabamento Externo - 08/2026</t>
        </is>
      </c>
      <c r="D1375" s="110" t="inlineStr">
        <is>
          <t>Saída</t>
        </is>
      </c>
      <c r="E1375" s="110" t="inlineStr">
        <is>
          <t>Acabamento Externo</t>
        </is>
      </c>
      <c r="F1375" s="111" t="n">
        <v>1914</v>
      </c>
      <c r="G1375" s="104" t="inlineStr">
        <is>
          <t>08/2026</t>
        </is>
      </c>
      <c r="H1375" s="104" t="inlineStr">
        <is>
          <t>VAREN</t>
        </is>
      </c>
    </row>
    <row r="1376">
      <c r="B1376" s="109" t="n">
        <v>46235</v>
      </c>
      <c r="C1376" s="110" t="inlineStr">
        <is>
          <t>Honorários Contábeis (Contabilidade) - 08/2026</t>
        </is>
      </c>
      <c r="D1376" s="110" t="inlineStr">
        <is>
          <t>Saída</t>
        </is>
      </c>
      <c r="E1376" s="110" t="inlineStr">
        <is>
          <t>Honorários Contábeis (Contabilidade)</t>
        </is>
      </c>
      <c r="F1376" s="111" t="n">
        <v>1100</v>
      </c>
      <c r="G1376" s="104" t="inlineStr">
        <is>
          <t>08/2026</t>
        </is>
      </c>
      <c r="H1376" s="104" t="inlineStr">
        <is>
          <t>CODI</t>
        </is>
      </c>
    </row>
    <row r="1377">
      <c r="B1377" s="109" t="n">
        <v>46235</v>
      </c>
      <c r="C1377" s="110" t="inlineStr">
        <is>
          <t>Aluguéis e Condomínios - 08/2026</t>
        </is>
      </c>
      <c r="D1377" s="110" t="inlineStr">
        <is>
          <t>Saída</t>
        </is>
      </c>
      <c r="E1377" s="110" t="inlineStr">
        <is>
          <t>Aluguéis e Condomínios</t>
        </is>
      </c>
      <c r="F1377" s="111" t="n">
        <v>6484</v>
      </c>
      <c r="G1377" s="104" t="inlineStr">
        <is>
          <t>08/2026</t>
        </is>
      </c>
      <c r="H1377" s="104" t="inlineStr">
        <is>
          <t>CODI</t>
        </is>
      </c>
    </row>
    <row r="1378">
      <c r="B1378" s="109" t="n">
        <v>46235</v>
      </c>
      <c r="C1378" s="110" t="inlineStr">
        <is>
          <t>ICMS - 08/2026</t>
        </is>
      </c>
      <c r="D1378" s="110" t="inlineStr">
        <is>
          <t>Saída</t>
        </is>
      </c>
      <c r="E1378" s="110" t="inlineStr">
        <is>
          <t>ICMS</t>
        </is>
      </c>
      <c r="F1378" s="111" t="n">
        <v>112.18</v>
      </c>
      <c r="G1378" s="104" t="inlineStr">
        <is>
          <t>08/2026</t>
        </is>
      </c>
      <c r="H1378" s="104" t="inlineStr">
        <is>
          <t>CODI</t>
        </is>
      </c>
    </row>
    <row r="1379">
      <c r="B1379" s="109" t="n">
        <v>46235</v>
      </c>
      <c r="C1379" s="110" t="inlineStr">
        <is>
          <t>Consórcio - 08/2026</t>
        </is>
      </c>
      <c r="D1379" s="110" t="inlineStr">
        <is>
          <t>Saída</t>
        </is>
      </c>
      <c r="E1379" s="110" t="inlineStr">
        <is>
          <t>Consórcio</t>
        </is>
      </c>
      <c r="F1379" s="111" t="n">
        <v>2053.23</v>
      </c>
      <c r="G1379" s="104" t="inlineStr">
        <is>
          <t>08/2026</t>
        </is>
      </c>
      <c r="H1379" s="104" t="inlineStr">
        <is>
          <t>CODI</t>
        </is>
      </c>
    </row>
    <row r="1380">
      <c r="B1380" s="109" t="n">
        <v>46235</v>
      </c>
      <c r="C1380" s="110" t="inlineStr">
        <is>
          <t>Travete - 08/2026</t>
        </is>
      </c>
      <c r="D1380" s="110" t="inlineStr">
        <is>
          <t>Saída</t>
        </is>
      </c>
      <c r="E1380" s="110" t="inlineStr">
        <is>
          <t>Travete</t>
        </is>
      </c>
      <c r="F1380" s="111" t="n">
        <v>8066.5</v>
      </c>
      <c r="G1380" s="104" t="inlineStr">
        <is>
          <t>08/2026</t>
        </is>
      </c>
      <c r="H1380" s="104" t="inlineStr">
        <is>
          <t>CODI</t>
        </is>
      </c>
    </row>
    <row r="1381">
      <c r="B1381" s="109" t="n">
        <v>46235</v>
      </c>
      <c r="C1381" s="110" t="inlineStr">
        <is>
          <t>Exame Adminissional/Demissional - 08/2026</t>
        </is>
      </c>
      <c r="D1381" s="110" t="inlineStr">
        <is>
          <t>Saída</t>
        </is>
      </c>
      <c r="E1381" s="110" t="inlineStr">
        <is>
          <t>Exame Adminissional/Demissional</t>
        </is>
      </c>
      <c r="F1381" s="111" t="n">
        <v>280</v>
      </c>
      <c r="G1381" s="104" t="inlineStr">
        <is>
          <t>08/2026</t>
        </is>
      </c>
      <c r="H1381" s="104" t="inlineStr">
        <is>
          <t>CODI</t>
        </is>
      </c>
    </row>
    <row r="1382">
      <c r="B1382" s="109" t="n">
        <v>46235</v>
      </c>
      <c r="C1382" s="110" t="inlineStr">
        <is>
          <t>Outros Tributos - 08/2026</t>
        </is>
      </c>
      <c r="D1382" s="110" t="inlineStr">
        <is>
          <t>Saída</t>
        </is>
      </c>
      <c r="E1382" s="110" t="inlineStr">
        <is>
          <t>Outros Tributos</t>
        </is>
      </c>
      <c r="F1382" s="111" t="n">
        <v>90.77</v>
      </c>
      <c r="G1382" s="104" t="inlineStr">
        <is>
          <t>08/2026</t>
        </is>
      </c>
      <c r="H1382" s="104" t="inlineStr">
        <is>
          <t>CODI</t>
        </is>
      </c>
    </row>
    <row r="1383">
      <c r="B1383" s="109" t="n">
        <v>46235</v>
      </c>
      <c r="C1383" s="110" t="inlineStr">
        <is>
          <t>Outros Insumos - 08/2026</t>
        </is>
      </c>
      <c r="D1383" s="110" t="inlineStr">
        <is>
          <t>Saída</t>
        </is>
      </c>
      <c r="E1383" s="110" t="inlineStr">
        <is>
          <t>Outros Insumos</t>
        </is>
      </c>
      <c r="F1383" s="111" t="n">
        <v>684</v>
      </c>
      <c r="G1383" s="104" t="inlineStr">
        <is>
          <t>08/2026</t>
        </is>
      </c>
      <c r="H1383" s="104" t="inlineStr">
        <is>
          <t>CODI</t>
        </is>
      </c>
    </row>
    <row r="1384">
      <c r="B1384" s="109" t="n">
        <v>46235</v>
      </c>
      <c r="C1384" s="110" t="inlineStr">
        <is>
          <t>Comissão de Assessores - 08/2026</t>
        </is>
      </c>
      <c r="D1384" s="110" t="inlineStr">
        <is>
          <t>Saída</t>
        </is>
      </c>
      <c r="E1384" s="110" t="inlineStr">
        <is>
          <t>Comissão de Assessores</t>
        </is>
      </c>
      <c r="F1384" s="111" t="n">
        <v>787.25</v>
      </c>
      <c r="G1384" s="104" t="inlineStr">
        <is>
          <t>08/2026</t>
        </is>
      </c>
      <c r="H1384" s="104" t="inlineStr">
        <is>
          <t>CODI</t>
        </is>
      </c>
    </row>
    <row r="1385">
      <c r="B1385" s="109" t="n">
        <v>46235</v>
      </c>
      <c r="C1385" s="110" t="inlineStr">
        <is>
          <t>Manutenção de Veiculos e Estacionamento - 08/2026</t>
        </is>
      </c>
      <c r="D1385" s="110" t="inlineStr">
        <is>
          <t>Saída</t>
        </is>
      </c>
      <c r="E1385" s="110" t="inlineStr">
        <is>
          <t>Manutenção de Veiculos e Estacionamento</t>
        </is>
      </c>
      <c r="F1385" s="111" t="n">
        <v>285</v>
      </c>
      <c r="G1385" s="104" t="inlineStr">
        <is>
          <t>08/2026</t>
        </is>
      </c>
      <c r="H1385" s="104" t="inlineStr">
        <is>
          <t>CODI</t>
        </is>
      </c>
    </row>
    <row r="1386">
      <c r="B1386" s="109" t="n">
        <v>46235</v>
      </c>
      <c r="C1386" s="110" t="inlineStr">
        <is>
          <t>Facção - 08/2026</t>
        </is>
      </c>
      <c r="D1386" s="110" t="inlineStr">
        <is>
          <t>Saída</t>
        </is>
      </c>
      <c r="E1386" s="110" t="inlineStr">
        <is>
          <t>Facção</t>
        </is>
      </c>
      <c r="F1386" s="111" t="n">
        <v>16368</v>
      </c>
      <c r="G1386" s="104" t="inlineStr">
        <is>
          <t>08/2026</t>
        </is>
      </c>
      <c r="H1386" s="104" t="inlineStr">
        <is>
          <t>CDK</t>
        </is>
      </c>
    </row>
    <row r="1387">
      <c r="B1387" s="109" t="n">
        <v>46235</v>
      </c>
      <c r="C1387" s="110" t="inlineStr">
        <is>
          <t>Seguros - 08/2026</t>
        </is>
      </c>
      <c r="D1387" s="110" t="inlineStr">
        <is>
          <t>Saída</t>
        </is>
      </c>
      <c r="E1387" s="110" t="inlineStr">
        <is>
          <t>Seguros</t>
        </is>
      </c>
      <c r="F1387" s="111" t="n">
        <v>1198.01</v>
      </c>
      <c r="G1387" s="104" t="inlineStr">
        <is>
          <t>08/2026</t>
        </is>
      </c>
      <c r="H1387" s="104" t="inlineStr">
        <is>
          <t>CODI</t>
        </is>
      </c>
    </row>
    <row r="1388">
      <c r="B1388" s="109" t="n">
        <v>46235</v>
      </c>
      <c r="C1388" s="110" t="inlineStr">
        <is>
          <t>Consulta de Crédito Cliente - 08/2026</t>
        </is>
      </c>
      <c r="D1388" s="110" t="inlineStr">
        <is>
          <t>Saída</t>
        </is>
      </c>
      <c r="E1388" s="110" t="inlineStr">
        <is>
          <t>Consulta de Crédito Cliente</t>
        </is>
      </c>
      <c r="F1388" s="111" t="n">
        <v>395.54</v>
      </c>
      <c r="G1388" s="104" t="inlineStr">
        <is>
          <t>08/2026</t>
        </is>
      </c>
      <c r="H1388" s="104" t="inlineStr">
        <is>
          <t>CODI</t>
        </is>
      </c>
    </row>
    <row r="1389">
      <c r="B1389" s="109" t="n">
        <v>46235</v>
      </c>
      <c r="C1389" s="110" t="inlineStr">
        <is>
          <t>Fgts, Gps e Pis - 08/2026</t>
        </is>
      </c>
      <c r="D1389" s="110" t="inlineStr">
        <is>
          <t>Saída</t>
        </is>
      </c>
      <c r="E1389" s="110" t="inlineStr">
        <is>
          <t>Fgts, Gps e Pis</t>
        </is>
      </c>
      <c r="F1389" s="111" t="n">
        <v>3652.84</v>
      </c>
      <c r="G1389" s="104" t="inlineStr">
        <is>
          <t>08/2026</t>
        </is>
      </c>
      <c r="H1389" s="104" t="inlineStr">
        <is>
          <t>CODI</t>
        </is>
      </c>
    </row>
    <row r="1390">
      <c r="B1390" s="109" t="n">
        <v>46235</v>
      </c>
      <c r="C1390" s="110" t="inlineStr">
        <is>
          <t>Segurança e Monitoramento - 08/2026</t>
        </is>
      </c>
      <c r="D1390" s="110" t="inlineStr">
        <is>
          <t>Saída</t>
        </is>
      </c>
      <c r="E1390" s="110" t="inlineStr">
        <is>
          <t>Segurança e Monitoramento</t>
        </is>
      </c>
      <c r="F1390" s="111" t="n">
        <v>248</v>
      </c>
      <c r="G1390" s="104" t="inlineStr">
        <is>
          <t>08/2026</t>
        </is>
      </c>
      <c r="H1390" s="104" t="inlineStr">
        <is>
          <t>CODI</t>
        </is>
      </c>
    </row>
    <row r="1391">
      <c r="B1391" s="109" t="n">
        <v>46235</v>
      </c>
      <c r="C1391" s="110" t="inlineStr">
        <is>
          <t>Simples Nacional - 08/2026</t>
        </is>
      </c>
      <c r="D1391" s="110" t="inlineStr">
        <is>
          <t>Saída</t>
        </is>
      </c>
      <c r="E1391" s="110" t="inlineStr">
        <is>
          <t>Simples Nacional</t>
        </is>
      </c>
      <c r="F1391" s="111" t="n">
        <v>20352.27</v>
      </c>
      <c r="G1391" s="104" t="inlineStr">
        <is>
          <t>08/2026</t>
        </is>
      </c>
      <c r="H1391" s="104" t="inlineStr">
        <is>
          <t>CODI</t>
        </is>
      </c>
    </row>
    <row r="1392">
      <c r="B1392" s="109" t="n">
        <v>46235</v>
      </c>
      <c r="C1392" s="110" t="inlineStr">
        <is>
          <t>Darf - 08/2026</t>
        </is>
      </c>
      <c r="D1392" s="110" t="inlineStr">
        <is>
          <t>Saída</t>
        </is>
      </c>
      <c r="E1392" s="110" t="inlineStr">
        <is>
          <t>Darf</t>
        </is>
      </c>
      <c r="F1392" s="111" t="n">
        <v>3369.53</v>
      </c>
      <c r="G1392" s="104" t="inlineStr">
        <is>
          <t>08/2026</t>
        </is>
      </c>
      <c r="H1392" s="104" t="inlineStr">
        <is>
          <t>CODI</t>
        </is>
      </c>
    </row>
    <row r="1393">
      <c r="B1393" s="109" t="n">
        <v>46235</v>
      </c>
      <c r="C1393" s="110" t="inlineStr">
        <is>
          <t>Telefonia Fixa e Internet - 08/2026</t>
        </is>
      </c>
      <c r="D1393" s="110" t="inlineStr">
        <is>
          <t>Saída</t>
        </is>
      </c>
      <c r="E1393" s="110" t="inlineStr">
        <is>
          <t>Telefonia Fixa e Internet</t>
        </is>
      </c>
      <c r="F1393" s="111" t="n">
        <v>130</v>
      </c>
      <c r="G1393" s="104" t="inlineStr">
        <is>
          <t>08/2026</t>
        </is>
      </c>
      <c r="H1393" s="104" t="inlineStr">
        <is>
          <t>CODI</t>
        </is>
      </c>
    </row>
    <row r="1394">
      <c r="B1394" s="109" t="n">
        <v>46235</v>
      </c>
      <c r="C1394" s="110" t="inlineStr">
        <is>
          <t>Tecidos - 08/2026</t>
        </is>
      </c>
      <c r="D1394" s="110" t="inlineStr">
        <is>
          <t>Saída</t>
        </is>
      </c>
      <c r="E1394" s="110" t="inlineStr">
        <is>
          <t>Tecidos</t>
        </is>
      </c>
      <c r="F1394" s="111" t="n">
        <v>2254.95</v>
      </c>
      <c r="G1394" s="104" t="inlineStr">
        <is>
          <t>08/2026</t>
        </is>
      </c>
      <c r="H1394" s="104" t="inlineStr">
        <is>
          <t>VAREN</t>
        </is>
      </c>
    </row>
    <row r="1395">
      <c r="B1395" s="109" t="n">
        <v>46235</v>
      </c>
      <c r="C1395" s="110" t="inlineStr">
        <is>
          <t>Despesa não Identificada - 08/2026</t>
        </is>
      </c>
      <c r="D1395" s="110" t="inlineStr">
        <is>
          <t>Saída</t>
        </is>
      </c>
      <c r="E1395" s="110" t="inlineStr">
        <is>
          <t>Despesa não Identificada</t>
        </is>
      </c>
      <c r="F1395" s="111" t="n">
        <v>12932.95</v>
      </c>
      <c r="G1395" s="104" t="inlineStr">
        <is>
          <t>08/2026</t>
        </is>
      </c>
      <c r="H1395" s="104" t="inlineStr">
        <is>
          <t>CODI</t>
        </is>
      </c>
    </row>
    <row r="1396">
      <c r="B1396" s="109" t="n">
        <v>46235</v>
      </c>
      <c r="C1396" s="110" t="inlineStr">
        <is>
          <t>Alimentação - 08/2026</t>
        </is>
      </c>
      <c r="D1396" s="110" t="inlineStr">
        <is>
          <t>Saída</t>
        </is>
      </c>
      <c r="E1396" s="110" t="inlineStr">
        <is>
          <t>Alimentação</t>
        </is>
      </c>
      <c r="F1396" s="111" t="n">
        <v>100</v>
      </c>
      <c r="G1396" s="104" t="inlineStr">
        <is>
          <t>08/2026</t>
        </is>
      </c>
      <c r="H1396" s="104" t="inlineStr">
        <is>
          <t>CODI</t>
        </is>
      </c>
    </row>
    <row r="1397">
      <c r="B1397" s="109" t="n">
        <v>46235</v>
      </c>
      <c r="C1397" s="110" t="inlineStr">
        <is>
          <t>Energia Elétrica - 08/2026</t>
        </is>
      </c>
      <c r="D1397" s="110" t="inlineStr">
        <is>
          <t>Saída</t>
        </is>
      </c>
      <c r="E1397" s="110" t="inlineStr">
        <is>
          <t>Energia Elétrica</t>
        </is>
      </c>
      <c r="F1397" s="111" t="n">
        <v>153.48</v>
      </c>
      <c r="G1397" s="104" t="inlineStr">
        <is>
          <t>08/2026</t>
        </is>
      </c>
      <c r="H1397" s="104" t="inlineStr">
        <is>
          <t>CODI</t>
        </is>
      </c>
    </row>
    <row r="1398">
      <c r="B1398" s="109" t="n">
        <v>46235</v>
      </c>
      <c r="C1398" s="110" t="inlineStr">
        <is>
          <t>Água - 08/2026</t>
        </is>
      </c>
      <c r="D1398" s="110" t="inlineStr">
        <is>
          <t>Saída</t>
        </is>
      </c>
      <c r="E1398" s="110" t="inlineStr">
        <is>
          <t>Água</t>
        </is>
      </c>
      <c r="F1398" s="111" t="n">
        <v>286.52</v>
      </c>
      <c r="G1398" s="104" t="inlineStr">
        <is>
          <t>08/2026</t>
        </is>
      </c>
      <c r="H1398" s="104" t="inlineStr">
        <is>
          <t>CODI</t>
        </is>
      </c>
    </row>
    <row r="1399">
      <c r="B1399" s="109" t="n">
        <v>46266</v>
      </c>
      <c r="C1399" s="110" t="inlineStr">
        <is>
          <t>Vendas - 09/2026</t>
        </is>
      </c>
      <c r="D1399" s="110" t="inlineStr">
        <is>
          <t>Entrada</t>
        </is>
      </c>
      <c r="E1399" s="110" t="inlineStr">
        <is>
          <t>Vendas</t>
        </is>
      </c>
      <c r="F1399" s="111" t="n">
        <v>1410</v>
      </c>
      <c r="G1399" s="104" t="inlineStr">
        <is>
          <t>09/2026</t>
        </is>
      </c>
      <c r="H1399" s="104" t="inlineStr">
        <is>
          <t>CODI</t>
        </is>
      </c>
    </row>
    <row r="1400">
      <c r="B1400" s="109" t="n">
        <v>46266</v>
      </c>
      <c r="C1400" s="110" t="inlineStr">
        <is>
          <t>Vendas - 09/2026</t>
        </is>
      </c>
      <c r="D1400" s="110" t="inlineStr">
        <is>
          <t>Entrada</t>
        </is>
      </c>
      <c r="E1400" s="110" t="inlineStr">
        <is>
          <t>Vendas</t>
        </is>
      </c>
      <c r="F1400" s="111" t="n">
        <v>3040</v>
      </c>
      <c r="G1400" s="104" t="inlineStr">
        <is>
          <t>09/2026</t>
        </is>
      </c>
      <c r="H1400" s="104" t="inlineStr">
        <is>
          <t>CODI</t>
        </is>
      </c>
    </row>
    <row r="1401">
      <c r="B1401" s="109" t="n">
        <v>46266</v>
      </c>
      <c r="C1401" s="110" t="inlineStr">
        <is>
          <t>Vendas - 09/2026</t>
        </is>
      </c>
      <c r="D1401" s="110" t="inlineStr">
        <is>
          <t>Entrada</t>
        </is>
      </c>
      <c r="E1401" s="110" t="inlineStr">
        <is>
          <t>Vendas</t>
        </is>
      </c>
      <c r="F1401" s="111" t="n">
        <v>65</v>
      </c>
      <c r="G1401" s="104" t="inlineStr">
        <is>
          <t>09/2026</t>
        </is>
      </c>
      <c r="H1401" s="104" t="inlineStr">
        <is>
          <t>CODI</t>
        </is>
      </c>
    </row>
    <row r="1402">
      <c r="B1402" s="109" t="n">
        <v>46266</v>
      </c>
      <c r="C1402" s="110" t="inlineStr">
        <is>
          <t>Vendas - 09/2026</t>
        </is>
      </c>
      <c r="D1402" s="110" t="inlineStr">
        <is>
          <t>Entrada</t>
        </is>
      </c>
      <c r="E1402" s="110" t="inlineStr">
        <is>
          <t>Vendas</t>
        </is>
      </c>
      <c r="F1402" s="111" t="n">
        <v>560</v>
      </c>
      <c r="G1402" s="104" t="inlineStr">
        <is>
          <t>09/2026</t>
        </is>
      </c>
      <c r="H1402" s="104" t="inlineStr">
        <is>
          <t>CODI</t>
        </is>
      </c>
    </row>
    <row r="1403">
      <c r="B1403" s="109" t="n">
        <v>46266</v>
      </c>
      <c r="C1403" s="110" t="inlineStr">
        <is>
          <t>Vendas - 09/2026</t>
        </is>
      </c>
      <c r="D1403" s="110" t="inlineStr">
        <is>
          <t>Entrada</t>
        </is>
      </c>
      <c r="E1403" s="110" t="inlineStr">
        <is>
          <t>Vendas</t>
        </is>
      </c>
      <c r="F1403" s="111" t="n">
        <v>2011.36</v>
      </c>
      <c r="G1403" s="104" t="inlineStr">
        <is>
          <t>09/2026</t>
        </is>
      </c>
      <c r="H1403" s="104" t="inlineStr">
        <is>
          <t>CODI</t>
        </is>
      </c>
    </row>
    <row r="1404">
      <c r="B1404" s="109" t="n">
        <v>46266</v>
      </c>
      <c r="C1404" s="110" t="inlineStr">
        <is>
          <t>Vendas - 09/2026</t>
        </is>
      </c>
      <c r="D1404" s="110" t="inlineStr">
        <is>
          <t>Entrada</t>
        </is>
      </c>
      <c r="E1404" s="110" t="inlineStr">
        <is>
          <t>Vendas</t>
        </is>
      </c>
      <c r="F1404" s="111" t="n">
        <v>1110.8</v>
      </c>
      <c r="G1404" s="104" t="inlineStr">
        <is>
          <t>09/2026</t>
        </is>
      </c>
      <c r="H1404" s="104" t="inlineStr">
        <is>
          <t>CODI</t>
        </is>
      </c>
    </row>
    <row r="1405">
      <c r="B1405" s="109" t="n">
        <v>46266</v>
      </c>
      <c r="C1405" s="110" t="inlineStr">
        <is>
          <t>Vendas - 09/2026</t>
        </is>
      </c>
      <c r="D1405" s="110" t="inlineStr">
        <is>
          <t>Entrada</t>
        </is>
      </c>
      <c r="E1405" s="110" t="inlineStr">
        <is>
          <t>Vendas</t>
        </is>
      </c>
      <c r="F1405" s="111" t="n">
        <v>5197</v>
      </c>
      <c r="G1405" s="104" t="inlineStr">
        <is>
          <t>09/2026</t>
        </is>
      </c>
      <c r="H1405" s="104" t="inlineStr">
        <is>
          <t>CODI</t>
        </is>
      </c>
    </row>
    <row r="1406">
      <c r="B1406" s="109" t="n">
        <v>46266</v>
      </c>
      <c r="C1406" s="110" t="inlineStr">
        <is>
          <t>Vendas - 09/2026</t>
        </is>
      </c>
      <c r="D1406" s="110" t="inlineStr">
        <is>
          <t>Entrada</t>
        </is>
      </c>
      <c r="E1406" s="110" t="inlineStr">
        <is>
          <t>Vendas</t>
        </is>
      </c>
      <c r="F1406" s="111" t="n">
        <v>1582.02</v>
      </c>
      <c r="G1406" s="104" t="inlineStr">
        <is>
          <t>09/2026</t>
        </is>
      </c>
      <c r="H1406" s="104" t="inlineStr">
        <is>
          <t>CODI</t>
        </is>
      </c>
    </row>
    <row r="1407">
      <c r="B1407" s="109" t="n">
        <v>46266</v>
      </c>
      <c r="C1407" s="110" t="inlineStr">
        <is>
          <t>Vendas - 09/2026</t>
        </is>
      </c>
      <c r="D1407" s="110" t="inlineStr">
        <is>
          <t>Entrada</t>
        </is>
      </c>
      <c r="E1407" s="110" t="inlineStr">
        <is>
          <t>Vendas</t>
        </is>
      </c>
      <c r="F1407" s="111" t="n">
        <v>1510</v>
      </c>
      <c r="G1407" s="104" t="inlineStr">
        <is>
          <t>09/2026</t>
        </is>
      </c>
      <c r="H1407" s="104" t="inlineStr">
        <is>
          <t>CODI</t>
        </is>
      </c>
    </row>
    <row r="1408">
      <c r="B1408" s="109" t="n">
        <v>46266</v>
      </c>
      <c r="C1408" s="110" t="inlineStr">
        <is>
          <t>Vendas - 09/2026</t>
        </is>
      </c>
      <c r="D1408" s="110" t="inlineStr">
        <is>
          <t>Entrada</t>
        </is>
      </c>
      <c r="E1408" s="110" t="inlineStr">
        <is>
          <t>Vendas</t>
        </is>
      </c>
      <c r="F1408" s="111" t="n">
        <v>6043.64</v>
      </c>
      <c r="G1408" s="104" t="inlineStr">
        <is>
          <t>09/2026</t>
        </is>
      </c>
      <c r="H1408" s="104" t="inlineStr">
        <is>
          <t>CODI</t>
        </is>
      </c>
    </row>
    <row r="1409">
      <c r="B1409" s="109" t="n">
        <v>46266</v>
      </c>
      <c r="C1409" s="110" t="inlineStr">
        <is>
          <t>Vendas - 09/2026</t>
        </is>
      </c>
      <c r="D1409" s="110" t="inlineStr">
        <is>
          <t>Entrada</t>
        </is>
      </c>
      <c r="E1409" s="110" t="inlineStr">
        <is>
          <t>Vendas</t>
        </is>
      </c>
      <c r="F1409" s="111" t="n">
        <v>933.33</v>
      </c>
      <c r="G1409" s="104" t="inlineStr">
        <is>
          <t>09/2026</t>
        </is>
      </c>
      <c r="H1409" s="104" t="inlineStr">
        <is>
          <t>CODI</t>
        </is>
      </c>
    </row>
    <row r="1410">
      <c r="B1410" s="109" t="n">
        <v>46266</v>
      </c>
      <c r="C1410" s="110" t="inlineStr">
        <is>
          <t>Vendas - 09/2026</t>
        </is>
      </c>
      <c r="D1410" s="110" t="inlineStr">
        <is>
          <t>Entrada</t>
        </is>
      </c>
      <c r="E1410" s="110" t="inlineStr">
        <is>
          <t>Vendas</t>
        </is>
      </c>
      <c r="F1410" s="111" t="n">
        <v>5472.5</v>
      </c>
      <c r="G1410" s="104" t="inlineStr">
        <is>
          <t>09/2026</t>
        </is>
      </c>
      <c r="H1410" s="104" t="inlineStr">
        <is>
          <t>CODI</t>
        </is>
      </c>
    </row>
    <row r="1411">
      <c r="B1411" s="109" t="n">
        <v>46266</v>
      </c>
      <c r="C1411" s="110" t="inlineStr">
        <is>
          <t>Vendas - 09/2026</t>
        </is>
      </c>
      <c r="D1411" s="110" t="inlineStr">
        <is>
          <t>Entrada</t>
        </is>
      </c>
      <c r="E1411" s="110" t="inlineStr">
        <is>
          <t>Vendas</t>
        </is>
      </c>
      <c r="F1411" s="111" t="n">
        <v>1545</v>
      </c>
      <c r="G1411" s="104" t="inlineStr">
        <is>
          <t>09/2026</t>
        </is>
      </c>
      <c r="H1411" s="104" t="inlineStr">
        <is>
          <t>CODI</t>
        </is>
      </c>
    </row>
    <row r="1412">
      <c r="B1412" s="109" t="n">
        <v>46266</v>
      </c>
      <c r="C1412" s="110" t="inlineStr">
        <is>
          <t>Vendas - 09/2026</t>
        </is>
      </c>
      <c r="D1412" s="110" t="inlineStr">
        <is>
          <t>Entrada</t>
        </is>
      </c>
      <c r="E1412" s="110" t="inlineStr">
        <is>
          <t>Vendas</t>
        </is>
      </c>
      <c r="F1412" s="111" t="n">
        <v>1292.28</v>
      </c>
      <c r="G1412" s="104" t="inlineStr">
        <is>
          <t>09/2026</t>
        </is>
      </c>
      <c r="H1412" s="104" t="inlineStr">
        <is>
          <t>CODI</t>
        </is>
      </c>
    </row>
    <row r="1413">
      <c r="B1413" s="109" t="n">
        <v>46266</v>
      </c>
      <c r="C1413" s="110" t="inlineStr">
        <is>
          <t>Vendas - 09/2026</t>
        </is>
      </c>
      <c r="D1413" s="110" t="inlineStr">
        <is>
          <t>Entrada</t>
        </is>
      </c>
      <c r="E1413" s="110" t="inlineStr">
        <is>
          <t>Vendas</t>
        </is>
      </c>
      <c r="F1413" s="111" t="n">
        <v>1367.04</v>
      </c>
      <c r="G1413" s="104" t="inlineStr">
        <is>
          <t>09/2026</t>
        </is>
      </c>
      <c r="H1413" s="104" t="inlineStr">
        <is>
          <t>CODI</t>
        </is>
      </c>
    </row>
    <row r="1414">
      <c r="B1414" s="109" t="n">
        <v>46266</v>
      </c>
      <c r="C1414" s="110" t="inlineStr">
        <is>
          <t>Vendas - 09/2026</t>
        </is>
      </c>
      <c r="D1414" s="110" t="inlineStr">
        <is>
          <t>Entrada</t>
        </is>
      </c>
      <c r="E1414" s="110" t="inlineStr">
        <is>
          <t>Vendas</t>
        </is>
      </c>
      <c r="F1414" s="111" t="n">
        <v>4295</v>
      </c>
      <c r="G1414" s="104" t="inlineStr">
        <is>
          <t>09/2026</t>
        </is>
      </c>
      <c r="H1414" s="104" t="inlineStr">
        <is>
          <t>CODI</t>
        </is>
      </c>
    </row>
    <row r="1415">
      <c r="B1415" s="109" t="n">
        <v>46266</v>
      </c>
      <c r="C1415" s="110" t="inlineStr">
        <is>
          <t>Vendas - 09/2026</t>
        </is>
      </c>
      <c r="D1415" s="110" t="inlineStr">
        <is>
          <t>Entrada</t>
        </is>
      </c>
      <c r="E1415" s="110" t="inlineStr">
        <is>
          <t>Vendas</t>
        </is>
      </c>
      <c r="F1415" s="111" t="n">
        <v>4700</v>
      </c>
      <c r="G1415" s="104" t="inlineStr">
        <is>
          <t>09/2026</t>
        </is>
      </c>
      <c r="H1415" s="104" t="inlineStr">
        <is>
          <t>CODI</t>
        </is>
      </c>
    </row>
    <row r="1416">
      <c r="B1416" s="109" t="n">
        <v>46266</v>
      </c>
      <c r="C1416" s="110" t="inlineStr">
        <is>
          <t>Vendas - 09/2026</t>
        </is>
      </c>
      <c r="D1416" s="110" t="inlineStr">
        <is>
          <t>Entrada</t>
        </is>
      </c>
      <c r="E1416" s="110" t="inlineStr">
        <is>
          <t>Vendas</t>
        </is>
      </c>
      <c r="F1416" s="111" t="n">
        <v>1162.2</v>
      </c>
      <c r="G1416" s="104" t="inlineStr">
        <is>
          <t>09/2026</t>
        </is>
      </c>
      <c r="H1416" s="104" t="inlineStr">
        <is>
          <t>CODI</t>
        </is>
      </c>
    </row>
    <row r="1417">
      <c r="B1417" s="109" t="n">
        <v>46266</v>
      </c>
      <c r="C1417" s="110" t="inlineStr">
        <is>
          <t>Vendas - 09/2026</t>
        </is>
      </c>
      <c r="D1417" s="110" t="inlineStr">
        <is>
          <t>Entrada</t>
        </is>
      </c>
      <c r="E1417" s="110" t="inlineStr">
        <is>
          <t>Vendas</t>
        </is>
      </c>
      <c r="F1417" s="111" t="n">
        <v>573.4</v>
      </c>
      <c r="G1417" s="104" t="inlineStr">
        <is>
          <t>09/2026</t>
        </is>
      </c>
      <c r="H1417" s="104" t="inlineStr">
        <is>
          <t>CODI</t>
        </is>
      </c>
    </row>
    <row r="1418">
      <c r="B1418" s="109" t="n">
        <v>46266</v>
      </c>
      <c r="C1418" s="110" t="inlineStr">
        <is>
          <t>Vendas - 09/2026</t>
        </is>
      </c>
      <c r="D1418" s="110" t="inlineStr">
        <is>
          <t>Entrada</t>
        </is>
      </c>
      <c r="E1418" s="110" t="inlineStr">
        <is>
          <t>Vendas</t>
        </is>
      </c>
      <c r="F1418" s="111" t="n">
        <v>2973.33</v>
      </c>
      <c r="G1418" s="104" t="inlineStr">
        <is>
          <t>09/2026</t>
        </is>
      </c>
      <c r="H1418" s="104" t="inlineStr">
        <is>
          <t>CODI</t>
        </is>
      </c>
    </row>
    <row r="1419">
      <c r="B1419" s="109" t="n">
        <v>46266</v>
      </c>
      <c r="C1419" s="110" t="inlineStr">
        <is>
          <t>Vendas - 09/2026</t>
        </is>
      </c>
      <c r="D1419" s="110" t="inlineStr">
        <is>
          <t>Entrada</t>
        </is>
      </c>
      <c r="E1419" s="110" t="inlineStr">
        <is>
          <t>Vendas</t>
        </is>
      </c>
      <c r="F1419" s="111" t="n">
        <v>1215</v>
      </c>
      <c r="G1419" s="104" t="inlineStr">
        <is>
          <t>09/2026</t>
        </is>
      </c>
      <c r="H1419" s="104" t="inlineStr">
        <is>
          <t>CODI</t>
        </is>
      </c>
    </row>
    <row r="1420">
      <c r="B1420" s="109" t="n">
        <v>46266</v>
      </c>
      <c r="C1420" s="110" t="inlineStr">
        <is>
          <t>Vendas - 09/2026</t>
        </is>
      </c>
      <c r="D1420" s="110" t="inlineStr">
        <is>
          <t>Entrada</t>
        </is>
      </c>
      <c r="E1420" s="110" t="inlineStr">
        <is>
          <t>Vendas</t>
        </is>
      </c>
      <c r="F1420" s="111" t="n">
        <v>1335</v>
      </c>
      <c r="G1420" s="104" t="inlineStr">
        <is>
          <t>09/2026</t>
        </is>
      </c>
      <c r="H1420" s="104" t="inlineStr">
        <is>
          <t>CODI</t>
        </is>
      </c>
    </row>
    <row r="1421">
      <c r="B1421" s="109" t="n">
        <v>46266</v>
      </c>
      <c r="C1421" s="110" t="inlineStr">
        <is>
          <t>Vendas - 09/2026</t>
        </is>
      </c>
      <c r="D1421" s="110" t="inlineStr">
        <is>
          <t>Entrada</t>
        </is>
      </c>
      <c r="E1421" s="110" t="inlineStr">
        <is>
          <t>Vendas</t>
        </is>
      </c>
      <c r="F1421" s="111" t="n">
        <v>850</v>
      </c>
      <c r="G1421" s="104" t="inlineStr">
        <is>
          <t>09/2026</t>
        </is>
      </c>
      <c r="H1421" s="104" t="inlineStr">
        <is>
          <t>CODI</t>
        </is>
      </c>
    </row>
    <row r="1422">
      <c r="B1422" s="109" t="n">
        <v>46266</v>
      </c>
      <c r="C1422" s="110" t="inlineStr">
        <is>
          <t>Vendas - 09/2026</t>
        </is>
      </c>
      <c r="D1422" s="110" t="inlineStr">
        <is>
          <t>Entrada</t>
        </is>
      </c>
      <c r="E1422" s="110" t="inlineStr">
        <is>
          <t>Vendas</t>
        </is>
      </c>
      <c r="F1422" s="111" t="n">
        <v>2213.33</v>
      </c>
      <c r="G1422" s="104" t="inlineStr">
        <is>
          <t>09/2026</t>
        </is>
      </c>
      <c r="H1422" s="104" t="inlineStr">
        <is>
          <t>CODI</t>
        </is>
      </c>
    </row>
    <row r="1423">
      <c r="B1423" s="109" t="n">
        <v>46266</v>
      </c>
      <c r="C1423" s="110" t="inlineStr">
        <is>
          <t>Vendas - 09/2026</t>
        </is>
      </c>
      <c r="D1423" s="110" t="inlineStr">
        <is>
          <t>Entrada</t>
        </is>
      </c>
      <c r="E1423" s="110" t="inlineStr">
        <is>
          <t>Vendas</t>
        </is>
      </c>
      <c r="F1423" s="111" t="n">
        <v>199</v>
      </c>
      <c r="G1423" s="104" t="inlineStr">
        <is>
          <t>09/2026</t>
        </is>
      </c>
      <c r="H1423" s="104" t="inlineStr">
        <is>
          <t>CODI</t>
        </is>
      </c>
    </row>
    <row r="1424">
      <c r="B1424" s="109" t="n">
        <v>46266</v>
      </c>
      <c r="C1424" s="110" t="inlineStr">
        <is>
          <t>Vendas - 09/2026</t>
        </is>
      </c>
      <c r="D1424" s="110" t="inlineStr">
        <is>
          <t>Entrada</t>
        </is>
      </c>
      <c r="E1424" s="110" t="inlineStr">
        <is>
          <t>Vendas</t>
        </is>
      </c>
      <c r="F1424" s="111" t="n">
        <v>1675</v>
      </c>
      <c r="G1424" s="104" t="inlineStr">
        <is>
          <t>09/2026</t>
        </is>
      </c>
      <c r="H1424" s="104" t="inlineStr">
        <is>
          <t>CODI</t>
        </is>
      </c>
    </row>
    <row r="1425">
      <c r="B1425" s="109" t="n">
        <v>46266</v>
      </c>
      <c r="C1425" s="110" t="inlineStr">
        <is>
          <t>Vendas - 09/2026</t>
        </is>
      </c>
      <c r="D1425" s="110" t="inlineStr">
        <is>
          <t>Entrada</t>
        </is>
      </c>
      <c r="E1425" s="110" t="inlineStr">
        <is>
          <t>Vendas</t>
        </is>
      </c>
      <c r="F1425" s="111" t="n">
        <v>2240</v>
      </c>
      <c r="G1425" s="104" t="inlineStr">
        <is>
          <t>09/2026</t>
        </is>
      </c>
      <c r="H1425" s="104" t="inlineStr">
        <is>
          <t>CODI</t>
        </is>
      </c>
    </row>
    <row r="1426">
      <c r="B1426" s="109" t="n">
        <v>46266</v>
      </c>
      <c r="C1426" s="110" t="inlineStr">
        <is>
          <t>Vendas - 09/2026</t>
        </is>
      </c>
      <c r="D1426" s="110" t="inlineStr">
        <is>
          <t>Entrada</t>
        </is>
      </c>
      <c r="E1426" s="110" t="inlineStr">
        <is>
          <t>Vendas</t>
        </is>
      </c>
      <c r="F1426" s="111" t="n">
        <v>2815</v>
      </c>
      <c r="G1426" s="104" t="inlineStr">
        <is>
          <t>09/2026</t>
        </is>
      </c>
      <c r="H1426" s="104" t="inlineStr">
        <is>
          <t>CODI</t>
        </is>
      </c>
    </row>
    <row r="1427">
      <c r="B1427" s="109" t="n">
        <v>46266</v>
      </c>
      <c r="C1427" s="110" t="inlineStr">
        <is>
          <t>Vendas - 09/2026</t>
        </is>
      </c>
      <c r="D1427" s="110" t="inlineStr">
        <is>
          <t>Entrada</t>
        </is>
      </c>
      <c r="E1427" s="110" t="inlineStr">
        <is>
          <t>Vendas</t>
        </is>
      </c>
      <c r="F1427" s="111" t="n">
        <v>140</v>
      </c>
      <c r="G1427" s="104" t="inlineStr">
        <is>
          <t>09/2026</t>
        </is>
      </c>
      <c r="H1427" s="104" t="inlineStr">
        <is>
          <t>CODI</t>
        </is>
      </c>
    </row>
    <row r="1428">
      <c r="B1428" s="109" t="n">
        <v>46266</v>
      </c>
      <c r="C1428" s="110" t="inlineStr">
        <is>
          <t>Vendas - 09/2026</t>
        </is>
      </c>
      <c r="D1428" s="110" t="inlineStr">
        <is>
          <t>Entrada</t>
        </is>
      </c>
      <c r="E1428" s="110" t="inlineStr">
        <is>
          <t>Vendas</t>
        </is>
      </c>
      <c r="F1428" s="111" t="n">
        <v>350</v>
      </c>
      <c r="G1428" s="104" t="inlineStr">
        <is>
          <t>09/2026</t>
        </is>
      </c>
      <c r="H1428" s="104" t="inlineStr">
        <is>
          <t>CODI</t>
        </is>
      </c>
    </row>
    <row r="1429">
      <c r="B1429" s="109" t="n">
        <v>46266</v>
      </c>
      <c r="C1429" s="110" t="inlineStr">
        <is>
          <t>Vendas - 09/2026</t>
        </is>
      </c>
      <c r="D1429" s="110" t="inlineStr">
        <is>
          <t>Entrada</t>
        </is>
      </c>
      <c r="E1429" s="110" t="inlineStr">
        <is>
          <t>Vendas</t>
        </is>
      </c>
      <c r="F1429" s="111" t="n">
        <v>140</v>
      </c>
      <c r="G1429" s="104" t="inlineStr">
        <is>
          <t>09/2026</t>
        </is>
      </c>
      <c r="H1429" s="104" t="inlineStr">
        <is>
          <t>CODI</t>
        </is>
      </c>
    </row>
    <row r="1430">
      <c r="B1430" s="109" t="n">
        <v>46266</v>
      </c>
      <c r="C1430" s="110" t="inlineStr">
        <is>
          <t>Vendas - 09/2026</t>
        </is>
      </c>
      <c r="D1430" s="110" t="inlineStr">
        <is>
          <t>Entrada</t>
        </is>
      </c>
      <c r="E1430" s="110" t="inlineStr">
        <is>
          <t>Vendas</t>
        </is>
      </c>
      <c r="F1430" s="111" t="n">
        <v>350</v>
      </c>
      <c r="G1430" s="104" t="inlineStr">
        <is>
          <t>09/2026</t>
        </is>
      </c>
      <c r="H1430" s="104" t="inlineStr">
        <is>
          <t>CODI</t>
        </is>
      </c>
    </row>
    <row r="1431">
      <c r="B1431" s="109" t="n">
        <v>46266</v>
      </c>
      <c r="C1431" s="110" t="inlineStr">
        <is>
          <t>Vendas - 09/2026</t>
        </is>
      </c>
      <c r="D1431" s="110" t="inlineStr">
        <is>
          <t>Entrada</t>
        </is>
      </c>
      <c r="E1431" s="110" t="inlineStr">
        <is>
          <t>Vendas</t>
        </is>
      </c>
      <c r="F1431" s="111" t="n">
        <v>210</v>
      </c>
      <c r="G1431" s="104" t="inlineStr">
        <is>
          <t>09/2026</t>
        </is>
      </c>
      <c r="H1431" s="104" t="inlineStr">
        <is>
          <t>CODI</t>
        </is>
      </c>
    </row>
    <row r="1432">
      <c r="B1432" s="109" t="n">
        <v>46266</v>
      </c>
      <c r="C1432" s="110" t="inlineStr">
        <is>
          <t>Vendas - 09/2026</t>
        </is>
      </c>
      <c r="D1432" s="110" t="inlineStr">
        <is>
          <t>Entrada</t>
        </is>
      </c>
      <c r="E1432" s="110" t="inlineStr">
        <is>
          <t>Vendas</t>
        </is>
      </c>
      <c r="F1432" s="111" t="n">
        <v>367.4</v>
      </c>
      <c r="G1432" s="104" t="inlineStr">
        <is>
          <t>09/2026</t>
        </is>
      </c>
      <c r="H1432" s="104" t="inlineStr">
        <is>
          <t>CODI</t>
        </is>
      </c>
    </row>
    <row r="1433">
      <c r="B1433" s="109" t="n">
        <v>46266</v>
      </c>
      <c r="C1433" s="110" t="inlineStr">
        <is>
          <t>Vendas - 09/2026</t>
        </is>
      </c>
      <c r="D1433" s="110" t="inlineStr">
        <is>
          <t>Entrada</t>
        </is>
      </c>
      <c r="E1433" s="110" t="inlineStr">
        <is>
          <t>Vendas</t>
        </is>
      </c>
      <c r="F1433" s="111" t="n">
        <v>1258.75</v>
      </c>
      <c r="G1433" s="104" t="inlineStr">
        <is>
          <t>09/2026</t>
        </is>
      </c>
      <c r="H1433" s="104" t="inlineStr">
        <is>
          <t>CODI</t>
        </is>
      </c>
    </row>
    <row r="1434">
      <c r="B1434" s="109" t="n">
        <v>46266</v>
      </c>
      <c r="C1434" s="110" t="inlineStr">
        <is>
          <t>Vendas - 09/2026</t>
        </is>
      </c>
      <c r="D1434" s="110" t="inlineStr">
        <is>
          <t>Entrada</t>
        </is>
      </c>
      <c r="E1434" s="110" t="inlineStr">
        <is>
          <t>Vendas</t>
        </is>
      </c>
      <c r="F1434" s="111" t="n">
        <v>453.9</v>
      </c>
      <c r="G1434" s="104" t="inlineStr">
        <is>
          <t>09/2026</t>
        </is>
      </c>
      <c r="H1434" s="104" t="inlineStr">
        <is>
          <t>CODI</t>
        </is>
      </c>
    </row>
    <row r="1435">
      <c r="B1435" s="109" t="n">
        <v>46266</v>
      </c>
      <c r="C1435" s="110" t="inlineStr">
        <is>
          <t>Vendas - 09/2026</t>
        </is>
      </c>
      <c r="D1435" s="110" t="inlineStr">
        <is>
          <t>Entrada</t>
        </is>
      </c>
      <c r="E1435" s="110" t="inlineStr">
        <is>
          <t>Vendas</t>
        </is>
      </c>
      <c r="F1435" s="111" t="n">
        <v>4126.04</v>
      </c>
      <c r="G1435" s="104" t="inlineStr">
        <is>
          <t>09/2026</t>
        </is>
      </c>
      <c r="H1435" s="104" t="inlineStr">
        <is>
          <t>CODI</t>
        </is>
      </c>
    </row>
    <row r="1436">
      <c r="B1436" s="109" t="n">
        <v>46266</v>
      </c>
      <c r="C1436" s="110" t="inlineStr">
        <is>
          <t>Vendas - 09/2026</t>
        </is>
      </c>
      <c r="D1436" s="110" t="inlineStr">
        <is>
          <t>Entrada</t>
        </is>
      </c>
      <c r="E1436" s="110" t="inlineStr">
        <is>
          <t>Vendas</t>
        </is>
      </c>
      <c r="F1436" s="111" t="n">
        <v>313.8</v>
      </c>
      <c r="G1436" s="104" t="inlineStr">
        <is>
          <t>09/2026</t>
        </is>
      </c>
      <c r="H1436" s="104" t="inlineStr">
        <is>
          <t>CODI</t>
        </is>
      </c>
    </row>
    <row r="1437">
      <c r="B1437" s="109" t="n">
        <v>46266</v>
      </c>
      <c r="C1437" s="110" t="inlineStr">
        <is>
          <t>Vendas - 09/2026</t>
        </is>
      </c>
      <c r="D1437" s="110" t="inlineStr">
        <is>
          <t>Entrada</t>
        </is>
      </c>
      <c r="E1437" s="110" t="inlineStr">
        <is>
          <t>Vendas</t>
        </is>
      </c>
      <c r="F1437" s="111" t="n">
        <v>6136.67</v>
      </c>
      <c r="G1437" s="104" t="inlineStr">
        <is>
          <t>09/2026</t>
        </is>
      </c>
      <c r="H1437" s="104" t="inlineStr">
        <is>
          <t>CODI</t>
        </is>
      </c>
    </row>
    <row r="1438">
      <c r="B1438" s="109" t="n">
        <v>46266</v>
      </c>
      <c r="C1438" s="110" t="inlineStr">
        <is>
          <t>Vendas - 09/2026</t>
        </is>
      </c>
      <c r="D1438" s="110" t="inlineStr">
        <is>
          <t>Entrada</t>
        </is>
      </c>
      <c r="E1438" s="110" t="inlineStr">
        <is>
          <t>Vendas</t>
        </is>
      </c>
      <c r="F1438" s="111" t="n">
        <v>3202.67</v>
      </c>
      <c r="G1438" s="104" t="inlineStr">
        <is>
          <t>09/2026</t>
        </is>
      </c>
      <c r="H1438" s="104" t="inlineStr">
        <is>
          <t>CODI</t>
        </is>
      </c>
    </row>
    <row r="1439">
      <c r="B1439" s="109" t="n">
        <v>46266</v>
      </c>
      <c r="C1439" s="110" t="inlineStr">
        <is>
          <t>Vendas - 09/2026</t>
        </is>
      </c>
      <c r="D1439" s="110" t="inlineStr">
        <is>
          <t>Entrada</t>
        </is>
      </c>
      <c r="E1439" s="110" t="inlineStr">
        <is>
          <t>Vendas</t>
        </is>
      </c>
      <c r="F1439" s="111" t="n">
        <v>1615</v>
      </c>
      <c r="G1439" s="104" t="inlineStr">
        <is>
          <t>09/2026</t>
        </is>
      </c>
      <c r="H1439" s="104" t="inlineStr">
        <is>
          <t>CODI</t>
        </is>
      </c>
    </row>
    <row r="1440">
      <c r="B1440" s="109" t="n">
        <v>46266</v>
      </c>
      <c r="C1440" s="110" t="inlineStr">
        <is>
          <t>Vendas - 09/2026</t>
        </is>
      </c>
      <c r="D1440" s="110" t="inlineStr">
        <is>
          <t>Entrada</t>
        </is>
      </c>
      <c r="E1440" s="110" t="inlineStr">
        <is>
          <t>Vendas</t>
        </is>
      </c>
      <c r="F1440" s="111" t="n">
        <v>445</v>
      </c>
      <c r="G1440" s="104" t="inlineStr">
        <is>
          <t>09/2026</t>
        </is>
      </c>
      <c r="H1440" s="104" t="inlineStr">
        <is>
          <t>CODI</t>
        </is>
      </c>
    </row>
    <row r="1441">
      <c r="B1441" s="109" t="n">
        <v>46266</v>
      </c>
      <c r="C1441" s="110" t="inlineStr">
        <is>
          <t>Vendas - 09/2026</t>
        </is>
      </c>
      <c r="D1441" s="110" t="inlineStr">
        <is>
          <t>Entrada</t>
        </is>
      </c>
      <c r="E1441" s="110" t="inlineStr">
        <is>
          <t>Vendas</t>
        </is>
      </c>
      <c r="F1441" s="111" t="n">
        <v>3225</v>
      </c>
      <c r="G1441" s="104" t="inlineStr">
        <is>
          <t>09/2026</t>
        </is>
      </c>
      <c r="H1441" s="104" t="inlineStr">
        <is>
          <t>CODI</t>
        </is>
      </c>
    </row>
    <row r="1442">
      <c r="B1442" s="109" t="n">
        <v>46266</v>
      </c>
      <c r="C1442" s="110" t="inlineStr">
        <is>
          <t>Vendas - 09/2026</t>
        </is>
      </c>
      <c r="D1442" s="110" t="inlineStr">
        <is>
          <t>Entrada</t>
        </is>
      </c>
      <c r="E1442" s="110" t="inlineStr">
        <is>
          <t>Vendas</t>
        </is>
      </c>
      <c r="F1442" s="111" t="n">
        <v>1695</v>
      </c>
      <c r="G1442" s="104" t="inlineStr">
        <is>
          <t>09/2026</t>
        </is>
      </c>
      <c r="H1442" s="104" t="inlineStr">
        <is>
          <t>CODI</t>
        </is>
      </c>
    </row>
    <row r="1443">
      <c r="B1443" s="109" t="n">
        <v>46266</v>
      </c>
      <c r="C1443" s="110" t="inlineStr">
        <is>
          <t>Vendas - 09/2026</t>
        </is>
      </c>
      <c r="D1443" s="110" t="inlineStr">
        <is>
          <t>Entrada</t>
        </is>
      </c>
      <c r="E1443" s="110" t="inlineStr">
        <is>
          <t>Vendas</t>
        </is>
      </c>
      <c r="F1443" s="111" t="n">
        <v>3035</v>
      </c>
      <c r="G1443" s="104" t="inlineStr">
        <is>
          <t>09/2026</t>
        </is>
      </c>
      <c r="H1443" s="104" t="inlineStr">
        <is>
          <t>CODI</t>
        </is>
      </c>
    </row>
    <row r="1444">
      <c r="B1444" s="109" t="n">
        <v>46266</v>
      </c>
      <c r="C1444" s="110" t="inlineStr">
        <is>
          <t>Vendas - 09/2026</t>
        </is>
      </c>
      <c r="D1444" s="110" t="inlineStr">
        <is>
          <t>Entrada</t>
        </is>
      </c>
      <c r="E1444" s="110" t="inlineStr">
        <is>
          <t>Vendas</t>
        </is>
      </c>
      <c r="F1444" s="111" t="n">
        <v>735</v>
      </c>
      <c r="G1444" s="104" t="inlineStr">
        <is>
          <t>09/2026</t>
        </is>
      </c>
      <c r="H1444" s="104" t="inlineStr">
        <is>
          <t>CODI</t>
        </is>
      </c>
    </row>
    <row r="1445">
      <c r="B1445" s="109" t="n">
        <v>46266</v>
      </c>
      <c r="C1445" s="110" t="inlineStr">
        <is>
          <t>Vendas - 09/2026</t>
        </is>
      </c>
      <c r="D1445" s="110" t="inlineStr">
        <is>
          <t>Entrada</t>
        </is>
      </c>
      <c r="E1445" s="110" t="inlineStr">
        <is>
          <t>Vendas</t>
        </is>
      </c>
      <c r="F1445" s="111" t="n">
        <v>824</v>
      </c>
      <c r="G1445" s="104" t="inlineStr">
        <is>
          <t>09/2026</t>
        </is>
      </c>
      <c r="H1445" s="104" t="inlineStr">
        <is>
          <t>CODI</t>
        </is>
      </c>
    </row>
    <row r="1446">
      <c r="B1446" s="109" t="n">
        <v>46266</v>
      </c>
      <c r="C1446" s="110" t="inlineStr">
        <is>
          <t>Vendas - 09/2026</t>
        </is>
      </c>
      <c r="D1446" s="110" t="inlineStr">
        <is>
          <t>Entrada</t>
        </is>
      </c>
      <c r="E1446" s="110" t="inlineStr">
        <is>
          <t>Vendas</t>
        </is>
      </c>
      <c r="F1446" s="111" t="n">
        <v>714.6</v>
      </c>
      <c r="G1446" s="104" t="inlineStr">
        <is>
          <t>09/2026</t>
        </is>
      </c>
      <c r="H1446" s="104" t="inlineStr">
        <is>
          <t>CODI</t>
        </is>
      </c>
    </row>
    <row r="1447">
      <c r="B1447" s="109" t="n">
        <v>46266</v>
      </c>
      <c r="C1447" s="110" t="inlineStr">
        <is>
          <t>Vendas - 09/2026</t>
        </is>
      </c>
      <c r="D1447" s="110" t="inlineStr">
        <is>
          <t>Entrada</t>
        </is>
      </c>
      <c r="E1447" s="110" t="inlineStr">
        <is>
          <t>Vendas</t>
        </is>
      </c>
      <c r="F1447" s="111" t="n">
        <v>1175.42</v>
      </c>
      <c r="G1447" s="104" t="inlineStr">
        <is>
          <t>09/2026</t>
        </is>
      </c>
      <c r="H1447" s="104" t="inlineStr">
        <is>
          <t>CODI</t>
        </is>
      </c>
    </row>
    <row r="1448">
      <c r="B1448" s="109" t="n">
        <v>46266</v>
      </c>
      <c r="C1448" s="110" t="inlineStr">
        <is>
          <t>Vendas - 09/2026</t>
        </is>
      </c>
      <c r="D1448" s="110" t="inlineStr">
        <is>
          <t>Entrada</t>
        </is>
      </c>
      <c r="E1448" s="110" t="inlineStr">
        <is>
          <t>Vendas</t>
        </is>
      </c>
      <c r="F1448" s="111" t="n">
        <v>1206.14</v>
      </c>
      <c r="G1448" s="104" t="inlineStr">
        <is>
          <t>09/2026</t>
        </is>
      </c>
      <c r="H1448" s="104" t="inlineStr">
        <is>
          <t>CODI</t>
        </is>
      </c>
    </row>
    <row r="1449">
      <c r="B1449" s="109" t="n">
        <v>46266</v>
      </c>
      <c r="C1449" s="110" t="inlineStr">
        <is>
          <t>Vendas - 09/2026</t>
        </is>
      </c>
      <c r="D1449" s="110" t="inlineStr">
        <is>
          <t>Entrada</t>
        </is>
      </c>
      <c r="E1449" s="110" t="inlineStr">
        <is>
          <t>Vendas</t>
        </is>
      </c>
      <c r="F1449" s="111" t="n">
        <v>952.3</v>
      </c>
      <c r="G1449" s="104" t="inlineStr">
        <is>
          <t>09/2026</t>
        </is>
      </c>
      <c r="H1449" s="104" t="inlineStr">
        <is>
          <t>CODI</t>
        </is>
      </c>
    </row>
    <row r="1450">
      <c r="B1450" s="109" t="n">
        <v>46266</v>
      </c>
      <c r="C1450" s="110" t="inlineStr">
        <is>
          <t>Vendas - 09/2026</t>
        </is>
      </c>
      <c r="D1450" s="110" t="inlineStr">
        <is>
          <t>Entrada</t>
        </is>
      </c>
      <c r="E1450" s="110" t="inlineStr">
        <is>
          <t>Vendas</t>
        </is>
      </c>
      <c r="F1450" s="111" t="n">
        <v>1126.16</v>
      </c>
      <c r="G1450" s="104" t="inlineStr">
        <is>
          <t>09/2026</t>
        </is>
      </c>
      <c r="H1450" s="104" t="inlineStr">
        <is>
          <t>CODI</t>
        </is>
      </c>
    </row>
    <row r="1451">
      <c r="B1451" s="109" t="n">
        <v>46266</v>
      </c>
      <c r="C1451" s="110" t="inlineStr">
        <is>
          <t>Vendas - 09/2026</t>
        </is>
      </c>
      <c r="D1451" s="110" t="inlineStr">
        <is>
          <t>Entrada</t>
        </is>
      </c>
      <c r="E1451" s="110" t="inlineStr">
        <is>
          <t>Vendas</t>
        </is>
      </c>
      <c r="F1451" s="111" t="n">
        <v>3934.44</v>
      </c>
      <c r="G1451" s="104" t="inlineStr">
        <is>
          <t>09/2026</t>
        </is>
      </c>
      <c r="H1451" s="104" t="inlineStr">
        <is>
          <t>CODI</t>
        </is>
      </c>
    </row>
    <row r="1452">
      <c r="B1452" s="109" t="n">
        <v>46266</v>
      </c>
      <c r="C1452" s="110" t="inlineStr">
        <is>
          <t>Vendas - 09/2026</t>
        </is>
      </c>
      <c r="D1452" s="110" t="inlineStr">
        <is>
          <t>Entrada</t>
        </is>
      </c>
      <c r="E1452" s="110" t="inlineStr">
        <is>
          <t>Vendas</t>
        </is>
      </c>
      <c r="F1452" s="111" t="n">
        <v>1460</v>
      </c>
      <c r="G1452" s="104" t="inlineStr">
        <is>
          <t>09/2026</t>
        </is>
      </c>
      <c r="H1452" s="104" t="inlineStr">
        <is>
          <t>CODI</t>
        </is>
      </c>
    </row>
    <row r="1453">
      <c r="B1453" s="109" t="n">
        <v>46266</v>
      </c>
      <c r="C1453" s="110" t="inlineStr">
        <is>
          <t>Vendas - 09/2026</t>
        </is>
      </c>
      <c r="D1453" s="110" t="inlineStr">
        <is>
          <t>Entrada</t>
        </is>
      </c>
      <c r="E1453" s="110" t="inlineStr">
        <is>
          <t>Vendas</t>
        </is>
      </c>
      <c r="F1453" s="111" t="n">
        <v>1650</v>
      </c>
      <c r="G1453" s="104" t="inlineStr">
        <is>
          <t>09/2026</t>
        </is>
      </c>
      <c r="H1453" s="104" t="inlineStr">
        <is>
          <t>CODI</t>
        </is>
      </c>
    </row>
    <row r="1454">
      <c r="B1454" s="109" t="n">
        <v>46266</v>
      </c>
      <c r="C1454" s="110" t="inlineStr">
        <is>
          <t>Vendas - 09/2026</t>
        </is>
      </c>
      <c r="D1454" s="110" t="inlineStr">
        <is>
          <t>Entrada</t>
        </is>
      </c>
      <c r="E1454" s="110" t="inlineStr">
        <is>
          <t>Vendas</t>
        </is>
      </c>
      <c r="F1454" s="111" t="n">
        <v>1215</v>
      </c>
      <c r="G1454" s="104" t="inlineStr">
        <is>
          <t>09/2026</t>
        </is>
      </c>
      <c r="H1454" s="104" t="inlineStr">
        <is>
          <t>CODI</t>
        </is>
      </c>
    </row>
    <row r="1455">
      <c r="B1455" s="109" t="n">
        <v>46266</v>
      </c>
      <c r="C1455" s="110" t="inlineStr">
        <is>
          <t>Vendas - 09/2026</t>
        </is>
      </c>
      <c r="D1455" s="110" t="inlineStr">
        <is>
          <t>Entrada</t>
        </is>
      </c>
      <c r="E1455" s="110" t="inlineStr">
        <is>
          <t>Vendas</t>
        </is>
      </c>
      <c r="F1455" s="111" t="n">
        <v>1450</v>
      </c>
      <c r="G1455" s="104" t="inlineStr">
        <is>
          <t>09/2026</t>
        </is>
      </c>
      <c r="H1455" s="104" t="inlineStr">
        <is>
          <t>CODI</t>
        </is>
      </c>
    </row>
    <row r="1456">
      <c r="B1456" s="109" t="n">
        <v>46266</v>
      </c>
      <c r="C1456" s="110" t="inlineStr">
        <is>
          <t>Vendas - 09/2026</t>
        </is>
      </c>
      <c r="D1456" s="110" t="inlineStr">
        <is>
          <t>Entrada</t>
        </is>
      </c>
      <c r="E1456" s="110" t="inlineStr">
        <is>
          <t>Vendas</t>
        </is>
      </c>
      <c r="F1456" s="111" t="n">
        <v>300</v>
      </c>
      <c r="G1456" s="104" t="inlineStr">
        <is>
          <t>09/2026</t>
        </is>
      </c>
      <c r="H1456" s="104" t="inlineStr">
        <is>
          <t>CODI</t>
        </is>
      </c>
    </row>
    <row r="1457">
      <c r="B1457" s="109" t="n">
        <v>46266</v>
      </c>
      <c r="C1457" s="110" t="inlineStr">
        <is>
          <t>Vendas - 09/2026</t>
        </is>
      </c>
      <c r="D1457" s="110" t="inlineStr">
        <is>
          <t>Entrada</t>
        </is>
      </c>
      <c r="E1457" s="110" t="inlineStr">
        <is>
          <t>Vendas</t>
        </is>
      </c>
      <c r="F1457" s="111" t="n">
        <v>266.67</v>
      </c>
      <c r="G1457" s="104" t="inlineStr">
        <is>
          <t>09/2026</t>
        </is>
      </c>
      <c r="H1457" s="104" t="inlineStr">
        <is>
          <t>CODI</t>
        </is>
      </c>
    </row>
    <row r="1458">
      <c r="B1458" s="109" t="n">
        <v>46266</v>
      </c>
      <c r="C1458" s="110" t="inlineStr">
        <is>
          <t>Vendas - 09/2026</t>
        </is>
      </c>
      <c r="D1458" s="110" t="inlineStr">
        <is>
          <t>Entrada</t>
        </is>
      </c>
      <c r="E1458" s="110" t="inlineStr">
        <is>
          <t>Vendas</t>
        </is>
      </c>
      <c r="F1458" s="111" t="n">
        <v>1620</v>
      </c>
      <c r="G1458" s="104" t="inlineStr">
        <is>
          <t>09/2026</t>
        </is>
      </c>
      <c r="H1458" s="104" t="inlineStr">
        <is>
          <t>CODI</t>
        </is>
      </c>
    </row>
    <row r="1459">
      <c r="B1459" s="109" t="n">
        <v>46266</v>
      </c>
      <c r="C1459" s="110" t="inlineStr">
        <is>
          <t>Vendas - 09/2026</t>
        </is>
      </c>
      <c r="D1459" s="110" t="inlineStr">
        <is>
          <t>Entrada</t>
        </is>
      </c>
      <c r="E1459" s="110" t="inlineStr">
        <is>
          <t>Vendas</t>
        </is>
      </c>
      <c r="F1459" s="111" t="n">
        <v>746.67</v>
      </c>
      <c r="G1459" s="104" t="inlineStr">
        <is>
          <t>09/2026</t>
        </is>
      </c>
      <c r="H1459" s="104" t="inlineStr">
        <is>
          <t>CODI</t>
        </is>
      </c>
    </row>
    <row r="1460">
      <c r="B1460" s="109" t="n">
        <v>46266</v>
      </c>
      <c r="C1460" s="110" t="inlineStr">
        <is>
          <t>Vendas - 09/2026</t>
        </is>
      </c>
      <c r="D1460" s="110" t="inlineStr">
        <is>
          <t>Entrada</t>
        </is>
      </c>
      <c r="E1460" s="110" t="inlineStr">
        <is>
          <t>Vendas</t>
        </is>
      </c>
      <c r="F1460" s="111" t="n">
        <v>2412.45</v>
      </c>
      <c r="G1460" s="104" t="inlineStr">
        <is>
          <t>09/2026</t>
        </is>
      </c>
      <c r="H1460" s="104" t="inlineStr">
        <is>
          <t>CODI</t>
        </is>
      </c>
    </row>
    <row r="1461">
      <c r="B1461" s="109" t="n">
        <v>46266</v>
      </c>
      <c r="C1461" s="110" t="inlineStr">
        <is>
          <t>Vendas - 09/2026</t>
        </is>
      </c>
      <c r="D1461" s="110" t="inlineStr">
        <is>
          <t>Entrada</t>
        </is>
      </c>
      <c r="E1461" s="110" t="inlineStr">
        <is>
          <t>Vendas</t>
        </is>
      </c>
      <c r="F1461" s="111" t="n">
        <v>1016.62</v>
      </c>
      <c r="G1461" s="104" t="inlineStr">
        <is>
          <t>09/2026</t>
        </is>
      </c>
      <c r="H1461" s="104" t="inlineStr">
        <is>
          <t>CODI</t>
        </is>
      </c>
    </row>
    <row r="1462">
      <c r="B1462" s="109" t="n">
        <v>46266</v>
      </c>
      <c r="C1462" s="110" t="inlineStr">
        <is>
          <t>Vendas - 09/2026</t>
        </is>
      </c>
      <c r="D1462" s="110" t="inlineStr">
        <is>
          <t>Entrada</t>
        </is>
      </c>
      <c r="E1462" s="110" t="inlineStr">
        <is>
          <t>Vendas</t>
        </is>
      </c>
      <c r="F1462" s="111" t="n">
        <v>2366.4</v>
      </c>
      <c r="G1462" s="104" t="inlineStr">
        <is>
          <t>09/2026</t>
        </is>
      </c>
      <c r="H1462" s="104" t="inlineStr">
        <is>
          <t>CODI</t>
        </is>
      </c>
    </row>
    <row r="1463">
      <c r="B1463" s="109" t="n">
        <v>46266</v>
      </c>
      <c r="C1463" s="110" t="inlineStr">
        <is>
          <t>Vendas - 09/2026</t>
        </is>
      </c>
      <c r="D1463" s="110" t="inlineStr">
        <is>
          <t>Entrada</t>
        </is>
      </c>
      <c r="E1463" s="110" t="inlineStr">
        <is>
          <t>Vendas</t>
        </is>
      </c>
      <c r="F1463" s="111" t="n">
        <v>2000</v>
      </c>
      <c r="G1463" s="104" t="inlineStr">
        <is>
          <t>09/2026</t>
        </is>
      </c>
      <c r="H1463" s="104" t="inlineStr">
        <is>
          <t>CODI</t>
        </is>
      </c>
    </row>
    <row r="1464">
      <c r="B1464" s="109" t="n">
        <v>46266</v>
      </c>
      <c r="C1464" s="110" t="inlineStr">
        <is>
          <t>Vendas - 09/2026</t>
        </is>
      </c>
      <c r="D1464" s="110" t="inlineStr">
        <is>
          <t>Entrada</t>
        </is>
      </c>
      <c r="E1464" s="110" t="inlineStr">
        <is>
          <t>Vendas</t>
        </is>
      </c>
      <c r="F1464" s="111" t="n">
        <v>1057.87</v>
      </c>
      <c r="G1464" s="104" t="inlineStr">
        <is>
          <t>09/2026</t>
        </is>
      </c>
      <c r="H1464" s="104" t="inlineStr">
        <is>
          <t>CODI</t>
        </is>
      </c>
    </row>
    <row r="1465">
      <c r="B1465" s="109" t="n">
        <v>46266</v>
      </c>
      <c r="C1465" s="110" t="inlineStr">
        <is>
          <t>Vendas - 09/2026</t>
        </is>
      </c>
      <c r="D1465" s="110" t="inlineStr">
        <is>
          <t>Entrada</t>
        </is>
      </c>
      <c r="E1465" s="110" t="inlineStr">
        <is>
          <t>Vendas</t>
        </is>
      </c>
      <c r="F1465" s="111" t="n">
        <v>418.3</v>
      </c>
      <c r="G1465" s="104" t="inlineStr">
        <is>
          <t>09/2026</t>
        </is>
      </c>
      <c r="H1465" s="104" t="inlineStr">
        <is>
          <t>CODI</t>
        </is>
      </c>
    </row>
    <row r="1466">
      <c r="B1466" s="109" t="n">
        <v>46266</v>
      </c>
      <c r="C1466" s="110" t="inlineStr">
        <is>
          <t>Vendas - 09/2026</t>
        </is>
      </c>
      <c r="D1466" s="110" t="inlineStr">
        <is>
          <t>Entrada</t>
        </is>
      </c>
      <c r="E1466" s="110" t="inlineStr">
        <is>
          <t>Vendas</t>
        </is>
      </c>
      <c r="F1466" s="111" t="n">
        <v>1055.12</v>
      </c>
      <c r="G1466" s="104" t="inlineStr">
        <is>
          <t>09/2026</t>
        </is>
      </c>
      <c r="H1466" s="104" t="inlineStr">
        <is>
          <t>CODI</t>
        </is>
      </c>
    </row>
    <row r="1467">
      <c r="B1467" s="109" t="n">
        <v>46266</v>
      </c>
      <c r="C1467" s="110" t="inlineStr">
        <is>
          <t>Vendas - 09/2026</t>
        </is>
      </c>
      <c r="D1467" s="110" t="inlineStr">
        <is>
          <t>Entrada</t>
        </is>
      </c>
      <c r="E1467" s="110" t="inlineStr">
        <is>
          <t>Vendas</t>
        </is>
      </c>
      <c r="F1467" s="111" t="n">
        <v>580.27</v>
      </c>
      <c r="G1467" s="104" t="inlineStr">
        <is>
          <t>09/2026</t>
        </is>
      </c>
      <c r="H1467" s="104" t="inlineStr">
        <is>
          <t>CODI</t>
        </is>
      </c>
    </row>
    <row r="1468">
      <c r="B1468" s="109" t="n">
        <v>46266</v>
      </c>
      <c r="C1468" s="110" t="inlineStr">
        <is>
          <t>Vendas - 09/2026</t>
        </is>
      </c>
      <c r="D1468" s="110" t="inlineStr">
        <is>
          <t>Entrada</t>
        </is>
      </c>
      <c r="E1468" s="110" t="inlineStr">
        <is>
          <t>Vendas</t>
        </is>
      </c>
      <c r="F1468" s="111" t="n">
        <v>724.27</v>
      </c>
      <c r="G1468" s="104" t="inlineStr">
        <is>
          <t>09/2026</t>
        </is>
      </c>
      <c r="H1468" s="104" t="inlineStr">
        <is>
          <t>CODI</t>
        </is>
      </c>
    </row>
    <row r="1469">
      <c r="B1469" s="109" t="n">
        <v>46266</v>
      </c>
      <c r="C1469" s="110" t="inlineStr">
        <is>
          <t>Vendas - 09/2026</t>
        </is>
      </c>
      <c r="D1469" s="110" t="inlineStr">
        <is>
          <t>Entrada</t>
        </is>
      </c>
      <c r="E1469" s="110" t="inlineStr">
        <is>
          <t>Vendas</t>
        </is>
      </c>
      <c r="F1469" s="111" t="n">
        <v>1652.27</v>
      </c>
      <c r="G1469" s="104" t="inlineStr">
        <is>
          <t>09/2026</t>
        </is>
      </c>
      <c r="H1469" s="104" t="inlineStr">
        <is>
          <t>CODI</t>
        </is>
      </c>
    </row>
    <row r="1470">
      <c r="B1470" s="109" t="n">
        <v>46266</v>
      </c>
      <c r="C1470" s="110" t="inlineStr">
        <is>
          <t>Vendas - 09/2026</t>
        </is>
      </c>
      <c r="D1470" s="110" t="inlineStr">
        <is>
          <t>Entrada</t>
        </is>
      </c>
      <c r="E1470" s="110" t="inlineStr">
        <is>
          <t>Vendas</t>
        </is>
      </c>
      <c r="F1470" s="111" t="n">
        <v>892.87</v>
      </c>
      <c r="G1470" s="104" t="inlineStr">
        <is>
          <t>09/2026</t>
        </is>
      </c>
      <c r="H1470" s="104" t="inlineStr">
        <is>
          <t>CODI</t>
        </is>
      </c>
    </row>
    <row r="1471">
      <c r="B1471" s="109" t="n">
        <v>46266</v>
      </c>
      <c r="C1471" s="110" t="inlineStr">
        <is>
          <t>Vendas - 09/2026</t>
        </is>
      </c>
      <c r="D1471" s="110" t="inlineStr">
        <is>
          <t>Entrada</t>
        </is>
      </c>
      <c r="E1471" s="110" t="inlineStr">
        <is>
          <t>Vendas</t>
        </is>
      </c>
      <c r="F1471" s="111" t="n">
        <v>3740</v>
      </c>
      <c r="G1471" s="104" t="inlineStr">
        <is>
          <t>09/2026</t>
        </is>
      </c>
      <c r="H1471" s="104" t="inlineStr">
        <is>
          <t>CODI</t>
        </is>
      </c>
    </row>
    <row r="1472">
      <c r="B1472" s="109" t="n">
        <v>46266</v>
      </c>
      <c r="C1472" s="110" t="inlineStr">
        <is>
          <t>Vendas - 09/2026</t>
        </is>
      </c>
      <c r="D1472" s="110" t="inlineStr">
        <is>
          <t>Entrada</t>
        </is>
      </c>
      <c r="E1472" s="110" t="inlineStr">
        <is>
          <t>Vendas</t>
        </is>
      </c>
      <c r="F1472" s="111" t="n">
        <v>4250</v>
      </c>
      <c r="G1472" s="104" t="inlineStr">
        <is>
          <t>09/2026</t>
        </is>
      </c>
      <c r="H1472" s="104" t="inlineStr">
        <is>
          <t>CODI</t>
        </is>
      </c>
    </row>
    <row r="1473">
      <c r="B1473" s="109" t="n">
        <v>46266</v>
      </c>
      <c r="C1473" s="110" t="inlineStr">
        <is>
          <t>Vendas - 09/2026</t>
        </is>
      </c>
      <c r="D1473" s="110" t="inlineStr">
        <is>
          <t>Entrada</t>
        </is>
      </c>
      <c r="E1473" s="110" t="inlineStr">
        <is>
          <t>Vendas</t>
        </is>
      </c>
      <c r="F1473" s="111" t="n">
        <v>1605.5</v>
      </c>
      <c r="G1473" s="104" t="inlineStr">
        <is>
          <t>09/2026</t>
        </is>
      </c>
      <c r="H1473" s="104" t="inlineStr">
        <is>
          <t>CODI</t>
        </is>
      </c>
    </row>
    <row r="1474">
      <c r="B1474" s="109" t="n">
        <v>46266</v>
      </c>
      <c r="C1474" s="110" t="inlineStr">
        <is>
          <t>Vendas - 09/2026</t>
        </is>
      </c>
      <c r="D1474" s="110" t="inlineStr">
        <is>
          <t>Entrada</t>
        </is>
      </c>
      <c r="E1474" s="110" t="inlineStr">
        <is>
          <t>Vendas</t>
        </is>
      </c>
      <c r="F1474" s="111" t="n">
        <v>148.37</v>
      </c>
      <c r="G1474" s="104" t="inlineStr">
        <is>
          <t>09/2026</t>
        </is>
      </c>
      <c r="H1474" s="104" t="inlineStr">
        <is>
          <t>CODI</t>
        </is>
      </c>
    </row>
    <row r="1475">
      <c r="B1475" s="109" t="n">
        <v>46266</v>
      </c>
      <c r="C1475" s="110" t="inlineStr">
        <is>
          <t>Vendas - 09/2026</t>
        </is>
      </c>
      <c r="D1475" s="110" t="inlineStr">
        <is>
          <t>Entrada</t>
        </is>
      </c>
      <c r="E1475" s="110" t="inlineStr">
        <is>
          <t>Vendas</t>
        </is>
      </c>
      <c r="F1475" s="111" t="n">
        <v>520</v>
      </c>
      <c r="G1475" s="104" t="inlineStr">
        <is>
          <t>09/2026</t>
        </is>
      </c>
      <c r="H1475" s="104" t="inlineStr">
        <is>
          <t>CODI</t>
        </is>
      </c>
    </row>
    <row r="1476">
      <c r="B1476" s="109" t="n">
        <v>46266</v>
      </c>
      <c r="C1476" s="110" t="inlineStr">
        <is>
          <t>Vendas - 09/2026</t>
        </is>
      </c>
      <c r="D1476" s="110" t="inlineStr">
        <is>
          <t>Entrada</t>
        </is>
      </c>
      <c r="E1476" s="110" t="inlineStr">
        <is>
          <t>Vendas</t>
        </is>
      </c>
      <c r="F1476" s="111" t="n">
        <v>2380</v>
      </c>
      <c r="G1476" s="104" t="inlineStr">
        <is>
          <t>09/2026</t>
        </is>
      </c>
      <c r="H1476" s="104" t="inlineStr">
        <is>
          <t>CODI</t>
        </is>
      </c>
    </row>
    <row r="1477">
      <c r="B1477" s="109" t="n">
        <v>46266</v>
      </c>
      <c r="C1477" s="110" t="inlineStr">
        <is>
          <t>Vendas - 09/2026</t>
        </is>
      </c>
      <c r="D1477" s="110" t="inlineStr">
        <is>
          <t>Entrada</t>
        </is>
      </c>
      <c r="E1477" s="110" t="inlineStr">
        <is>
          <t>Vendas</t>
        </is>
      </c>
      <c r="F1477" s="111" t="n">
        <v>1715</v>
      </c>
      <c r="G1477" s="104" t="inlineStr">
        <is>
          <t>09/2026</t>
        </is>
      </c>
      <c r="H1477" s="104" t="inlineStr">
        <is>
          <t>CODI</t>
        </is>
      </c>
    </row>
    <row r="1478">
      <c r="B1478" s="109" t="n">
        <v>46266</v>
      </c>
      <c r="C1478" s="110" t="inlineStr">
        <is>
          <t>Vendas - 09/2026</t>
        </is>
      </c>
      <c r="D1478" s="110" t="inlineStr">
        <is>
          <t>Entrada</t>
        </is>
      </c>
      <c r="E1478" s="110" t="inlineStr">
        <is>
          <t>Vendas</t>
        </is>
      </c>
      <c r="F1478" s="111" t="n">
        <v>1445</v>
      </c>
      <c r="G1478" s="104" t="inlineStr">
        <is>
          <t>09/2026</t>
        </is>
      </c>
      <c r="H1478" s="104" t="inlineStr">
        <is>
          <t>CODI</t>
        </is>
      </c>
    </row>
    <row r="1479">
      <c r="B1479" s="109" t="n">
        <v>46266</v>
      </c>
      <c r="C1479" s="110" t="inlineStr">
        <is>
          <t>Vendas - 09/2026</t>
        </is>
      </c>
      <c r="D1479" s="110" t="inlineStr">
        <is>
          <t>Entrada</t>
        </is>
      </c>
      <c r="E1479" s="110" t="inlineStr">
        <is>
          <t>Vendas</t>
        </is>
      </c>
      <c r="F1479" s="111" t="n">
        <v>2145</v>
      </c>
      <c r="G1479" s="104" t="inlineStr">
        <is>
          <t>09/2026</t>
        </is>
      </c>
      <c r="H1479" s="104" t="inlineStr">
        <is>
          <t>CODI</t>
        </is>
      </c>
    </row>
    <row r="1480">
      <c r="B1480" s="109" t="n">
        <v>46266</v>
      </c>
      <c r="C1480" s="110" t="inlineStr">
        <is>
          <t>Vendas - 09/2026</t>
        </is>
      </c>
      <c r="D1480" s="110" t="inlineStr">
        <is>
          <t>Entrada</t>
        </is>
      </c>
      <c r="E1480" s="110" t="inlineStr">
        <is>
          <t>Vendas</t>
        </is>
      </c>
      <c r="F1480" s="111" t="n">
        <v>6500</v>
      </c>
      <c r="G1480" s="104" t="inlineStr">
        <is>
          <t>09/2026</t>
        </is>
      </c>
      <c r="H1480" s="104" t="inlineStr">
        <is>
          <t>CODI</t>
        </is>
      </c>
    </row>
    <row r="1481">
      <c r="B1481" s="109" t="n">
        <v>46266</v>
      </c>
      <c r="C1481" s="110" t="inlineStr">
        <is>
          <t>Vendas - 09/2026</t>
        </is>
      </c>
      <c r="D1481" s="110" t="inlineStr">
        <is>
          <t>Entrada</t>
        </is>
      </c>
      <c r="E1481" s="110" t="inlineStr">
        <is>
          <t>Vendas</t>
        </is>
      </c>
      <c r="F1481" s="111" t="n">
        <v>5440</v>
      </c>
      <c r="G1481" s="104" t="inlineStr">
        <is>
          <t>09/2026</t>
        </is>
      </c>
      <c r="H1481" s="104" t="inlineStr">
        <is>
          <t>CODI</t>
        </is>
      </c>
    </row>
    <row r="1482">
      <c r="B1482" s="109" t="n">
        <v>46266</v>
      </c>
      <c r="C1482" s="110" t="inlineStr">
        <is>
          <t>Vendas - 09/2026</t>
        </is>
      </c>
      <c r="D1482" s="110" t="inlineStr">
        <is>
          <t>Entrada</t>
        </is>
      </c>
      <c r="E1482" s="110" t="inlineStr">
        <is>
          <t>Vendas</t>
        </is>
      </c>
      <c r="F1482" s="111" t="n">
        <v>3825</v>
      </c>
      <c r="G1482" s="104" t="inlineStr">
        <is>
          <t>09/2026</t>
        </is>
      </c>
      <c r="H1482" s="104" t="inlineStr">
        <is>
          <t>CODI</t>
        </is>
      </c>
    </row>
    <row r="1483">
      <c r="B1483" s="109" t="n">
        <v>46266</v>
      </c>
      <c r="C1483" s="110" t="inlineStr">
        <is>
          <t>Vendas - 09/2026</t>
        </is>
      </c>
      <c r="D1483" s="110" t="inlineStr">
        <is>
          <t>Entrada</t>
        </is>
      </c>
      <c r="E1483" s="110" t="inlineStr">
        <is>
          <t>Vendas</t>
        </is>
      </c>
      <c r="F1483" s="111" t="n">
        <v>195.98</v>
      </c>
      <c r="G1483" s="104" t="inlineStr">
        <is>
          <t>09/2026</t>
        </is>
      </c>
      <c r="H1483" s="104" t="inlineStr">
        <is>
          <t>CODI</t>
        </is>
      </c>
    </row>
    <row r="1484">
      <c r="B1484" s="109" t="n">
        <v>46266</v>
      </c>
      <c r="C1484" s="110" t="inlineStr">
        <is>
          <t>Vendas - 09/2026</t>
        </is>
      </c>
      <c r="D1484" s="110" t="inlineStr">
        <is>
          <t>Entrada</t>
        </is>
      </c>
      <c r="E1484" s="110" t="inlineStr">
        <is>
          <t>Vendas</t>
        </is>
      </c>
      <c r="F1484" s="111" t="n">
        <v>210</v>
      </c>
      <c r="G1484" s="104" t="inlineStr">
        <is>
          <t>09/2026</t>
        </is>
      </c>
      <c r="H1484" s="104" t="inlineStr">
        <is>
          <t>CODI</t>
        </is>
      </c>
    </row>
    <row r="1485">
      <c r="B1485" s="109" t="n">
        <v>46266</v>
      </c>
      <c r="C1485" s="110" t="inlineStr">
        <is>
          <t>Vendas - 09/2026</t>
        </is>
      </c>
      <c r="D1485" s="110" t="inlineStr">
        <is>
          <t>Entrada</t>
        </is>
      </c>
      <c r="E1485" s="110" t="inlineStr">
        <is>
          <t>Vendas</t>
        </is>
      </c>
      <c r="F1485" s="111" t="n">
        <v>3840</v>
      </c>
      <c r="G1485" s="104" t="inlineStr">
        <is>
          <t>09/2026</t>
        </is>
      </c>
      <c r="H1485" s="104" t="inlineStr">
        <is>
          <t>CODI</t>
        </is>
      </c>
    </row>
    <row r="1486">
      <c r="B1486" s="109" t="n">
        <v>46266</v>
      </c>
      <c r="C1486" s="110" t="inlineStr">
        <is>
          <t>Vendas - 09/2026</t>
        </is>
      </c>
      <c r="D1486" s="110" t="inlineStr">
        <is>
          <t>Entrada</t>
        </is>
      </c>
      <c r="E1486" s="110" t="inlineStr">
        <is>
          <t>Vendas</t>
        </is>
      </c>
      <c r="F1486" s="111" t="n">
        <v>191.01</v>
      </c>
      <c r="G1486" s="104" t="inlineStr">
        <is>
          <t>09/2026</t>
        </is>
      </c>
      <c r="H1486" s="104" t="inlineStr">
        <is>
          <t>CODI</t>
        </is>
      </c>
    </row>
    <row r="1487">
      <c r="B1487" s="109" t="n">
        <v>46266</v>
      </c>
      <c r="C1487" s="110" t="inlineStr">
        <is>
          <t>Vendas - 09/2026</t>
        </is>
      </c>
      <c r="D1487" s="110" t="inlineStr">
        <is>
          <t>Entrada</t>
        </is>
      </c>
      <c r="E1487" s="110" t="inlineStr">
        <is>
          <t>Vendas</t>
        </is>
      </c>
      <c r="F1487" s="111" t="n">
        <v>560</v>
      </c>
      <c r="G1487" s="104" t="inlineStr">
        <is>
          <t>09/2026</t>
        </is>
      </c>
      <c r="H1487" s="104" t="inlineStr">
        <is>
          <t>CODI</t>
        </is>
      </c>
    </row>
    <row r="1488">
      <c r="B1488" s="109" t="n">
        <v>46266</v>
      </c>
      <c r="C1488" s="110" t="inlineStr">
        <is>
          <t>Vendas - 09/2026</t>
        </is>
      </c>
      <c r="D1488" s="110" t="inlineStr">
        <is>
          <t>Entrada</t>
        </is>
      </c>
      <c r="E1488" s="110" t="inlineStr">
        <is>
          <t>Vendas</t>
        </is>
      </c>
      <c r="F1488" s="111" t="n">
        <v>140</v>
      </c>
      <c r="G1488" s="104" t="inlineStr">
        <is>
          <t>09/2026</t>
        </is>
      </c>
      <c r="H1488" s="104" t="inlineStr">
        <is>
          <t>CODI</t>
        </is>
      </c>
    </row>
    <row r="1489">
      <c r="B1489" s="109" t="n">
        <v>46266</v>
      </c>
      <c r="C1489" s="110" t="inlineStr">
        <is>
          <t>Vendas - 09/2026</t>
        </is>
      </c>
      <c r="D1489" s="110" t="inlineStr">
        <is>
          <t>Entrada</t>
        </is>
      </c>
      <c r="E1489" s="110" t="inlineStr">
        <is>
          <t>Vendas</t>
        </is>
      </c>
      <c r="F1489" s="111" t="n">
        <v>1695.75</v>
      </c>
      <c r="G1489" s="104" t="inlineStr">
        <is>
          <t>09/2026</t>
        </is>
      </c>
      <c r="H1489" s="104" t="inlineStr">
        <is>
          <t>CODI</t>
        </is>
      </c>
    </row>
    <row r="1490">
      <c r="B1490" s="109" t="n">
        <v>46266</v>
      </c>
      <c r="C1490" s="110" t="inlineStr">
        <is>
          <t>Vendas - 09/2026</t>
        </is>
      </c>
      <c r="D1490" s="110" t="inlineStr">
        <is>
          <t>Entrada</t>
        </is>
      </c>
      <c r="E1490" s="110" t="inlineStr">
        <is>
          <t>Vendas</t>
        </is>
      </c>
      <c r="F1490" s="111" t="n">
        <v>100</v>
      </c>
      <c r="G1490" s="104" t="inlineStr">
        <is>
          <t>09/2026</t>
        </is>
      </c>
      <c r="H1490" s="104" t="inlineStr">
        <is>
          <t>CODI</t>
        </is>
      </c>
    </row>
    <row r="1491">
      <c r="B1491" s="109" t="n">
        <v>46266</v>
      </c>
      <c r="C1491" s="110" t="inlineStr">
        <is>
          <t>Vendas - 09/2026</t>
        </is>
      </c>
      <c r="D1491" s="110" t="inlineStr">
        <is>
          <t>Entrada</t>
        </is>
      </c>
      <c r="E1491" s="110" t="inlineStr">
        <is>
          <t>Vendas</t>
        </is>
      </c>
      <c r="F1491" s="111" t="n">
        <v>6946</v>
      </c>
      <c r="G1491" s="104" t="inlineStr">
        <is>
          <t>09/2026</t>
        </is>
      </c>
      <c r="H1491" s="104" t="inlineStr">
        <is>
          <t>CODI</t>
        </is>
      </c>
    </row>
    <row r="1492">
      <c r="B1492" s="109" t="n">
        <v>46266</v>
      </c>
      <c r="C1492" s="110" t="inlineStr">
        <is>
          <t>Vendas - 09/2026</t>
        </is>
      </c>
      <c r="D1492" s="110" t="inlineStr">
        <is>
          <t>Entrada</t>
        </is>
      </c>
      <c r="E1492" s="110" t="inlineStr">
        <is>
          <t>Vendas</t>
        </is>
      </c>
      <c r="F1492" s="111" t="n">
        <v>1075</v>
      </c>
      <c r="G1492" s="104" t="inlineStr">
        <is>
          <t>09/2026</t>
        </is>
      </c>
      <c r="H1492" s="104" t="inlineStr">
        <is>
          <t>CODI</t>
        </is>
      </c>
    </row>
    <row r="1493">
      <c r="B1493" s="109" t="n">
        <v>46266</v>
      </c>
      <c r="C1493" s="110" t="inlineStr">
        <is>
          <t>Vendas - 09/2026</t>
        </is>
      </c>
      <c r="D1493" s="110" t="inlineStr">
        <is>
          <t>Entrada</t>
        </is>
      </c>
      <c r="E1493" s="110" t="inlineStr">
        <is>
          <t>Vendas</t>
        </is>
      </c>
      <c r="F1493" s="111" t="n">
        <v>206.65</v>
      </c>
      <c r="G1493" s="104" t="inlineStr">
        <is>
          <t>09/2026</t>
        </is>
      </c>
      <c r="H1493" s="104" t="inlineStr">
        <is>
          <t>CODI</t>
        </is>
      </c>
    </row>
    <row r="1494">
      <c r="B1494" s="109" t="n">
        <v>46266</v>
      </c>
      <c r="C1494" s="110" t="inlineStr">
        <is>
          <t>Vendas - 09/2026</t>
        </is>
      </c>
      <c r="D1494" s="110" t="inlineStr">
        <is>
          <t>Entrada</t>
        </is>
      </c>
      <c r="E1494" s="110" t="inlineStr">
        <is>
          <t>Vendas</t>
        </is>
      </c>
      <c r="F1494" s="111" t="n">
        <v>210.6</v>
      </c>
      <c r="G1494" s="104" t="inlineStr">
        <is>
          <t>09/2026</t>
        </is>
      </c>
      <c r="H1494" s="104" t="inlineStr">
        <is>
          <t>CODI</t>
        </is>
      </c>
    </row>
    <row r="1495">
      <c r="B1495" s="109" t="n">
        <v>46266</v>
      </c>
      <c r="C1495" s="110" t="inlineStr">
        <is>
          <t>Vendas - 09/2026</t>
        </is>
      </c>
      <c r="D1495" s="110" t="inlineStr">
        <is>
          <t>Entrada</t>
        </is>
      </c>
      <c r="E1495" s="110" t="inlineStr">
        <is>
          <t>Vendas</t>
        </is>
      </c>
      <c r="F1495" s="111" t="n">
        <v>5358</v>
      </c>
      <c r="G1495" s="104" t="inlineStr">
        <is>
          <t>09/2026</t>
        </is>
      </c>
      <c r="H1495" s="104" t="inlineStr">
        <is>
          <t>CODI</t>
        </is>
      </c>
    </row>
    <row r="1496">
      <c r="B1496" s="109" t="n">
        <v>46266</v>
      </c>
      <c r="C1496" s="110" t="inlineStr">
        <is>
          <t>Vendas - 09/2026</t>
        </is>
      </c>
      <c r="D1496" s="110" t="inlineStr">
        <is>
          <t>Entrada</t>
        </is>
      </c>
      <c r="E1496" s="110" t="inlineStr">
        <is>
          <t>Vendas</t>
        </is>
      </c>
      <c r="F1496" s="111" t="n">
        <v>175</v>
      </c>
      <c r="G1496" s="104" t="inlineStr">
        <is>
          <t>09/2026</t>
        </is>
      </c>
      <c r="H1496" s="104" t="inlineStr">
        <is>
          <t>CODI</t>
        </is>
      </c>
    </row>
    <row r="1497">
      <c r="B1497" s="109" t="n">
        <v>46266</v>
      </c>
      <c r="C1497" s="110" t="inlineStr">
        <is>
          <t>Vendas - 09/2026</t>
        </is>
      </c>
      <c r="D1497" s="110" t="inlineStr">
        <is>
          <t>Entrada</t>
        </is>
      </c>
      <c r="E1497" s="110" t="inlineStr">
        <is>
          <t>Vendas</t>
        </is>
      </c>
      <c r="F1497" s="111" t="n">
        <v>6580</v>
      </c>
      <c r="G1497" s="104" t="inlineStr">
        <is>
          <t>09/2026</t>
        </is>
      </c>
      <c r="H1497" s="104" t="inlineStr">
        <is>
          <t>CODI</t>
        </is>
      </c>
    </row>
    <row r="1498">
      <c r="B1498" s="109" t="n">
        <v>46266</v>
      </c>
      <c r="C1498" s="110" t="inlineStr">
        <is>
          <t>Vendas - 09/2026</t>
        </is>
      </c>
      <c r="D1498" s="110" t="inlineStr">
        <is>
          <t>Entrada</t>
        </is>
      </c>
      <c r="E1498" s="110" t="inlineStr">
        <is>
          <t>Vendas</t>
        </is>
      </c>
      <c r="F1498" s="111" t="n">
        <v>3300</v>
      </c>
      <c r="G1498" s="104" t="inlineStr">
        <is>
          <t>09/2026</t>
        </is>
      </c>
      <c r="H1498" s="104" t="inlineStr">
        <is>
          <t>CODI</t>
        </is>
      </c>
    </row>
    <row r="1499">
      <c r="B1499" s="109" t="n">
        <v>46266</v>
      </c>
      <c r="C1499" s="110" t="inlineStr">
        <is>
          <t>Vendas - 09/2026</t>
        </is>
      </c>
      <c r="D1499" s="110" t="inlineStr">
        <is>
          <t>Entrada</t>
        </is>
      </c>
      <c r="E1499" s="110" t="inlineStr">
        <is>
          <t>Vendas</t>
        </is>
      </c>
      <c r="F1499" s="111" t="n">
        <v>7345</v>
      </c>
      <c r="G1499" s="104" t="inlineStr">
        <is>
          <t>09/2026</t>
        </is>
      </c>
      <c r="H1499" s="104" t="inlineStr">
        <is>
          <t>CODI</t>
        </is>
      </c>
    </row>
    <row r="1500">
      <c r="B1500" s="109" t="n">
        <v>46266</v>
      </c>
      <c r="C1500" s="110" t="inlineStr">
        <is>
          <t>Vendas - 09/2026</t>
        </is>
      </c>
      <c r="D1500" s="110" t="inlineStr">
        <is>
          <t>Entrada</t>
        </is>
      </c>
      <c r="E1500" s="110" t="inlineStr">
        <is>
          <t>Vendas</t>
        </is>
      </c>
      <c r="F1500" s="111" t="n">
        <v>1405</v>
      </c>
      <c r="G1500" s="104" t="inlineStr">
        <is>
          <t>09/2026</t>
        </is>
      </c>
      <c r="H1500" s="104" t="inlineStr">
        <is>
          <t>CODI</t>
        </is>
      </c>
    </row>
    <row r="1501">
      <c r="B1501" s="109" t="n">
        <v>46266</v>
      </c>
      <c r="C1501" s="110" t="inlineStr">
        <is>
          <t>Vendas - 09/2026</t>
        </is>
      </c>
      <c r="D1501" s="110" t="inlineStr">
        <is>
          <t>Entrada</t>
        </is>
      </c>
      <c r="E1501" s="110" t="inlineStr">
        <is>
          <t>Vendas</t>
        </is>
      </c>
      <c r="F1501" s="111" t="n">
        <v>1870</v>
      </c>
      <c r="G1501" s="104" t="inlineStr">
        <is>
          <t>09/2026</t>
        </is>
      </c>
      <c r="H1501" s="104" t="inlineStr">
        <is>
          <t>CODI</t>
        </is>
      </c>
    </row>
    <row r="1502">
      <c r="B1502" s="109" t="n">
        <v>46266</v>
      </c>
      <c r="C1502" s="110" t="inlineStr">
        <is>
          <t>Vendas - 09/2026</t>
        </is>
      </c>
      <c r="D1502" s="110" t="inlineStr">
        <is>
          <t>Entrada</t>
        </is>
      </c>
      <c r="E1502" s="110" t="inlineStr">
        <is>
          <t>Vendas</t>
        </is>
      </c>
      <c r="F1502" s="111" t="n">
        <v>1170</v>
      </c>
      <c r="G1502" s="104" t="inlineStr">
        <is>
          <t>09/2026</t>
        </is>
      </c>
      <c r="H1502" s="104" t="inlineStr">
        <is>
          <t>CODI</t>
        </is>
      </c>
    </row>
    <row r="1503">
      <c r="B1503" s="109" t="n">
        <v>46266</v>
      </c>
      <c r="C1503" s="110" t="inlineStr">
        <is>
          <t>Vendas - 09/2026</t>
        </is>
      </c>
      <c r="D1503" s="110" t="inlineStr">
        <is>
          <t>Entrada</t>
        </is>
      </c>
      <c r="E1503" s="110" t="inlineStr">
        <is>
          <t>Vendas</t>
        </is>
      </c>
      <c r="F1503" s="111" t="n">
        <v>1945</v>
      </c>
      <c r="G1503" s="104" t="inlineStr">
        <is>
          <t>09/2026</t>
        </is>
      </c>
      <c r="H1503" s="104" t="inlineStr">
        <is>
          <t>CODI</t>
        </is>
      </c>
    </row>
    <row r="1504">
      <c r="B1504" s="109" t="n">
        <v>46266</v>
      </c>
      <c r="C1504" s="110" t="inlineStr">
        <is>
          <t>Vendas - 09/2026</t>
        </is>
      </c>
      <c r="D1504" s="110" t="inlineStr">
        <is>
          <t>Entrada</t>
        </is>
      </c>
      <c r="E1504" s="110" t="inlineStr">
        <is>
          <t>Vendas</t>
        </is>
      </c>
      <c r="F1504" s="111" t="n">
        <v>206</v>
      </c>
      <c r="G1504" s="104" t="inlineStr">
        <is>
          <t>09/2026</t>
        </is>
      </c>
      <c r="H1504" s="104" t="inlineStr">
        <is>
          <t>CODI</t>
        </is>
      </c>
    </row>
    <row r="1505">
      <c r="B1505" s="109" t="n">
        <v>46266</v>
      </c>
      <c r="C1505" s="110" t="inlineStr">
        <is>
          <t>Vendas - 09/2026</t>
        </is>
      </c>
      <c r="D1505" s="110" t="inlineStr">
        <is>
          <t>Entrada</t>
        </is>
      </c>
      <c r="E1505" s="110" t="inlineStr">
        <is>
          <t>Vendas</t>
        </is>
      </c>
      <c r="F1505" s="111" t="n">
        <v>70</v>
      </c>
      <c r="G1505" s="104" t="inlineStr">
        <is>
          <t>09/2026</t>
        </is>
      </c>
      <c r="H1505" s="104" t="inlineStr">
        <is>
          <t>CODI</t>
        </is>
      </c>
    </row>
    <row r="1506">
      <c r="B1506" s="109" t="n">
        <v>46266</v>
      </c>
      <c r="C1506" s="110" t="inlineStr">
        <is>
          <t>Vendas - 09/2026</t>
        </is>
      </c>
      <c r="D1506" s="110" t="inlineStr">
        <is>
          <t>Entrada</t>
        </is>
      </c>
      <c r="E1506" s="110" t="inlineStr">
        <is>
          <t>Vendas</t>
        </is>
      </c>
      <c r="F1506" s="111" t="n">
        <v>4000</v>
      </c>
      <c r="G1506" s="104" t="inlineStr">
        <is>
          <t>09/2026</t>
        </is>
      </c>
      <c r="H1506" s="104" t="inlineStr">
        <is>
          <t>CODI</t>
        </is>
      </c>
    </row>
    <row r="1507">
      <c r="B1507" s="109" t="n">
        <v>46266</v>
      </c>
      <c r="C1507" s="110" t="inlineStr">
        <is>
          <t>Vendas - 09/2026</t>
        </is>
      </c>
      <c r="D1507" s="110" t="inlineStr">
        <is>
          <t>Entrada</t>
        </is>
      </c>
      <c r="E1507" s="110" t="inlineStr">
        <is>
          <t>Vendas</t>
        </is>
      </c>
      <c r="F1507" s="111" t="n">
        <v>1180</v>
      </c>
      <c r="G1507" s="104" t="inlineStr">
        <is>
          <t>09/2026</t>
        </is>
      </c>
      <c r="H1507" s="104" t="inlineStr">
        <is>
          <t>CODI</t>
        </is>
      </c>
    </row>
    <row r="1508">
      <c r="B1508" s="109" t="n">
        <v>46266</v>
      </c>
      <c r="C1508" s="110" t="inlineStr">
        <is>
          <t>Vendas - 09/2026</t>
        </is>
      </c>
      <c r="D1508" s="110" t="inlineStr">
        <is>
          <t>Entrada</t>
        </is>
      </c>
      <c r="E1508" s="110" t="inlineStr">
        <is>
          <t>Vendas</t>
        </is>
      </c>
      <c r="F1508" s="111" t="n">
        <v>146.5</v>
      </c>
      <c r="G1508" s="104" t="inlineStr">
        <is>
          <t>09/2026</t>
        </is>
      </c>
      <c r="H1508" s="104" t="inlineStr">
        <is>
          <t>CODI</t>
        </is>
      </c>
    </row>
    <row r="1509">
      <c r="B1509" s="109" t="n">
        <v>46266</v>
      </c>
      <c r="C1509" s="110" t="inlineStr">
        <is>
          <t>Vendas - 09/2026</t>
        </is>
      </c>
      <c r="D1509" s="110" t="inlineStr">
        <is>
          <t>Entrada</t>
        </is>
      </c>
      <c r="E1509" s="110" t="inlineStr">
        <is>
          <t>Vendas</t>
        </is>
      </c>
      <c r="F1509" s="111" t="n">
        <v>1601</v>
      </c>
      <c r="G1509" s="104" t="inlineStr">
        <is>
          <t>09/2026</t>
        </is>
      </c>
      <c r="H1509" s="104" t="inlineStr">
        <is>
          <t>CODI</t>
        </is>
      </c>
    </row>
    <row r="1510">
      <c r="B1510" s="109" t="n">
        <v>46266</v>
      </c>
      <c r="C1510" s="110" t="inlineStr">
        <is>
          <t>Vendas - 09/2026</t>
        </is>
      </c>
      <c r="D1510" s="110" t="inlineStr">
        <is>
          <t>Entrada</t>
        </is>
      </c>
      <c r="E1510" s="110" t="inlineStr">
        <is>
          <t>Vendas</t>
        </is>
      </c>
      <c r="F1510" s="111" t="n">
        <v>1360</v>
      </c>
      <c r="G1510" s="104" t="inlineStr">
        <is>
          <t>09/2026</t>
        </is>
      </c>
      <c r="H1510" s="104" t="inlineStr">
        <is>
          <t>CODI</t>
        </is>
      </c>
    </row>
    <row r="1511">
      <c r="B1511" s="109" t="n">
        <v>46266</v>
      </c>
      <c r="C1511" s="110" t="inlineStr">
        <is>
          <t>Vendas - 09/2026</t>
        </is>
      </c>
      <c r="D1511" s="110" t="inlineStr">
        <is>
          <t>Entrada</t>
        </is>
      </c>
      <c r="E1511" s="110" t="inlineStr">
        <is>
          <t>Vendas</t>
        </is>
      </c>
      <c r="F1511" s="111" t="n">
        <v>663</v>
      </c>
      <c r="G1511" s="104" t="inlineStr">
        <is>
          <t>09/2026</t>
        </is>
      </c>
      <c r="H1511" s="104" t="inlineStr">
        <is>
          <t>CODI</t>
        </is>
      </c>
    </row>
    <row r="1512">
      <c r="B1512" s="109" t="n">
        <v>46266</v>
      </c>
      <c r="C1512" s="110" t="inlineStr">
        <is>
          <t>Vendas - 09/2026</t>
        </is>
      </c>
      <c r="D1512" s="110" t="inlineStr">
        <is>
          <t>Entrada</t>
        </is>
      </c>
      <c r="E1512" s="110" t="inlineStr">
        <is>
          <t>Vendas</t>
        </is>
      </c>
      <c r="F1512" s="111" t="n">
        <v>1679</v>
      </c>
      <c r="G1512" s="104" t="inlineStr">
        <is>
          <t>09/2026</t>
        </is>
      </c>
      <c r="H1512" s="104" t="inlineStr">
        <is>
          <t>CODI</t>
        </is>
      </c>
    </row>
    <row r="1513">
      <c r="B1513" s="109" t="n">
        <v>46266</v>
      </c>
      <c r="C1513" s="110" t="inlineStr">
        <is>
          <t>Vendas - 09/2026</t>
        </is>
      </c>
      <c r="D1513" s="110" t="inlineStr">
        <is>
          <t>Entrada</t>
        </is>
      </c>
      <c r="E1513" s="110" t="inlineStr">
        <is>
          <t>Vendas</t>
        </is>
      </c>
      <c r="F1513" s="111" t="n">
        <v>475.7</v>
      </c>
      <c r="G1513" s="104" t="inlineStr">
        <is>
          <t>09/2026</t>
        </is>
      </c>
      <c r="H1513" s="104" t="inlineStr">
        <is>
          <t>CODI</t>
        </is>
      </c>
    </row>
    <row r="1514">
      <c r="B1514" s="109" t="n">
        <v>46266</v>
      </c>
      <c r="C1514" s="110" t="inlineStr">
        <is>
          <t>Vendas - 09/2026</t>
        </is>
      </c>
      <c r="D1514" s="110" t="inlineStr">
        <is>
          <t>Entrada</t>
        </is>
      </c>
      <c r="E1514" s="110" t="inlineStr">
        <is>
          <t>Vendas</t>
        </is>
      </c>
      <c r="F1514" s="111" t="n">
        <v>835.83</v>
      </c>
      <c r="G1514" s="104" t="inlineStr">
        <is>
          <t>09/2026</t>
        </is>
      </c>
      <c r="H1514" s="104" t="inlineStr">
        <is>
          <t>CODI</t>
        </is>
      </c>
    </row>
    <row r="1515">
      <c r="B1515" s="109" t="n">
        <v>46266</v>
      </c>
      <c r="C1515" s="110" t="inlineStr">
        <is>
          <t>Vendas - 09/2026</t>
        </is>
      </c>
      <c r="D1515" s="110" t="inlineStr">
        <is>
          <t>Entrada</t>
        </is>
      </c>
      <c r="E1515" s="110" t="inlineStr">
        <is>
          <t>Vendas</t>
        </is>
      </c>
      <c r="F1515" s="111" t="n">
        <v>1973.34</v>
      </c>
      <c r="G1515" s="104" t="inlineStr">
        <is>
          <t>09/2026</t>
        </is>
      </c>
      <c r="H1515" s="104" t="inlineStr">
        <is>
          <t>CODI</t>
        </is>
      </c>
    </row>
    <row r="1516">
      <c r="B1516" s="109" t="n">
        <v>46266</v>
      </c>
      <c r="C1516" s="110" t="inlineStr">
        <is>
          <t>Vendas - 09/2026</t>
        </is>
      </c>
      <c r="D1516" s="110" t="inlineStr">
        <is>
          <t>Entrada</t>
        </is>
      </c>
      <c r="E1516" s="110" t="inlineStr">
        <is>
          <t>Vendas</t>
        </is>
      </c>
      <c r="F1516" s="111" t="n">
        <v>506.66</v>
      </c>
      <c r="G1516" s="104" t="inlineStr">
        <is>
          <t>09/2026</t>
        </is>
      </c>
      <c r="H1516" s="104" t="inlineStr">
        <is>
          <t>CODI</t>
        </is>
      </c>
    </row>
    <row r="1517">
      <c r="B1517" s="109" t="n">
        <v>46266</v>
      </c>
      <c r="C1517" s="110" t="inlineStr">
        <is>
          <t>Vendas - 09/2026</t>
        </is>
      </c>
      <c r="D1517" s="110" t="inlineStr">
        <is>
          <t>Entrada</t>
        </is>
      </c>
      <c r="E1517" s="110" t="inlineStr">
        <is>
          <t>Vendas</t>
        </is>
      </c>
      <c r="F1517" s="111" t="n">
        <v>2000</v>
      </c>
      <c r="G1517" s="104" t="inlineStr">
        <is>
          <t>09/2026</t>
        </is>
      </c>
      <c r="H1517" s="104" t="inlineStr">
        <is>
          <t>CODI</t>
        </is>
      </c>
    </row>
    <row r="1518">
      <c r="B1518" s="109" t="n">
        <v>46266</v>
      </c>
      <c r="C1518" s="110" t="inlineStr">
        <is>
          <t>Vendas - 09/2026</t>
        </is>
      </c>
      <c r="D1518" s="110" t="inlineStr">
        <is>
          <t>Entrada</t>
        </is>
      </c>
      <c r="E1518" s="110" t="inlineStr">
        <is>
          <t>Vendas</t>
        </is>
      </c>
      <c r="F1518" s="111" t="n">
        <v>13510</v>
      </c>
      <c r="G1518" s="104" t="inlineStr">
        <is>
          <t>09/2026</t>
        </is>
      </c>
      <c r="H1518" s="104" t="inlineStr">
        <is>
          <t>CODI</t>
        </is>
      </c>
    </row>
    <row r="1519">
      <c r="B1519" s="109" t="n">
        <v>46266</v>
      </c>
      <c r="C1519" s="110" t="inlineStr">
        <is>
          <t>Vendas - 09/2026</t>
        </is>
      </c>
      <c r="D1519" s="110" t="inlineStr">
        <is>
          <t>Entrada</t>
        </is>
      </c>
      <c r="E1519" s="110" t="inlineStr">
        <is>
          <t>Vendas</t>
        </is>
      </c>
      <c r="F1519" s="111" t="n">
        <v>10950</v>
      </c>
      <c r="G1519" s="104" t="inlineStr">
        <is>
          <t>09/2026</t>
        </is>
      </c>
      <c r="H1519" s="104" t="inlineStr">
        <is>
          <t>CODI</t>
        </is>
      </c>
    </row>
    <row r="1520">
      <c r="B1520" s="109" t="n">
        <v>46266</v>
      </c>
      <c r="C1520" s="110" t="inlineStr">
        <is>
          <t>Vendas - 09/2026</t>
        </is>
      </c>
      <c r="D1520" s="110" t="inlineStr">
        <is>
          <t>Entrada</t>
        </is>
      </c>
      <c r="E1520" s="110" t="inlineStr">
        <is>
          <t>Vendas</t>
        </is>
      </c>
      <c r="F1520" s="111" t="n">
        <v>50</v>
      </c>
      <c r="G1520" s="104" t="inlineStr">
        <is>
          <t>09/2026</t>
        </is>
      </c>
      <c r="H1520" s="104" t="inlineStr">
        <is>
          <t>CODI</t>
        </is>
      </c>
    </row>
    <row r="1521">
      <c r="B1521" s="109" t="n">
        <v>46266</v>
      </c>
      <c r="C1521" s="110" t="inlineStr">
        <is>
          <t>Vendas - 09/2026</t>
        </is>
      </c>
      <c r="D1521" s="110" t="inlineStr">
        <is>
          <t>Entrada</t>
        </is>
      </c>
      <c r="E1521" s="110" t="inlineStr">
        <is>
          <t>Vendas</t>
        </is>
      </c>
      <c r="F1521" s="111" t="n">
        <v>4875</v>
      </c>
      <c r="G1521" s="104" t="inlineStr">
        <is>
          <t>09/2026</t>
        </is>
      </c>
      <c r="H1521" s="104" t="inlineStr">
        <is>
          <t>CODI</t>
        </is>
      </c>
    </row>
    <row r="1522">
      <c r="B1522" s="109" t="n">
        <v>46266</v>
      </c>
      <c r="C1522" s="110" t="inlineStr">
        <is>
          <t>Vendas - 09/2026</t>
        </is>
      </c>
      <c r="D1522" s="110" t="inlineStr">
        <is>
          <t>Entrada</t>
        </is>
      </c>
      <c r="E1522" s="110" t="inlineStr">
        <is>
          <t>Vendas</t>
        </is>
      </c>
      <c r="F1522" s="111" t="n">
        <v>1909.2</v>
      </c>
      <c r="G1522" s="104" t="inlineStr">
        <is>
          <t>09/2026</t>
        </is>
      </c>
      <c r="H1522" s="104" t="inlineStr">
        <is>
          <t>CODI</t>
        </is>
      </c>
    </row>
    <row r="1523">
      <c r="B1523" s="109" t="n">
        <v>46266</v>
      </c>
      <c r="C1523" s="110" t="inlineStr">
        <is>
          <t>Vendas - 09/2026</t>
        </is>
      </c>
      <c r="D1523" s="110" t="inlineStr">
        <is>
          <t>Entrada</t>
        </is>
      </c>
      <c r="E1523" s="110" t="inlineStr">
        <is>
          <t>Vendas</t>
        </is>
      </c>
      <c r="F1523" s="111" t="n">
        <v>2978</v>
      </c>
      <c r="G1523" s="104" t="inlineStr">
        <is>
          <t>09/2026</t>
        </is>
      </c>
      <c r="H1523" s="104" t="inlineStr">
        <is>
          <t>CODI</t>
        </is>
      </c>
    </row>
    <row r="1524">
      <c r="B1524" s="109" t="n">
        <v>46266</v>
      </c>
      <c r="C1524" s="110" t="inlineStr">
        <is>
          <t>Vendas - 09/2026</t>
        </is>
      </c>
      <c r="D1524" s="110" t="inlineStr">
        <is>
          <t>Entrada</t>
        </is>
      </c>
      <c r="E1524" s="110" t="inlineStr">
        <is>
          <t>Vendas</t>
        </is>
      </c>
      <c r="F1524" s="111" t="n">
        <v>2300</v>
      </c>
      <c r="G1524" s="104" t="inlineStr">
        <is>
          <t>09/2026</t>
        </is>
      </c>
      <c r="H1524" s="104" t="inlineStr">
        <is>
          <t>CODI</t>
        </is>
      </c>
    </row>
    <row r="1525">
      <c r="B1525" s="109" t="n">
        <v>46266</v>
      </c>
      <c r="C1525" s="110" t="inlineStr">
        <is>
          <t>Vendas - 09/2026</t>
        </is>
      </c>
      <c r="D1525" s="110" t="inlineStr">
        <is>
          <t>Entrada</t>
        </is>
      </c>
      <c r="E1525" s="110" t="inlineStr">
        <is>
          <t>Vendas</t>
        </is>
      </c>
      <c r="F1525" s="111" t="n">
        <v>553.75</v>
      </c>
      <c r="G1525" s="104" t="inlineStr">
        <is>
          <t>09/2026</t>
        </is>
      </c>
      <c r="H1525" s="104" t="inlineStr">
        <is>
          <t>CODI</t>
        </is>
      </c>
    </row>
    <row r="1526">
      <c r="B1526" s="109" t="n">
        <v>46266</v>
      </c>
      <c r="C1526" s="110" t="inlineStr">
        <is>
          <t>Vendas - 09/2026</t>
        </is>
      </c>
      <c r="D1526" s="110" t="inlineStr">
        <is>
          <t>Entrada</t>
        </is>
      </c>
      <c r="E1526" s="110" t="inlineStr">
        <is>
          <t>Vendas</t>
        </is>
      </c>
      <c r="F1526" s="111" t="n">
        <v>2125</v>
      </c>
      <c r="G1526" s="104" t="inlineStr">
        <is>
          <t>09/2026</t>
        </is>
      </c>
      <c r="H1526" s="104" t="inlineStr">
        <is>
          <t>CODI</t>
        </is>
      </c>
    </row>
    <row r="1527">
      <c r="B1527" s="109" t="n">
        <v>46266</v>
      </c>
      <c r="C1527" s="110" t="inlineStr">
        <is>
          <t>Vendas - 09/2026</t>
        </is>
      </c>
      <c r="D1527" s="110" t="inlineStr">
        <is>
          <t>Entrada</t>
        </is>
      </c>
      <c r="E1527" s="110" t="inlineStr">
        <is>
          <t>Vendas</t>
        </is>
      </c>
      <c r="F1527" s="111" t="n">
        <v>850</v>
      </c>
      <c r="G1527" s="104" t="inlineStr">
        <is>
          <t>09/2026</t>
        </is>
      </c>
      <c r="H1527" s="104" t="inlineStr">
        <is>
          <t>CODI</t>
        </is>
      </c>
    </row>
    <row r="1528">
      <c r="B1528" s="109" t="n">
        <v>46266</v>
      </c>
      <c r="C1528" s="110" t="inlineStr">
        <is>
          <t>Vendas - 09/2026</t>
        </is>
      </c>
      <c r="D1528" s="110" t="inlineStr">
        <is>
          <t>Entrada</t>
        </is>
      </c>
      <c r="E1528" s="110" t="inlineStr">
        <is>
          <t>Vendas</t>
        </is>
      </c>
      <c r="F1528" s="111" t="n">
        <v>1360</v>
      </c>
      <c r="G1528" s="104" t="inlineStr">
        <is>
          <t>09/2026</t>
        </is>
      </c>
      <c r="H1528" s="104" t="inlineStr">
        <is>
          <t>CODI</t>
        </is>
      </c>
    </row>
    <row r="1529">
      <c r="B1529" s="109" t="n">
        <v>46266</v>
      </c>
      <c r="C1529" s="110" t="inlineStr">
        <is>
          <t>Vendas - 09/2026</t>
        </is>
      </c>
      <c r="D1529" s="110" t="inlineStr">
        <is>
          <t>Entrada</t>
        </is>
      </c>
      <c r="E1529" s="110" t="inlineStr">
        <is>
          <t>Vendas</t>
        </is>
      </c>
      <c r="F1529" s="111" t="n">
        <v>2090</v>
      </c>
      <c r="G1529" s="104" t="inlineStr">
        <is>
          <t>09/2026</t>
        </is>
      </c>
      <c r="H1529" s="104" t="inlineStr">
        <is>
          <t>CODI</t>
        </is>
      </c>
    </row>
    <row r="1530">
      <c r="B1530" s="109" t="n">
        <v>46266</v>
      </c>
      <c r="C1530" s="110" t="inlineStr">
        <is>
          <t>Vendas - 09/2026</t>
        </is>
      </c>
      <c r="D1530" s="110" t="inlineStr">
        <is>
          <t>Entrada</t>
        </is>
      </c>
      <c r="E1530" s="110" t="inlineStr">
        <is>
          <t>Vendas</t>
        </is>
      </c>
      <c r="F1530" s="111" t="n">
        <v>1065</v>
      </c>
      <c r="G1530" s="104" t="inlineStr">
        <is>
          <t>09/2026</t>
        </is>
      </c>
      <c r="H1530" s="104" t="inlineStr">
        <is>
          <t>CODI</t>
        </is>
      </c>
    </row>
    <row r="1531">
      <c r="B1531" s="109" t="n">
        <v>46266</v>
      </c>
      <c r="C1531" s="110" t="inlineStr">
        <is>
          <t>Vendas - 09/2026</t>
        </is>
      </c>
      <c r="D1531" s="110" t="inlineStr">
        <is>
          <t>Entrada</t>
        </is>
      </c>
      <c r="E1531" s="110" t="inlineStr">
        <is>
          <t>Vendas</t>
        </is>
      </c>
      <c r="F1531" s="111" t="n">
        <v>2530</v>
      </c>
      <c r="G1531" s="104" t="inlineStr">
        <is>
          <t>09/2026</t>
        </is>
      </c>
      <c r="H1531" s="104" t="inlineStr">
        <is>
          <t>CODI</t>
        </is>
      </c>
    </row>
    <row r="1532">
      <c r="B1532" s="109" t="n">
        <v>46266</v>
      </c>
      <c r="C1532" s="110" t="inlineStr">
        <is>
          <t>Vendas - 09/2026</t>
        </is>
      </c>
      <c r="D1532" s="110" t="inlineStr">
        <is>
          <t>Entrada</t>
        </is>
      </c>
      <c r="E1532" s="110" t="inlineStr">
        <is>
          <t>Vendas</t>
        </is>
      </c>
      <c r="F1532" s="111" t="n">
        <v>1920</v>
      </c>
      <c r="G1532" s="104" t="inlineStr">
        <is>
          <t>09/2026</t>
        </is>
      </c>
      <c r="H1532" s="104" t="inlineStr">
        <is>
          <t>CODI</t>
        </is>
      </c>
    </row>
    <row r="1533">
      <c r="B1533" s="109" t="n">
        <v>46266</v>
      </c>
      <c r="C1533" s="110" t="inlineStr">
        <is>
          <t>Vendas - 09/2026</t>
        </is>
      </c>
      <c r="D1533" s="110" t="inlineStr">
        <is>
          <t>Entrada</t>
        </is>
      </c>
      <c r="E1533" s="110" t="inlineStr">
        <is>
          <t>Vendas</t>
        </is>
      </c>
      <c r="F1533" s="111" t="n">
        <v>1320</v>
      </c>
      <c r="G1533" s="104" t="inlineStr">
        <is>
          <t>09/2026</t>
        </is>
      </c>
      <c r="H1533" s="104" t="inlineStr">
        <is>
          <t>CODI</t>
        </is>
      </c>
    </row>
    <row r="1534">
      <c r="B1534" s="109" t="n">
        <v>46266</v>
      </c>
      <c r="C1534" s="110" t="inlineStr">
        <is>
          <t>Vendas - 09/2026</t>
        </is>
      </c>
      <c r="D1534" s="110" t="inlineStr">
        <is>
          <t>Entrada</t>
        </is>
      </c>
      <c r="E1534" s="110" t="inlineStr">
        <is>
          <t>Vendas</t>
        </is>
      </c>
      <c r="F1534" s="111" t="n">
        <v>1487.5</v>
      </c>
      <c r="G1534" s="104" t="inlineStr">
        <is>
          <t>09/2026</t>
        </is>
      </c>
      <c r="H1534" s="104" t="inlineStr">
        <is>
          <t>CODI</t>
        </is>
      </c>
    </row>
    <row r="1535">
      <c r="B1535" s="109" t="n">
        <v>46266</v>
      </c>
      <c r="C1535" s="110" t="inlineStr">
        <is>
          <t>Vendas - 09/2026</t>
        </is>
      </c>
      <c r="D1535" s="110" t="inlineStr">
        <is>
          <t>Entrada</t>
        </is>
      </c>
      <c r="E1535" s="110" t="inlineStr">
        <is>
          <t>Vendas</t>
        </is>
      </c>
      <c r="F1535" s="111" t="n">
        <v>1860</v>
      </c>
      <c r="G1535" s="104" t="inlineStr">
        <is>
          <t>09/2026</t>
        </is>
      </c>
      <c r="H1535" s="104" t="inlineStr">
        <is>
          <t>CODI</t>
        </is>
      </c>
    </row>
    <row r="1536">
      <c r="B1536" s="109" t="n">
        <v>46266</v>
      </c>
      <c r="C1536" s="110" t="inlineStr">
        <is>
          <t>Vendas - 09/2026</t>
        </is>
      </c>
      <c r="D1536" s="110" t="inlineStr">
        <is>
          <t>Entrada</t>
        </is>
      </c>
      <c r="E1536" s="110" t="inlineStr">
        <is>
          <t>Vendas</t>
        </is>
      </c>
      <c r="F1536" s="111" t="n">
        <v>1950</v>
      </c>
      <c r="G1536" s="104" t="inlineStr">
        <is>
          <t>09/2026</t>
        </is>
      </c>
      <c r="H1536" s="104" t="inlineStr">
        <is>
          <t>CODI</t>
        </is>
      </c>
    </row>
    <row r="1537">
      <c r="B1537" s="109" t="n">
        <v>46266</v>
      </c>
      <c r="C1537" s="110" t="inlineStr">
        <is>
          <t>Vendas - 09/2026</t>
        </is>
      </c>
      <c r="D1537" s="110" t="inlineStr">
        <is>
          <t>Entrada</t>
        </is>
      </c>
      <c r="E1537" s="110" t="inlineStr">
        <is>
          <t>Vendas</t>
        </is>
      </c>
      <c r="F1537" s="111" t="n">
        <v>1655</v>
      </c>
      <c r="G1537" s="104" t="inlineStr">
        <is>
          <t>09/2026</t>
        </is>
      </c>
      <c r="H1537" s="104" t="inlineStr">
        <is>
          <t>CODI</t>
        </is>
      </c>
    </row>
    <row r="1538">
      <c r="B1538" s="109" t="n">
        <v>46266</v>
      </c>
      <c r="C1538" s="110" t="inlineStr">
        <is>
          <t>Vendas - 09/2026</t>
        </is>
      </c>
      <c r="D1538" s="110" t="inlineStr">
        <is>
          <t>Entrada</t>
        </is>
      </c>
      <c r="E1538" s="110" t="inlineStr">
        <is>
          <t>Vendas</t>
        </is>
      </c>
      <c r="F1538" s="111" t="n">
        <v>1245</v>
      </c>
      <c r="G1538" s="104" t="inlineStr">
        <is>
          <t>09/2026</t>
        </is>
      </c>
      <c r="H1538" s="104" t="inlineStr">
        <is>
          <t>CODI</t>
        </is>
      </c>
    </row>
    <row r="1539">
      <c r="B1539" s="109" t="n">
        <v>46266</v>
      </c>
      <c r="C1539" s="110" t="inlineStr">
        <is>
          <t>Vendas - 09/2026</t>
        </is>
      </c>
      <c r="D1539" s="110" t="inlineStr">
        <is>
          <t>Entrada</t>
        </is>
      </c>
      <c r="E1539" s="110" t="inlineStr">
        <is>
          <t>Vendas</t>
        </is>
      </c>
      <c r="F1539" s="111" t="n">
        <v>315</v>
      </c>
      <c r="G1539" s="104" t="inlineStr">
        <is>
          <t>09/2026</t>
        </is>
      </c>
      <c r="H1539" s="104" t="inlineStr">
        <is>
          <t>CODI</t>
        </is>
      </c>
    </row>
    <row r="1540">
      <c r="B1540" s="109" t="n">
        <v>46266</v>
      </c>
      <c r="C1540" s="110" t="inlineStr">
        <is>
          <t>Vendas - 09/2026</t>
        </is>
      </c>
      <c r="D1540" s="110" t="inlineStr">
        <is>
          <t>Entrada</t>
        </is>
      </c>
      <c r="E1540" s="110" t="inlineStr">
        <is>
          <t>Vendas</t>
        </is>
      </c>
      <c r="F1540" s="111" t="n">
        <v>65</v>
      </c>
      <c r="G1540" s="104" t="inlineStr">
        <is>
          <t>09/2026</t>
        </is>
      </c>
      <c r="H1540" s="104" t="inlineStr">
        <is>
          <t>CODI</t>
        </is>
      </c>
    </row>
    <row r="1541">
      <c r="B1541" s="109" t="n">
        <v>46266</v>
      </c>
      <c r="C1541" s="110" t="inlineStr">
        <is>
          <t>Vendas - 09/2026</t>
        </is>
      </c>
      <c r="D1541" s="110" t="inlineStr">
        <is>
          <t>Entrada</t>
        </is>
      </c>
      <c r="E1541" s="110" t="inlineStr">
        <is>
          <t>Vendas</t>
        </is>
      </c>
      <c r="F1541" s="111" t="n">
        <v>3395</v>
      </c>
      <c r="G1541" s="104" t="inlineStr">
        <is>
          <t>09/2026</t>
        </is>
      </c>
      <c r="H1541" s="104" t="inlineStr">
        <is>
          <t>CODI</t>
        </is>
      </c>
    </row>
    <row r="1542">
      <c r="B1542" s="109" t="n">
        <v>46266</v>
      </c>
      <c r="C1542" s="110" t="inlineStr">
        <is>
          <t>Vendas - 09/2026</t>
        </is>
      </c>
      <c r="D1542" s="110" t="inlineStr">
        <is>
          <t>Entrada</t>
        </is>
      </c>
      <c r="E1542" s="110" t="inlineStr">
        <is>
          <t>Vendas</t>
        </is>
      </c>
      <c r="F1542" s="111" t="n">
        <v>1320</v>
      </c>
      <c r="G1542" s="104" t="inlineStr">
        <is>
          <t>09/2026</t>
        </is>
      </c>
      <c r="H1542" s="104" t="inlineStr">
        <is>
          <t>CODI</t>
        </is>
      </c>
    </row>
    <row r="1543">
      <c r="B1543" s="109" t="n">
        <v>46266</v>
      </c>
      <c r="C1543" s="110" t="inlineStr">
        <is>
          <t>Vendas - 09/2026</t>
        </is>
      </c>
      <c r="D1543" s="110" t="inlineStr">
        <is>
          <t>Entrada</t>
        </is>
      </c>
      <c r="E1543" s="110" t="inlineStr">
        <is>
          <t>Vendas</t>
        </is>
      </c>
      <c r="F1543" s="111" t="n">
        <v>800</v>
      </c>
      <c r="G1543" s="104" t="inlineStr">
        <is>
          <t>09/2026</t>
        </is>
      </c>
      <c r="H1543" s="104" t="inlineStr">
        <is>
          <t>CODI</t>
        </is>
      </c>
    </row>
    <row r="1544">
      <c r="B1544" s="109" t="n">
        <v>46266</v>
      </c>
      <c r="C1544" s="110" t="inlineStr">
        <is>
          <t>Vendas - 09/2026</t>
        </is>
      </c>
      <c r="D1544" s="110" t="inlineStr">
        <is>
          <t>Entrada</t>
        </is>
      </c>
      <c r="E1544" s="110" t="inlineStr">
        <is>
          <t>Vendas</t>
        </is>
      </c>
      <c r="F1544" s="111" t="n">
        <v>72</v>
      </c>
      <c r="G1544" s="104" t="inlineStr">
        <is>
          <t>09/2026</t>
        </is>
      </c>
      <c r="H1544" s="104" t="inlineStr">
        <is>
          <t>CODI</t>
        </is>
      </c>
    </row>
    <row r="1545">
      <c r="B1545" s="109" t="n">
        <v>46266</v>
      </c>
      <c r="C1545" s="110" t="inlineStr">
        <is>
          <t>Vendas - 09/2026</t>
        </is>
      </c>
      <c r="D1545" s="110" t="inlineStr">
        <is>
          <t>Entrada</t>
        </is>
      </c>
      <c r="E1545" s="110" t="inlineStr">
        <is>
          <t>Vendas</t>
        </is>
      </c>
      <c r="F1545" s="111" t="n">
        <v>1435</v>
      </c>
      <c r="G1545" s="104" t="inlineStr">
        <is>
          <t>09/2026</t>
        </is>
      </c>
      <c r="H1545" s="104" t="inlineStr">
        <is>
          <t>CODI</t>
        </is>
      </c>
    </row>
    <row r="1546">
      <c r="B1546" s="109" t="n">
        <v>46266</v>
      </c>
      <c r="C1546" s="110" t="inlineStr">
        <is>
          <t>Vendas - 09/2026</t>
        </is>
      </c>
      <c r="D1546" s="110" t="inlineStr">
        <is>
          <t>Entrada</t>
        </is>
      </c>
      <c r="E1546" s="110" t="inlineStr">
        <is>
          <t>Vendas</t>
        </is>
      </c>
      <c r="F1546" s="111" t="n">
        <v>2385</v>
      </c>
      <c r="G1546" s="104" t="inlineStr">
        <is>
          <t>09/2026</t>
        </is>
      </c>
      <c r="H1546" s="104" t="inlineStr">
        <is>
          <t>CODI</t>
        </is>
      </c>
    </row>
    <row r="1547">
      <c r="B1547" s="109" t="n">
        <v>46266</v>
      </c>
      <c r="C1547" s="110" t="inlineStr">
        <is>
          <t>Vendas - 09/2026</t>
        </is>
      </c>
      <c r="D1547" s="110" t="inlineStr">
        <is>
          <t>Entrada</t>
        </is>
      </c>
      <c r="E1547" s="110" t="inlineStr">
        <is>
          <t>Vendas</t>
        </is>
      </c>
      <c r="F1547" s="111" t="n">
        <v>2180</v>
      </c>
      <c r="G1547" s="104" t="inlineStr">
        <is>
          <t>09/2026</t>
        </is>
      </c>
      <c r="H1547" s="104" t="inlineStr">
        <is>
          <t>CODI</t>
        </is>
      </c>
    </row>
    <row r="1548">
      <c r="B1548" s="109" t="n">
        <v>46266</v>
      </c>
      <c r="C1548" s="110" t="inlineStr">
        <is>
          <t>Vendas - 09/2026</t>
        </is>
      </c>
      <c r="D1548" s="110" t="inlineStr">
        <is>
          <t>Entrada</t>
        </is>
      </c>
      <c r="E1548" s="110" t="inlineStr">
        <is>
          <t>Vendas</t>
        </is>
      </c>
      <c r="F1548" s="111" t="n">
        <v>2860</v>
      </c>
      <c r="G1548" s="104" t="inlineStr">
        <is>
          <t>09/2026</t>
        </is>
      </c>
      <c r="H1548" s="104" t="inlineStr">
        <is>
          <t>CODI</t>
        </is>
      </c>
    </row>
    <row r="1549">
      <c r="B1549" s="109" t="n">
        <v>46266</v>
      </c>
      <c r="C1549" s="110" t="inlineStr">
        <is>
          <t>Vendas - 09/2026</t>
        </is>
      </c>
      <c r="D1549" s="110" t="inlineStr">
        <is>
          <t>Entrada</t>
        </is>
      </c>
      <c r="E1549" s="110" t="inlineStr">
        <is>
          <t>Vendas</t>
        </is>
      </c>
      <c r="F1549" s="111" t="n">
        <v>70</v>
      </c>
      <c r="G1549" s="104" t="inlineStr">
        <is>
          <t>09/2026</t>
        </is>
      </c>
      <c r="H1549" s="104" t="inlineStr">
        <is>
          <t>CODI</t>
        </is>
      </c>
    </row>
    <row r="1550">
      <c r="B1550" s="109" t="n">
        <v>46266</v>
      </c>
      <c r="C1550" s="110" t="inlineStr">
        <is>
          <t>Vendas - 09/2026</t>
        </is>
      </c>
      <c r="D1550" s="110" t="inlineStr">
        <is>
          <t>Entrada</t>
        </is>
      </c>
      <c r="E1550" s="110" t="inlineStr">
        <is>
          <t>Vendas</t>
        </is>
      </c>
      <c r="F1550" s="111" t="n">
        <v>700</v>
      </c>
      <c r="G1550" s="104" t="inlineStr">
        <is>
          <t>09/2026</t>
        </is>
      </c>
      <c r="H1550" s="104" t="inlineStr">
        <is>
          <t>CODI</t>
        </is>
      </c>
    </row>
    <row r="1551">
      <c r="B1551" s="109" t="n">
        <v>46266</v>
      </c>
      <c r="C1551" s="110" t="inlineStr">
        <is>
          <t>Vendas - 09/2026</t>
        </is>
      </c>
      <c r="D1551" s="110" t="inlineStr">
        <is>
          <t>Entrada</t>
        </is>
      </c>
      <c r="E1551" s="110" t="inlineStr">
        <is>
          <t>Vendas</t>
        </is>
      </c>
      <c r="F1551" s="111" t="n">
        <v>65</v>
      </c>
      <c r="G1551" s="104" t="inlineStr">
        <is>
          <t>09/2026</t>
        </is>
      </c>
      <c r="H1551" s="104" t="inlineStr">
        <is>
          <t>CODI</t>
        </is>
      </c>
    </row>
    <row r="1552">
      <c r="B1552" s="109" t="n">
        <v>46266</v>
      </c>
      <c r="C1552" s="110" t="inlineStr">
        <is>
          <t>Vendas - 09/2026</t>
        </is>
      </c>
      <c r="D1552" s="110" t="inlineStr">
        <is>
          <t>Entrada</t>
        </is>
      </c>
      <c r="E1552" s="110" t="inlineStr">
        <is>
          <t>Vendas</t>
        </is>
      </c>
      <c r="F1552" s="111" t="n">
        <v>179.1</v>
      </c>
      <c r="G1552" s="104" t="inlineStr">
        <is>
          <t>09/2026</t>
        </is>
      </c>
      <c r="H1552" s="104" t="inlineStr">
        <is>
          <t>CODI</t>
        </is>
      </c>
    </row>
    <row r="1553">
      <c r="B1553" s="109" t="n">
        <v>46266</v>
      </c>
      <c r="C1553" s="110" t="inlineStr">
        <is>
          <t>Vendas - 09/2026</t>
        </is>
      </c>
      <c r="D1553" s="110" t="inlineStr">
        <is>
          <t>Entrada</t>
        </is>
      </c>
      <c r="E1553" s="110" t="inlineStr">
        <is>
          <t>Vendas</t>
        </is>
      </c>
      <c r="F1553" s="111" t="n">
        <v>716.4</v>
      </c>
      <c r="G1553" s="104" t="inlineStr">
        <is>
          <t>09/2026</t>
        </is>
      </c>
      <c r="H1553" s="104" t="inlineStr">
        <is>
          <t>CODI</t>
        </is>
      </c>
    </row>
    <row r="1554">
      <c r="B1554" s="109" t="n">
        <v>46266</v>
      </c>
      <c r="C1554" s="110" t="inlineStr">
        <is>
          <t>Vendas - 09/2026</t>
        </is>
      </c>
      <c r="D1554" s="110" t="inlineStr">
        <is>
          <t>Entrada</t>
        </is>
      </c>
      <c r="E1554" s="110" t="inlineStr">
        <is>
          <t>Vendas</t>
        </is>
      </c>
      <c r="F1554" s="111" t="n">
        <v>205.42</v>
      </c>
      <c r="G1554" s="104" t="inlineStr">
        <is>
          <t>09/2026</t>
        </is>
      </c>
      <c r="H1554" s="104" t="inlineStr">
        <is>
          <t>CODI</t>
        </is>
      </c>
    </row>
    <row r="1555">
      <c r="B1555" s="109" t="n">
        <v>46266</v>
      </c>
      <c r="C1555" s="110" t="inlineStr">
        <is>
          <t>Vendas - 09/2026</t>
        </is>
      </c>
      <c r="D1555" s="110" t="inlineStr">
        <is>
          <t>Entrada</t>
        </is>
      </c>
      <c r="E1555" s="110" t="inlineStr">
        <is>
          <t>Vendas</t>
        </is>
      </c>
      <c r="F1555" s="111" t="n">
        <v>196.82</v>
      </c>
      <c r="G1555" s="104" t="inlineStr">
        <is>
          <t>09/2026</t>
        </is>
      </c>
      <c r="H1555" s="104" t="inlineStr">
        <is>
          <t>CODI</t>
        </is>
      </c>
    </row>
    <row r="1556">
      <c r="B1556" s="109" t="n">
        <v>46266</v>
      </c>
      <c r="C1556" s="110" t="inlineStr">
        <is>
          <t>Vendas - 09/2026</t>
        </is>
      </c>
      <c r="D1556" s="110" t="inlineStr">
        <is>
          <t>Entrada</t>
        </is>
      </c>
      <c r="E1556" s="110" t="inlineStr">
        <is>
          <t>Vendas</t>
        </is>
      </c>
      <c r="F1556" s="111" t="n">
        <v>1123.07</v>
      </c>
      <c r="G1556" s="104" t="inlineStr">
        <is>
          <t>09/2026</t>
        </is>
      </c>
      <c r="H1556" s="104" t="inlineStr">
        <is>
          <t>CODI</t>
        </is>
      </c>
    </row>
    <row r="1557">
      <c r="B1557" s="109" t="n">
        <v>46266</v>
      </c>
      <c r="C1557" s="110" t="inlineStr">
        <is>
          <t>Vendas - 09/2026</t>
        </is>
      </c>
      <c r="D1557" s="110" t="inlineStr">
        <is>
          <t>Entrada</t>
        </is>
      </c>
      <c r="E1557" s="110" t="inlineStr">
        <is>
          <t>Vendas</t>
        </is>
      </c>
      <c r="F1557" s="111" t="n">
        <v>115.48</v>
      </c>
      <c r="G1557" s="104" t="inlineStr">
        <is>
          <t>09/2026</t>
        </is>
      </c>
      <c r="H1557" s="104" t="inlineStr">
        <is>
          <t>CODI</t>
        </is>
      </c>
    </row>
    <row r="1558">
      <c r="B1558" s="109" t="n">
        <v>46266</v>
      </c>
      <c r="C1558" s="110" t="inlineStr">
        <is>
          <t>Vendas - 09/2026</t>
        </is>
      </c>
      <c r="D1558" s="110" t="inlineStr">
        <is>
          <t>Entrada</t>
        </is>
      </c>
      <c r="E1558" s="110" t="inlineStr">
        <is>
          <t>Vendas</t>
        </is>
      </c>
      <c r="F1558" s="111" t="n">
        <v>80</v>
      </c>
      <c r="G1558" s="104" t="inlineStr">
        <is>
          <t>09/2026</t>
        </is>
      </c>
      <c r="H1558" s="104" t="inlineStr">
        <is>
          <t>CODI</t>
        </is>
      </c>
    </row>
    <row r="1559">
      <c r="B1559" s="109" t="n">
        <v>46266</v>
      </c>
      <c r="C1559" s="110" t="inlineStr">
        <is>
          <t>Vendas - 09/2026</t>
        </is>
      </c>
      <c r="D1559" s="110" t="inlineStr">
        <is>
          <t>Entrada</t>
        </is>
      </c>
      <c r="E1559" s="110" t="inlineStr">
        <is>
          <t>Vendas</t>
        </is>
      </c>
      <c r="F1559" s="111" t="n">
        <v>2100</v>
      </c>
      <c r="G1559" s="104" t="inlineStr">
        <is>
          <t>09/2026</t>
        </is>
      </c>
      <c r="H1559" s="104" t="inlineStr">
        <is>
          <t>CODI</t>
        </is>
      </c>
    </row>
    <row r="1560">
      <c r="B1560" s="109" t="n">
        <v>46266</v>
      </c>
      <c r="C1560" s="110" t="inlineStr">
        <is>
          <t>Vendas - 09/2026</t>
        </is>
      </c>
      <c r="D1560" s="110" t="inlineStr">
        <is>
          <t>Entrada</t>
        </is>
      </c>
      <c r="E1560" s="110" t="inlineStr">
        <is>
          <t>Vendas</t>
        </is>
      </c>
      <c r="F1560" s="111" t="n">
        <v>226</v>
      </c>
      <c r="G1560" s="104" t="inlineStr">
        <is>
          <t>09/2026</t>
        </is>
      </c>
      <c r="H1560" s="104" t="inlineStr">
        <is>
          <t>CODI</t>
        </is>
      </c>
    </row>
    <row r="1561">
      <c r="B1561" s="109" t="n">
        <v>46266</v>
      </c>
      <c r="C1561" s="110" t="inlineStr">
        <is>
          <t>Vendas - 09/2026</t>
        </is>
      </c>
      <c r="D1561" s="110" t="inlineStr">
        <is>
          <t>Entrada</t>
        </is>
      </c>
      <c r="E1561" s="110" t="inlineStr">
        <is>
          <t>Vendas</t>
        </is>
      </c>
      <c r="F1561" s="111" t="n">
        <v>205.1</v>
      </c>
      <c r="G1561" s="104" t="inlineStr">
        <is>
          <t>09/2026</t>
        </is>
      </c>
      <c r="H1561" s="104" t="inlineStr">
        <is>
          <t>CODI</t>
        </is>
      </c>
    </row>
    <row r="1562">
      <c r="B1562" s="109" t="n">
        <v>46266</v>
      </c>
      <c r="C1562" s="110" t="inlineStr">
        <is>
          <t>Vendas - 09/2026</t>
        </is>
      </c>
      <c r="D1562" s="110" t="inlineStr">
        <is>
          <t>Entrada</t>
        </is>
      </c>
      <c r="E1562" s="110" t="inlineStr">
        <is>
          <t>Vendas</t>
        </is>
      </c>
      <c r="F1562" s="111" t="n">
        <v>205.1</v>
      </c>
      <c r="G1562" s="104" t="inlineStr">
        <is>
          <t>09/2026</t>
        </is>
      </c>
      <c r="H1562" s="104" t="inlineStr">
        <is>
          <t>CODI</t>
        </is>
      </c>
    </row>
    <row r="1563">
      <c r="B1563" s="109" t="n">
        <v>46266</v>
      </c>
      <c r="C1563" s="110" t="inlineStr">
        <is>
          <t>Vendas - 09/2026</t>
        </is>
      </c>
      <c r="D1563" s="110" t="inlineStr">
        <is>
          <t>Entrada</t>
        </is>
      </c>
      <c r="E1563" s="110" t="inlineStr">
        <is>
          <t>Vendas</t>
        </is>
      </c>
      <c r="F1563" s="111" t="n">
        <v>169.42</v>
      </c>
      <c r="G1563" s="104" t="inlineStr">
        <is>
          <t>09/2026</t>
        </is>
      </c>
      <c r="H1563" s="104" t="inlineStr">
        <is>
          <t>CODI</t>
        </is>
      </c>
    </row>
    <row r="1564">
      <c r="B1564" s="109" t="n">
        <v>46266</v>
      </c>
      <c r="C1564" s="110" t="inlineStr">
        <is>
          <t>Vendas - 09/2026</t>
        </is>
      </c>
      <c r="D1564" s="110" t="inlineStr">
        <is>
          <t>Entrada</t>
        </is>
      </c>
      <c r="E1564" s="110" t="inlineStr">
        <is>
          <t>Vendas</t>
        </is>
      </c>
      <c r="F1564" s="111" t="n">
        <v>2220</v>
      </c>
      <c r="G1564" s="104" t="inlineStr">
        <is>
          <t>09/2026</t>
        </is>
      </c>
      <c r="H1564" s="104" t="inlineStr">
        <is>
          <t>CODI</t>
        </is>
      </c>
    </row>
    <row r="1565">
      <c r="B1565" s="109" t="n">
        <v>46266</v>
      </c>
      <c r="C1565" s="110" t="inlineStr">
        <is>
          <t>Vendas - 09/2026</t>
        </is>
      </c>
      <c r="D1565" s="110" t="inlineStr">
        <is>
          <t>Entrada</t>
        </is>
      </c>
      <c r="E1565" s="110" t="inlineStr">
        <is>
          <t>Vendas</t>
        </is>
      </c>
      <c r="F1565" s="111" t="n">
        <v>815</v>
      </c>
      <c r="G1565" s="104" t="inlineStr">
        <is>
          <t>09/2026</t>
        </is>
      </c>
      <c r="H1565" s="104" t="inlineStr">
        <is>
          <t>CODI</t>
        </is>
      </c>
    </row>
    <row r="1566">
      <c r="B1566" s="109" t="n">
        <v>46266</v>
      </c>
      <c r="C1566" s="110" t="inlineStr">
        <is>
          <t>Vendas - 09/2026</t>
        </is>
      </c>
      <c r="D1566" s="110" t="inlineStr">
        <is>
          <t>Entrada</t>
        </is>
      </c>
      <c r="E1566" s="110" t="inlineStr">
        <is>
          <t>Vendas</t>
        </is>
      </c>
      <c r="F1566" s="111" t="n">
        <v>2062</v>
      </c>
      <c r="G1566" s="104" t="inlineStr">
        <is>
          <t>09/2026</t>
        </is>
      </c>
      <c r="H1566" s="104" t="inlineStr">
        <is>
          <t>CODI</t>
        </is>
      </c>
    </row>
    <row r="1567">
      <c r="B1567" s="109" t="n">
        <v>46266</v>
      </c>
      <c r="C1567" s="110" t="inlineStr">
        <is>
          <t>Vendas - 09/2026</t>
        </is>
      </c>
      <c r="D1567" s="110" t="inlineStr">
        <is>
          <t>Entrada</t>
        </is>
      </c>
      <c r="E1567" s="110" t="inlineStr">
        <is>
          <t>Vendas</t>
        </is>
      </c>
      <c r="F1567" s="111" t="n">
        <v>1950</v>
      </c>
      <c r="G1567" s="104" t="inlineStr">
        <is>
          <t>09/2026</t>
        </is>
      </c>
      <c r="H1567" s="104" t="inlineStr">
        <is>
          <t>CODI</t>
        </is>
      </c>
    </row>
    <row r="1568">
      <c r="B1568" s="109" t="n">
        <v>46266</v>
      </c>
      <c r="C1568" s="110" t="inlineStr">
        <is>
          <t>Vendas - 09/2026</t>
        </is>
      </c>
      <c r="D1568" s="110" t="inlineStr">
        <is>
          <t>Entrada</t>
        </is>
      </c>
      <c r="E1568" s="110" t="inlineStr">
        <is>
          <t>Vendas</t>
        </is>
      </c>
      <c r="F1568" s="111" t="n">
        <v>2828</v>
      </c>
      <c r="G1568" s="104" t="inlineStr">
        <is>
          <t>09/2026</t>
        </is>
      </c>
      <c r="H1568" s="104" t="inlineStr">
        <is>
          <t>CODI</t>
        </is>
      </c>
    </row>
    <row r="1569">
      <c r="B1569" s="109" t="n">
        <v>46266</v>
      </c>
      <c r="C1569" s="110" t="inlineStr">
        <is>
          <t>Vendas - 09/2026</t>
        </is>
      </c>
      <c r="D1569" s="110" t="inlineStr">
        <is>
          <t>Entrada</t>
        </is>
      </c>
      <c r="E1569" s="110" t="inlineStr">
        <is>
          <t>Vendas</t>
        </is>
      </c>
      <c r="F1569" s="111" t="n">
        <v>1325</v>
      </c>
      <c r="G1569" s="104" t="inlineStr">
        <is>
          <t>09/2026</t>
        </is>
      </c>
      <c r="H1569" s="104" t="inlineStr">
        <is>
          <t>CODI</t>
        </is>
      </c>
    </row>
    <row r="1570">
      <c r="B1570" s="109" t="n">
        <v>46266</v>
      </c>
      <c r="C1570" s="110" t="inlineStr">
        <is>
          <t>Vendas - 09/2026</t>
        </is>
      </c>
      <c r="D1570" s="110" t="inlineStr">
        <is>
          <t>Entrada</t>
        </is>
      </c>
      <c r="E1570" s="110" t="inlineStr">
        <is>
          <t>Vendas</t>
        </is>
      </c>
      <c r="F1570" s="111" t="n">
        <v>2440</v>
      </c>
      <c r="G1570" s="104" t="inlineStr">
        <is>
          <t>09/2026</t>
        </is>
      </c>
      <c r="H1570" s="104" t="inlineStr">
        <is>
          <t>CODI</t>
        </is>
      </c>
    </row>
    <row r="1571">
      <c r="B1571" s="109" t="n">
        <v>46266</v>
      </c>
      <c r="C1571" s="110" t="inlineStr">
        <is>
          <t>Vendas - 09/2026</t>
        </is>
      </c>
      <c r="D1571" s="110" t="inlineStr">
        <is>
          <t>Entrada</t>
        </is>
      </c>
      <c r="E1571" s="110" t="inlineStr">
        <is>
          <t>Vendas</t>
        </is>
      </c>
      <c r="F1571" s="111" t="n">
        <v>1819.25</v>
      </c>
      <c r="G1571" s="104" t="inlineStr">
        <is>
          <t>09/2026</t>
        </is>
      </c>
      <c r="H1571" s="104" t="inlineStr">
        <is>
          <t>CODI</t>
        </is>
      </c>
    </row>
    <row r="1572">
      <c r="B1572" s="109" t="n">
        <v>46266</v>
      </c>
      <c r="C1572" s="110" t="inlineStr">
        <is>
          <t>Vendas - 09/2026</t>
        </is>
      </c>
      <c r="D1572" s="110" t="inlineStr">
        <is>
          <t>Entrada</t>
        </is>
      </c>
      <c r="E1572" s="110" t="inlineStr">
        <is>
          <t>Vendas</t>
        </is>
      </c>
      <c r="F1572" s="111" t="n">
        <v>3352.5</v>
      </c>
      <c r="G1572" s="104" t="inlineStr">
        <is>
          <t>09/2026</t>
        </is>
      </c>
      <c r="H1572" s="104" t="inlineStr">
        <is>
          <t>CODI</t>
        </is>
      </c>
    </row>
    <row r="1573">
      <c r="B1573" s="109" t="n">
        <v>46266</v>
      </c>
      <c r="C1573" s="110" t="inlineStr">
        <is>
          <t>Vendas - 09/2026</t>
        </is>
      </c>
      <c r="D1573" s="110" t="inlineStr">
        <is>
          <t>Entrada</t>
        </is>
      </c>
      <c r="E1573" s="110" t="inlineStr">
        <is>
          <t>Vendas</t>
        </is>
      </c>
      <c r="F1573" s="111" t="n">
        <v>399.24</v>
      </c>
      <c r="G1573" s="104" t="inlineStr">
        <is>
          <t>09/2026</t>
        </is>
      </c>
      <c r="H1573" s="104" t="inlineStr">
        <is>
          <t>CODI</t>
        </is>
      </c>
    </row>
    <row r="1574">
      <c r="B1574" s="109" t="n">
        <v>46266</v>
      </c>
      <c r="C1574" s="110" t="inlineStr">
        <is>
          <t>Vendas - 09/2026</t>
        </is>
      </c>
      <c r="D1574" s="110" t="inlineStr">
        <is>
          <t>Entrada</t>
        </is>
      </c>
      <c r="E1574" s="110" t="inlineStr">
        <is>
          <t>Vendas</t>
        </is>
      </c>
      <c r="F1574" s="111" t="n">
        <v>198.82</v>
      </c>
      <c r="G1574" s="104" t="inlineStr">
        <is>
          <t>09/2026</t>
        </is>
      </c>
      <c r="H1574" s="104" t="inlineStr">
        <is>
          <t>CODI</t>
        </is>
      </c>
    </row>
    <row r="1575">
      <c r="B1575" s="109" t="n">
        <v>46266</v>
      </c>
      <c r="C1575" s="110" t="inlineStr">
        <is>
          <t>Vendas - 09/2026</t>
        </is>
      </c>
      <c r="D1575" s="110" t="inlineStr">
        <is>
          <t>Entrada</t>
        </is>
      </c>
      <c r="E1575" s="110" t="inlineStr">
        <is>
          <t>Vendas</t>
        </is>
      </c>
      <c r="F1575" s="111" t="n">
        <v>515.8099999999999</v>
      </c>
      <c r="G1575" s="104" t="inlineStr">
        <is>
          <t>09/2026</t>
        </is>
      </c>
      <c r="H1575" s="104" t="inlineStr">
        <is>
          <t>CODI</t>
        </is>
      </c>
    </row>
    <row r="1576">
      <c r="B1576" s="109" t="n">
        <v>46266</v>
      </c>
      <c r="C1576" s="110" t="inlineStr">
        <is>
          <t>Vendas - 09/2026</t>
        </is>
      </c>
      <c r="D1576" s="110" t="inlineStr">
        <is>
          <t>Entrada</t>
        </is>
      </c>
      <c r="E1576" s="110" t="inlineStr">
        <is>
          <t>Vendas</t>
        </is>
      </c>
      <c r="F1576" s="111" t="n">
        <v>183.08</v>
      </c>
      <c r="G1576" s="104" t="inlineStr">
        <is>
          <t>09/2026</t>
        </is>
      </c>
      <c r="H1576" s="104" t="inlineStr">
        <is>
          <t>CODI</t>
        </is>
      </c>
    </row>
    <row r="1577">
      <c r="B1577" s="109" t="n">
        <v>46266</v>
      </c>
      <c r="C1577" s="110" t="inlineStr">
        <is>
          <t>Vendas - 09/2026</t>
        </is>
      </c>
      <c r="D1577" s="110" t="inlineStr">
        <is>
          <t>Entrada</t>
        </is>
      </c>
      <c r="E1577" s="110" t="inlineStr">
        <is>
          <t>Vendas</t>
        </is>
      </c>
      <c r="F1577" s="111" t="n">
        <v>187.65</v>
      </c>
      <c r="G1577" s="104" t="inlineStr">
        <is>
          <t>09/2026</t>
        </is>
      </c>
      <c r="H1577" s="104" t="inlineStr">
        <is>
          <t>CODI</t>
        </is>
      </c>
    </row>
    <row r="1578">
      <c r="B1578" s="109" t="n">
        <v>46266</v>
      </c>
      <c r="C1578" s="110" t="inlineStr">
        <is>
          <t>Vendas - 09/2026</t>
        </is>
      </c>
      <c r="D1578" s="110" t="inlineStr">
        <is>
          <t>Entrada</t>
        </is>
      </c>
      <c r="E1578" s="110" t="inlineStr">
        <is>
          <t>Vendas</t>
        </is>
      </c>
      <c r="F1578" s="111" t="n">
        <v>1350</v>
      </c>
      <c r="G1578" s="104" t="inlineStr">
        <is>
          <t>09/2026</t>
        </is>
      </c>
      <c r="H1578" s="104" t="inlineStr">
        <is>
          <t>CODI</t>
        </is>
      </c>
    </row>
    <row r="1579">
      <c r="B1579" s="109" t="n">
        <v>46266</v>
      </c>
      <c r="C1579" s="110" t="inlineStr">
        <is>
          <t>Vendas - 09/2026</t>
        </is>
      </c>
      <c r="D1579" s="110" t="inlineStr">
        <is>
          <t>Entrada</t>
        </is>
      </c>
      <c r="E1579" s="110" t="inlineStr">
        <is>
          <t>Vendas</t>
        </is>
      </c>
      <c r="F1579" s="111" t="n">
        <v>6136.67</v>
      </c>
      <c r="G1579" s="104" t="inlineStr">
        <is>
          <t>09/2026</t>
        </is>
      </c>
      <c r="H1579" s="104" t="inlineStr">
        <is>
          <t>CODI</t>
        </is>
      </c>
    </row>
    <row r="1580">
      <c r="B1580" s="109" t="n">
        <v>46266</v>
      </c>
      <c r="C1580" s="110" t="inlineStr">
        <is>
          <t>Vendas - 09/2026</t>
        </is>
      </c>
      <c r="D1580" s="110" t="inlineStr">
        <is>
          <t>Entrada</t>
        </is>
      </c>
      <c r="E1580" s="110" t="inlineStr">
        <is>
          <t>Vendas</t>
        </is>
      </c>
      <c r="F1580" s="111" t="n">
        <v>940</v>
      </c>
      <c r="G1580" s="104" t="inlineStr">
        <is>
          <t>09/2026</t>
        </is>
      </c>
      <c r="H1580" s="104" t="inlineStr">
        <is>
          <t>CODI</t>
        </is>
      </c>
    </row>
    <row r="1581">
      <c r="B1581" s="109" t="n">
        <v>46266</v>
      </c>
      <c r="C1581" s="110" t="inlineStr">
        <is>
          <t>Vendas - 09/2026</t>
        </is>
      </c>
      <c r="D1581" s="110" t="inlineStr">
        <is>
          <t>Entrada</t>
        </is>
      </c>
      <c r="E1581" s="110" t="inlineStr">
        <is>
          <t>Vendas</t>
        </is>
      </c>
      <c r="F1581" s="111" t="n">
        <v>675.2</v>
      </c>
      <c r="G1581" s="104" t="inlineStr">
        <is>
          <t>09/2026</t>
        </is>
      </c>
      <c r="H1581" s="104" t="inlineStr">
        <is>
          <t>CODI</t>
        </is>
      </c>
    </row>
    <row r="1582">
      <c r="B1582" s="109" t="n">
        <v>46266</v>
      </c>
      <c r="C1582" s="110" t="inlineStr">
        <is>
          <t>Vendas - 09/2026</t>
        </is>
      </c>
      <c r="D1582" s="110" t="inlineStr">
        <is>
          <t>Entrada</t>
        </is>
      </c>
      <c r="E1582" s="110" t="inlineStr">
        <is>
          <t>Vendas</t>
        </is>
      </c>
      <c r="F1582" s="111" t="n">
        <v>1011.6</v>
      </c>
      <c r="G1582" s="104" t="inlineStr">
        <is>
          <t>09/2026</t>
        </is>
      </c>
      <c r="H1582" s="104" t="inlineStr">
        <is>
          <t>CODI</t>
        </is>
      </c>
    </row>
    <row r="1583">
      <c r="B1583" s="109" t="n">
        <v>46266</v>
      </c>
      <c r="C1583" s="110" t="inlineStr">
        <is>
          <t>Vendas - 09/2026</t>
        </is>
      </c>
      <c r="D1583" s="110" t="inlineStr">
        <is>
          <t>Entrada</t>
        </is>
      </c>
      <c r="E1583" s="110" t="inlineStr">
        <is>
          <t>Vendas</t>
        </is>
      </c>
      <c r="F1583" s="111" t="n">
        <v>367.2</v>
      </c>
      <c r="G1583" s="104" t="inlineStr">
        <is>
          <t>09/2026</t>
        </is>
      </c>
      <c r="H1583" s="104" t="inlineStr">
        <is>
          <t>CODI</t>
        </is>
      </c>
    </row>
    <row r="1584">
      <c r="B1584" s="109" t="n">
        <v>46266</v>
      </c>
      <c r="C1584" s="110" t="inlineStr">
        <is>
          <t>Vendas - 09/2026</t>
        </is>
      </c>
      <c r="D1584" s="110" t="inlineStr">
        <is>
          <t>Entrada</t>
        </is>
      </c>
      <c r="E1584" s="110" t="inlineStr">
        <is>
          <t>Vendas</t>
        </is>
      </c>
      <c r="F1584" s="111" t="n">
        <v>1232.88</v>
      </c>
      <c r="G1584" s="104" t="inlineStr">
        <is>
          <t>09/2026</t>
        </is>
      </c>
      <c r="H1584" s="104" t="inlineStr">
        <is>
          <t>CODI</t>
        </is>
      </c>
    </row>
    <row r="1585">
      <c r="B1585" s="109" t="n">
        <v>46266</v>
      </c>
      <c r="C1585" s="110" t="inlineStr">
        <is>
          <t>Vendas - 09/2026</t>
        </is>
      </c>
      <c r="D1585" s="110" t="inlineStr">
        <is>
          <t>Entrada</t>
        </is>
      </c>
      <c r="E1585" s="110" t="inlineStr">
        <is>
          <t>Vendas</t>
        </is>
      </c>
      <c r="F1585" s="111" t="n">
        <v>835.83</v>
      </c>
      <c r="G1585" s="104" t="inlineStr">
        <is>
          <t>09/2026</t>
        </is>
      </c>
      <c r="H1585" s="104" t="inlineStr">
        <is>
          <t>CODI</t>
        </is>
      </c>
    </row>
    <row r="1586">
      <c r="B1586" s="109" t="n">
        <v>46266</v>
      </c>
      <c r="C1586" s="110" t="inlineStr">
        <is>
          <t>Vendas - 09/2026</t>
        </is>
      </c>
      <c r="D1586" s="110" t="inlineStr">
        <is>
          <t>Entrada</t>
        </is>
      </c>
      <c r="E1586" s="110" t="inlineStr">
        <is>
          <t>Vendas</t>
        </is>
      </c>
      <c r="F1586" s="111" t="n">
        <v>2562.98</v>
      </c>
      <c r="G1586" s="104" t="inlineStr">
        <is>
          <t>09/2026</t>
        </is>
      </c>
      <c r="H1586" s="104" t="inlineStr">
        <is>
          <t>CODI</t>
        </is>
      </c>
    </row>
    <row r="1587">
      <c r="B1587" s="109" t="n">
        <v>46266</v>
      </c>
      <c r="C1587" s="110" t="inlineStr">
        <is>
          <t>Vendas - 09/2026</t>
        </is>
      </c>
      <c r="D1587" s="110" t="inlineStr">
        <is>
          <t>Entrada</t>
        </is>
      </c>
      <c r="E1587" s="110" t="inlineStr">
        <is>
          <t>Vendas</t>
        </is>
      </c>
      <c r="F1587" s="111" t="n">
        <v>2687.98</v>
      </c>
      <c r="G1587" s="104" t="inlineStr">
        <is>
          <t>09/2026</t>
        </is>
      </c>
      <c r="H1587" s="104" t="inlineStr">
        <is>
          <t>CODI</t>
        </is>
      </c>
    </row>
    <row r="1588">
      <c r="B1588" s="109" t="n">
        <v>46266</v>
      </c>
      <c r="C1588" s="110" t="inlineStr">
        <is>
          <t>Vendas - 09/2026</t>
        </is>
      </c>
      <c r="D1588" s="110" t="inlineStr">
        <is>
          <t>Entrada</t>
        </is>
      </c>
      <c r="E1588" s="110" t="inlineStr">
        <is>
          <t>Vendas</t>
        </is>
      </c>
      <c r="F1588" s="111" t="n">
        <v>1315</v>
      </c>
      <c r="G1588" s="104" t="inlineStr">
        <is>
          <t>09/2026</t>
        </is>
      </c>
      <c r="H1588" s="104" t="inlineStr">
        <is>
          <t>CODI</t>
        </is>
      </c>
    </row>
    <row r="1589">
      <c r="B1589" s="109" t="n">
        <v>46266</v>
      </c>
      <c r="C1589" s="110" t="inlineStr">
        <is>
          <t>Vendas - 09/2026</t>
        </is>
      </c>
      <c r="D1589" s="110" t="inlineStr">
        <is>
          <t>Entrada</t>
        </is>
      </c>
      <c r="E1589" s="110" t="inlineStr">
        <is>
          <t>Vendas</t>
        </is>
      </c>
      <c r="F1589" s="111" t="n">
        <v>1785</v>
      </c>
      <c r="G1589" s="104" t="inlineStr">
        <is>
          <t>09/2026</t>
        </is>
      </c>
      <c r="H1589" s="104" t="inlineStr">
        <is>
          <t>CODI</t>
        </is>
      </c>
    </row>
    <row r="1590">
      <c r="B1590" s="109" t="n">
        <v>46266</v>
      </c>
      <c r="C1590" s="110" t="inlineStr">
        <is>
          <t>Vendas - 09/2026</t>
        </is>
      </c>
      <c r="D1590" s="110" t="inlineStr">
        <is>
          <t>Entrada</t>
        </is>
      </c>
      <c r="E1590" s="110" t="inlineStr">
        <is>
          <t>Vendas</t>
        </is>
      </c>
      <c r="F1590" s="111" t="n">
        <v>469.09</v>
      </c>
      <c r="G1590" s="104" t="inlineStr">
        <is>
          <t>09/2026</t>
        </is>
      </c>
      <c r="H1590" s="104" t="inlineStr">
        <is>
          <t>CODI</t>
        </is>
      </c>
    </row>
    <row r="1591">
      <c r="B1591" s="109" t="n">
        <v>46266</v>
      </c>
      <c r="C1591" s="110" t="inlineStr">
        <is>
          <t>Vendas - 09/2026</t>
        </is>
      </c>
      <c r="D1591" s="110" t="inlineStr">
        <is>
          <t>Entrada</t>
        </is>
      </c>
      <c r="E1591" s="110" t="inlineStr">
        <is>
          <t>Vendas</t>
        </is>
      </c>
      <c r="F1591" s="111" t="n">
        <v>522.5</v>
      </c>
      <c r="G1591" s="104" t="inlineStr">
        <is>
          <t>09/2026</t>
        </is>
      </c>
      <c r="H1591" s="104" t="inlineStr">
        <is>
          <t>CODI</t>
        </is>
      </c>
    </row>
    <row r="1592">
      <c r="B1592" s="109" t="n">
        <v>46266</v>
      </c>
      <c r="C1592" s="110" t="inlineStr">
        <is>
          <t>Vendas - 09/2026</t>
        </is>
      </c>
      <c r="D1592" s="110" t="inlineStr">
        <is>
          <t>Entrada</t>
        </is>
      </c>
      <c r="E1592" s="110" t="inlineStr">
        <is>
          <t>Vendas</t>
        </is>
      </c>
      <c r="F1592" s="111" t="n">
        <v>110</v>
      </c>
      <c r="G1592" s="104" t="inlineStr">
        <is>
          <t>09/2026</t>
        </is>
      </c>
      <c r="H1592" s="104" t="inlineStr">
        <is>
          <t>CODI</t>
        </is>
      </c>
    </row>
    <row r="1593">
      <c r="B1593" s="109" t="n">
        <v>46266</v>
      </c>
      <c r="C1593" s="110" t="inlineStr">
        <is>
          <t>Vendas - 09/2026</t>
        </is>
      </c>
      <c r="D1593" s="110" t="inlineStr">
        <is>
          <t>Entrada</t>
        </is>
      </c>
      <c r="E1593" s="110" t="inlineStr">
        <is>
          <t>Vendas</t>
        </is>
      </c>
      <c r="F1593" s="111" t="n">
        <v>4003</v>
      </c>
      <c r="G1593" s="104" t="inlineStr">
        <is>
          <t>09/2026</t>
        </is>
      </c>
      <c r="H1593" s="104" t="inlineStr">
        <is>
          <t>CODI</t>
        </is>
      </c>
    </row>
    <row r="1594">
      <c r="B1594" s="109" t="n">
        <v>46266</v>
      </c>
      <c r="C1594" s="110" t="inlineStr">
        <is>
          <t>Vendas - 09/2026</t>
        </is>
      </c>
      <c r="D1594" s="110" t="inlineStr">
        <is>
          <t>Entrada</t>
        </is>
      </c>
      <c r="E1594" s="110" t="inlineStr">
        <is>
          <t>Vendas</t>
        </is>
      </c>
      <c r="F1594" s="111" t="n">
        <v>1585.26</v>
      </c>
      <c r="G1594" s="104" t="inlineStr">
        <is>
          <t>09/2026</t>
        </is>
      </c>
      <c r="H1594" s="104" t="inlineStr">
        <is>
          <t>CODI</t>
        </is>
      </c>
    </row>
    <row r="1595">
      <c r="B1595" s="109" t="n">
        <v>46266</v>
      </c>
      <c r="C1595" s="110" t="inlineStr">
        <is>
          <t>Vendas - 09/2026</t>
        </is>
      </c>
      <c r="D1595" s="110" t="inlineStr">
        <is>
          <t>Entrada</t>
        </is>
      </c>
      <c r="E1595" s="110" t="inlineStr">
        <is>
          <t>Vendas</t>
        </is>
      </c>
      <c r="F1595" s="111" t="n">
        <v>2210</v>
      </c>
      <c r="G1595" s="104" t="inlineStr">
        <is>
          <t>09/2026</t>
        </is>
      </c>
      <c r="H1595" s="104" t="inlineStr">
        <is>
          <t>CODI</t>
        </is>
      </c>
    </row>
    <row r="1596">
      <c r="B1596" s="109" t="n">
        <v>46266</v>
      </c>
      <c r="C1596" s="110" t="inlineStr">
        <is>
          <t>Vendas - 09/2026</t>
        </is>
      </c>
      <c r="D1596" s="110" t="inlineStr">
        <is>
          <t>Entrada</t>
        </is>
      </c>
      <c r="E1596" s="110" t="inlineStr">
        <is>
          <t>Vendas</t>
        </is>
      </c>
      <c r="F1596" s="111" t="n">
        <v>2655</v>
      </c>
      <c r="G1596" s="104" t="inlineStr">
        <is>
          <t>09/2026</t>
        </is>
      </c>
      <c r="H1596" s="104" t="inlineStr">
        <is>
          <t>CODI</t>
        </is>
      </c>
    </row>
    <row r="1597">
      <c r="B1597" s="109" t="n">
        <v>46266</v>
      </c>
      <c r="C1597" s="110" t="inlineStr">
        <is>
          <t>Vendas - 09/2026</t>
        </is>
      </c>
      <c r="D1597" s="110" t="inlineStr">
        <is>
          <t>Entrada</t>
        </is>
      </c>
      <c r="E1597" s="110" t="inlineStr">
        <is>
          <t>Vendas</t>
        </is>
      </c>
      <c r="F1597" s="111" t="n">
        <v>1420</v>
      </c>
      <c r="G1597" s="104" t="inlineStr">
        <is>
          <t>09/2026</t>
        </is>
      </c>
      <c r="H1597" s="104" t="inlineStr">
        <is>
          <t>CODI</t>
        </is>
      </c>
    </row>
    <row r="1598">
      <c r="B1598" s="109" t="n">
        <v>46266</v>
      </c>
      <c r="C1598" s="110" t="inlineStr">
        <is>
          <t>Vendas - 09/2026</t>
        </is>
      </c>
      <c r="D1598" s="110" t="inlineStr">
        <is>
          <t>Entrada</t>
        </is>
      </c>
      <c r="E1598" s="110" t="inlineStr">
        <is>
          <t>Vendas</t>
        </is>
      </c>
      <c r="F1598" s="111" t="n">
        <v>1545</v>
      </c>
      <c r="G1598" s="104" t="inlineStr">
        <is>
          <t>09/2026</t>
        </is>
      </c>
      <c r="H1598" s="104" t="inlineStr">
        <is>
          <t>CODI</t>
        </is>
      </c>
    </row>
    <row r="1599">
      <c r="B1599" s="109" t="n">
        <v>46266</v>
      </c>
      <c r="C1599" s="110" t="inlineStr">
        <is>
          <t>Vendas - 09/2026</t>
        </is>
      </c>
      <c r="D1599" s="110" t="inlineStr">
        <is>
          <t>Entrada</t>
        </is>
      </c>
      <c r="E1599" s="110" t="inlineStr">
        <is>
          <t>Vendas</t>
        </is>
      </c>
      <c r="F1599" s="111" t="n">
        <v>1855</v>
      </c>
      <c r="G1599" s="104" t="inlineStr">
        <is>
          <t>09/2026</t>
        </is>
      </c>
      <c r="H1599" s="104" t="inlineStr">
        <is>
          <t>CODI</t>
        </is>
      </c>
    </row>
    <row r="1600">
      <c r="B1600" s="109" t="n">
        <v>46266</v>
      </c>
      <c r="C1600" s="110" t="inlineStr">
        <is>
          <t>Vendas - 09/2026</t>
        </is>
      </c>
      <c r="D1600" s="110" t="inlineStr">
        <is>
          <t>Entrada</t>
        </is>
      </c>
      <c r="E1600" s="110" t="inlineStr">
        <is>
          <t>Vendas</t>
        </is>
      </c>
      <c r="F1600" s="111" t="n">
        <v>140</v>
      </c>
      <c r="G1600" s="104" t="inlineStr">
        <is>
          <t>09/2026</t>
        </is>
      </c>
      <c r="H1600" s="104" t="inlineStr">
        <is>
          <t>CODI</t>
        </is>
      </c>
    </row>
    <row r="1601">
      <c r="B1601" s="109" t="n">
        <v>46266</v>
      </c>
      <c r="C1601" s="110" t="inlineStr">
        <is>
          <t>Vendas - 09/2026</t>
        </is>
      </c>
      <c r="D1601" s="110" t="inlineStr">
        <is>
          <t>Entrada</t>
        </is>
      </c>
      <c r="E1601" s="110" t="inlineStr">
        <is>
          <t>Vendas</t>
        </is>
      </c>
      <c r="F1601" s="111" t="n">
        <v>770</v>
      </c>
      <c r="G1601" s="104" t="inlineStr">
        <is>
          <t>09/2026</t>
        </is>
      </c>
      <c r="H1601" s="104" t="inlineStr">
        <is>
          <t>CODI</t>
        </is>
      </c>
    </row>
    <row r="1602">
      <c r="B1602" s="109" t="n">
        <v>46266</v>
      </c>
      <c r="C1602" s="110" t="inlineStr">
        <is>
          <t>Vendas - 09/2026</t>
        </is>
      </c>
      <c r="D1602" s="110" t="inlineStr">
        <is>
          <t>Entrada</t>
        </is>
      </c>
      <c r="E1602" s="110" t="inlineStr">
        <is>
          <t>Vendas</t>
        </is>
      </c>
      <c r="F1602" s="111" t="n">
        <v>3075</v>
      </c>
      <c r="G1602" s="104" t="inlineStr">
        <is>
          <t>09/2026</t>
        </is>
      </c>
      <c r="H1602" s="104" t="inlineStr">
        <is>
          <t>CODI</t>
        </is>
      </c>
    </row>
    <row r="1603">
      <c r="B1603" s="109" t="n">
        <v>46266</v>
      </c>
      <c r="C1603" s="110" t="inlineStr">
        <is>
          <t>Vendas - 09/2026</t>
        </is>
      </c>
      <c r="D1603" s="110" t="inlineStr">
        <is>
          <t>Entrada</t>
        </is>
      </c>
      <c r="E1603" s="110" t="inlineStr">
        <is>
          <t>Vendas</t>
        </is>
      </c>
      <c r="F1603" s="111" t="n">
        <v>2165</v>
      </c>
      <c r="G1603" s="104" t="inlineStr">
        <is>
          <t>09/2026</t>
        </is>
      </c>
      <c r="H1603" s="104" t="inlineStr">
        <is>
          <t>CODI</t>
        </is>
      </c>
    </row>
    <row r="1604">
      <c r="B1604" s="109" t="n">
        <v>46266</v>
      </c>
      <c r="C1604" s="110" t="inlineStr">
        <is>
          <t>Vendas - 09/2026</t>
        </is>
      </c>
      <c r="D1604" s="110" t="inlineStr">
        <is>
          <t>Entrada</t>
        </is>
      </c>
      <c r="E1604" s="110" t="inlineStr">
        <is>
          <t>Vendas</t>
        </is>
      </c>
      <c r="F1604" s="111" t="n">
        <v>160</v>
      </c>
      <c r="G1604" s="104" t="inlineStr">
        <is>
          <t>09/2026</t>
        </is>
      </c>
      <c r="H1604" s="104" t="inlineStr">
        <is>
          <t>CODI</t>
        </is>
      </c>
    </row>
    <row r="1605">
      <c r="B1605" s="109" t="n">
        <v>46266</v>
      </c>
      <c r="C1605" s="110" t="inlineStr">
        <is>
          <t>Vendas - 09/2026</t>
        </is>
      </c>
      <c r="D1605" s="110" t="inlineStr">
        <is>
          <t>Entrada</t>
        </is>
      </c>
      <c r="E1605" s="110" t="inlineStr">
        <is>
          <t>Vendas</t>
        </is>
      </c>
      <c r="F1605" s="111" t="n">
        <v>1276</v>
      </c>
      <c r="G1605" s="104" t="inlineStr">
        <is>
          <t>09/2026</t>
        </is>
      </c>
      <c r="H1605" s="104" t="inlineStr">
        <is>
          <t>CODI</t>
        </is>
      </c>
    </row>
    <row r="1606">
      <c r="B1606" s="109" t="n">
        <v>46266</v>
      </c>
      <c r="C1606" s="110" t="inlineStr">
        <is>
          <t>Vendas - 09/2026</t>
        </is>
      </c>
      <c r="D1606" s="110" t="inlineStr">
        <is>
          <t>Entrada</t>
        </is>
      </c>
      <c r="E1606" s="110" t="inlineStr">
        <is>
          <t>Vendas</t>
        </is>
      </c>
      <c r="F1606" s="111" t="n">
        <v>1852</v>
      </c>
      <c r="G1606" s="104" t="inlineStr">
        <is>
          <t>09/2026</t>
        </is>
      </c>
      <c r="H1606" s="104" t="inlineStr">
        <is>
          <t>CODI</t>
        </is>
      </c>
    </row>
    <row r="1607">
      <c r="B1607" s="109" t="n">
        <v>46266</v>
      </c>
      <c r="C1607" s="110" t="inlineStr">
        <is>
          <t>Vendas - 09/2026</t>
        </is>
      </c>
      <c r="D1607" s="110" t="inlineStr">
        <is>
          <t>Entrada</t>
        </is>
      </c>
      <c r="E1607" s="110" t="inlineStr">
        <is>
          <t>Vendas</t>
        </is>
      </c>
      <c r="F1607" s="111" t="n">
        <v>6800</v>
      </c>
      <c r="G1607" s="104" t="inlineStr">
        <is>
          <t>09/2026</t>
        </is>
      </c>
      <c r="H1607" s="104" t="inlineStr">
        <is>
          <t>CODI</t>
        </is>
      </c>
    </row>
    <row r="1608">
      <c r="B1608" s="109" t="n">
        <v>46266</v>
      </c>
      <c r="C1608" s="110" t="inlineStr">
        <is>
          <t>Vendas - 09/2026</t>
        </is>
      </c>
      <c r="D1608" s="110" t="inlineStr">
        <is>
          <t>Entrada</t>
        </is>
      </c>
      <c r="E1608" s="110" t="inlineStr">
        <is>
          <t>Vendas</t>
        </is>
      </c>
      <c r="F1608" s="111" t="n">
        <v>3280</v>
      </c>
      <c r="G1608" s="104" t="inlineStr">
        <is>
          <t>09/2026</t>
        </is>
      </c>
      <c r="H1608" s="104" t="inlineStr">
        <is>
          <t>CODI</t>
        </is>
      </c>
    </row>
    <row r="1609">
      <c r="B1609" s="109" t="n">
        <v>46266</v>
      </c>
      <c r="C1609" s="110" t="inlineStr">
        <is>
          <t>Vendas - 09/2026</t>
        </is>
      </c>
      <c r="D1609" s="110" t="inlineStr">
        <is>
          <t>Entrada</t>
        </is>
      </c>
      <c r="E1609" s="110" t="inlineStr">
        <is>
          <t>Vendas</t>
        </is>
      </c>
      <c r="F1609" s="111" t="n">
        <v>1607.49</v>
      </c>
      <c r="G1609" s="104" t="inlineStr">
        <is>
          <t>09/2026</t>
        </is>
      </c>
      <c r="H1609" s="104" t="inlineStr">
        <is>
          <t>CODI</t>
        </is>
      </c>
    </row>
    <row r="1610">
      <c r="B1610" s="109" t="n">
        <v>46266</v>
      </c>
      <c r="C1610" s="110" t="inlineStr">
        <is>
          <t>Vendas - 09/2026</t>
        </is>
      </c>
      <c r="D1610" s="110" t="inlineStr">
        <is>
          <t>Entrada</t>
        </is>
      </c>
      <c r="E1610" s="110" t="inlineStr">
        <is>
          <t>Vendas</t>
        </is>
      </c>
      <c r="F1610" s="111" t="n">
        <v>517.29</v>
      </c>
      <c r="G1610" s="104" t="inlineStr">
        <is>
          <t>09/2026</t>
        </is>
      </c>
      <c r="H1610" s="104" t="inlineStr">
        <is>
          <t>CODI</t>
        </is>
      </c>
    </row>
    <row r="1611">
      <c r="B1611" s="109" t="n">
        <v>46266</v>
      </c>
      <c r="C1611" s="110" t="inlineStr">
        <is>
          <t>Vendas - 09/2026</t>
        </is>
      </c>
      <c r="D1611" s="110" t="inlineStr">
        <is>
          <t>Entrada</t>
        </is>
      </c>
      <c r="E1611" s="110" t="inlineStr">
        <is>
          <t>Vendas</t>
        </is>
      </c>
      <c r="F1611" s="111" t="n">
        <v>38741.4</v>
      </c>
      <c r="G1611" s="104" t="inlineStr">
        <is>
          <t>09/2026</t>
        </is>
      </c>
      <c r="H1611" s="104" t="inlineStr">
        <is>
          <t>CODI</t>
        </is>
      </c>
    </row>
    <row r="1612">
      <c r="B1612" s="109" t="n">
        <v>46266</v>
      </c>
      <c r="C1612" s="110" t="inlineStr">
        <is>
          <t>Vendas - 09/2026</t>
        </is>
      </c>
      <c r="D1612" s="110" t="inlineStr">
        <is>
          <t>Entrada</t>
        </is>
      </c>
      <c r="E1612" s="110" t="inlineStr">
        <is>
          <t>Vendas</t>
        </is>
      </c>
      <c r="F1612" s="111" t="n">
        <v>2350</v>
      </c>
      <c r="G1612" s="104" t="inlineStr">
        <is>
          <t>09/2026</t>
        </is>
      </c>
      <c r="H1612" s="104" t="inlineStr">
        <is>
          <t>CODI</t>
        </is>
      </c>
    </row>
    <row r="1613">
      <c r="B1613" s="109" t="n">
        <v>46266</v>
      </c>
      <c r="C1613" s="110" t="inlineStr">
        <is>
          <t>Vendas - 09/2026</t>
        </is>
      </c>
      <c r="D1613" s="110" t="inlineStr">
        <is>
          <t>Entrada</t>
        </is>
      </c>
      <c r="E1613" s="110" t="inlineStr">
        <is>
          <t>Vendas</t>
        </is>
      </c>
      <c r="F1613" s="111" t="n">
        <v>494.5</v>
      </c>
      <c r="G1613" s="104" t="inlineStr">
        <is>
          <t>09/2026</t>
        </is>
      </c>
      <c r="H1613" s="104" t="inlineStr">
        <is>
          <t>CODI</t>
        </is>
      </c>
    </row>
    <row r="1614">
      <c r="B1614" s="109" t="n">
        <v>46266</v>
      </c>
      <c r="C1614" s="110" t="inlineStr">
        <is>
          <t>Vendas - 09/2026</t>
        </is>
      </c>
      <c r="D1614" s="110" t="inlineStr">
        <is>
          <t>Entrada</t>
        </is>
      </c>
      <c r="E1614" s="110" t="inlineStr">
        <is>
          <t>Vendas</t>
        </is>
      </c>
      <c r="F1614" s="111" t="n">
        <v>1103</v>
      </c>
      <c r="G1614" s="104" t="inlineStr">
        <is>
          <t>09/2026</t>
        </is>
      </c>
      <c r="H1614" s="104" t="inlineStr">
        <is>
          <t>CODI</t>
        </is>
      </c>
    </row>
    <row r="1615">
      <c r="B1615" s="109" t="n">
        <v>46266</v>
      </c>
      <c r="C1615" s="110" t="inlineStr">
        <is>
          <t>Vendas - 09/2026</t>
        </is>
      </c>
      <c r="D1615" s="110" t="inlineStr">
        <is>
          <t>Entrada</t>
        </is>
      </c>
      <c r="E1615" s="110" t="inlineStr">
        <is>
          <t>Vendas</t>
        </is>
      </c>
      <c r="F1615" s="111" t="n">
        <v>1582.02</v>
      </c>
      <c r="G1615" s="104" t="inlineStr">
        <is>
          <t>09/2026</t>
        </is>
      </c>
      <c r="H1615" s="104" t="inlineStr">
        <is>
          <t>CODI</t>
        </is>
      </c>
    </row>
    <row r="1616">
      <c r="B1616" s="109" t="n">
        <v>46266</v>
      </c>
      <c r="C1616" s="110" t="inlineStr">
        <is>
          <t>Vendas - 09/2026</t>
        </is>
      </c>
      <c r="D1616" s="110" t="inlineStr">
        <is>
          <t>Entrada</t>
        </is>
      </c>
      <c r="E1616" s="110" t="inlineStr">
        <is>
          <t>Vendas</t>
        </is>
      </c>
      <c r="F1616" s="111" t="n">
        <v>554.8</v>
      </c>
      <c r="G1616" s="104" t="inlineStr">
        <is>
          <t>09/2026</t>
        </is>
      </c>
      <c r="H1616" s="104" t="inlineStr">
        <is>
          <t>CODI</t>
        </is>
      </c>
    </row>
    <row r="1617">
      <c r="B1617" s="109" t="n">
        <v>46266</v>
      </c>
      <c r="C1617" s="110" t="inlineStr">
        <is>
          <t>Vendas - 09/2026</t>
        </is>
      </c>
      <c r="D1617" s="110" t="inlineStr">
        <is>
          <t>Entrada</t>
        </is>
      </c>
      <c r="E1617" s="110" t="inlineStr">
        <is>
          <t>Vendas</t>
        </is>
      </c>
      <c r="F1617" s="111" t="n">
        <v>558.7</v>
      </c>
      <c r="G1617" s="104" t="inlineStr">
        <is>
          <t>09/2026</t>
        </is>
      </c>
      <c r="H1617" s="104" t="inlineStr">
        <is>
          <t>CODI</t>
        </is>
      </c>
    </row>
    <row r="1618">
      <c r="B1618" s="109" t="n">
        <v>46266</v>
      </c>
      <c r="C1618" s="110" t="inlineStr">
        <is>
          <t>Vendas - 09/2026</t>
        </is>
      </c>
      <c r="D1618" s="110" t="inlineStr">
        <is>
          <t>Entrada</t>
        </is>
      </c>
      <c r="E1618" s="110" t="inlineStr">
        <is>
          <t>Vendas</t>
        </is>
      </c>
      <c r="F1618" s="111" t="n">
        <v>382.05</v>
      </c>
      <c r="G1618" s="104" t="inlineStr">
        <is>
          <t>09/2026</t>
        </is>
      </c>
      <c r="H1618" s="104" t="inlineStr">
        <is>
          <t>CODI</t>
        </is>
      </c>
    </row>
    <row r="1619">
      <c r="B1619" s="109" t="n">
        <v>46266</v>
      </c>
      <c r="C1619" s="110" t="inlineStr">
        <is>
          <t>Vendas - 09/2026</t>
        </is>
      </c>
      <c r="D1619" s="110" t="inlineStr">
        <is>
          <t>Entrada</t>
        </is>
      </c>
      <c r="E1619" s="110" t="inlineStr">
        <is>
          <t>Vendas</t>
        </is>
      </c>
      <c r="F1619" s="111" t="n">
        <v>1379.39</v>
      </c>
      <c r="G1619" s="104" t="inlineStr">
        <is>
          <t>09/2026</t>
        </is>
      </c>
      <c r="H1619" s="104" t="inlineStr">
        <is>
          <t>CODI</t>
        </is>
      </c>
    </row>
    <row r="1620">
      <c r="B1620" s="109" t="n">
        <v>46266</v>
      </c>
      <c r="C1620" s="110" t="inlineStr">
        <is>
          <t>Vendas - 09/2026</t>
        </is>
      </c>
      <c r="D1620" s="110" t="inlineStr">
        <is>
          <t>Entrada</t>
        </is>
      </c>
      <c r="E1620" s="110" t="inlineStr">
        <is>
          <t>Vendas</t>
        </is>
      </c>
      <c r="F1620" s="111" t="n">
        <v>207</v>
      </c>
      <c r="G1620" s="104" t="inlineStr">
        <is>
          <t>09/2026</t>
        </is>
      </c>
      <c r="H1620" s="104" t="inlineStr">
        <is>
          <t>CODI</t>
        </is>
      </c>
    </row>
    <row r="1621">
      <c r="B1621" s="109" t="n">
        <v>46266</v>
      </c>
      <c r="C1621" s="110" t="inlineStr">
        <is>
          <t>Vendas - 09/2026</t>
        </is>
      </c>
      <c r="D1621" s="110" t="inlineStr">
        <is>
          <t>Entrada</t>
        </is>
      </c>
      <c r="E1621" s="110" t="inlineStr">
        <is>
          <t>Vendas</t>
        </is>
      </c>
      <c r="F1621" s="111" t="n">
        <v>3505.5</v>
      </c>
      <c r="G1621" s="104" t="inlineStr">
        <is>
          <t>09/2026</t>
        </is>
      </c>
      <c r="H1621" s="104" t="inlineStr">
        <is>
          <t>CODI</t>
        </is>
      </c>
    </row>
    <row r="1622">
      <c r="B1622" s="109" t="n">
        <v>46266</v>
      </c>
      <c r="C1622" s="110" t="inlineStr">
        <is>
          <t>Vendas - 09/2026</t>
        </is>
      </c>
      <c r="D1622" s="110" t="inlineStr">
        <is>
          <t>Entrada</t>
        </is>
      </c>
      <c r="E1622" s="110" t="inlineStr">
        <is>
          <t>Vendas</t>
        </is>
      </c>
      <c r="F1622" s="111" t="n">
        <v>1890</v>
      </c>
      <c r="G1622" s="104" t="inlineStr">
        <is>
          <t>09/2026</t>
        </is>
      </c>
      <c r="H1622" s="104" t="inlineStr">
        <is>
          <t>CODI</t>
        </is>
      </c>
    </row>
    <row r="1623">
      <c r="B1623" s="109" t="n">
        <v>46266</v>
      </c>
      <c r="C1623" s="110" t="inlineStr">
        <is>
          <t>Vendas - 09/2026</t>
        </is>
      </c>
      <c r="D1623" s="110" t="inlineStr">
        <is>
          <t>Entrada</t>
        </is>
      </c>
      <c r="E1623" s="110" t="inlineStr">
        <is>
          <t>Vendas</t>
        </is>
      </c>
      <c r="F1623" s="111" t="n">
        <v>95</v>
      </c>
      <c r="G1623" s="104" t="inlineStr">
        <is>
          <t>09/2026</t>
        </is>
      </c>
      <c r="H1623" s="104" t="inlineStr">
        <is>
          <t>CODI</t>
        </is>
      </c>
    </row>
    <row r="1624">
      <c r="B1624" s="109" t="n">
        <v>46266</v>
      </c>
      <c r="C1624" s="110" t="inlineStr">
        <is>
          <t>Vendas - 09/2026</t>
        </is>
      </c>
      <c r="D1624" s="110" t="inlineStr">
        <is>
          <t>Entrada</t>
        </is>
      </c>
      <c r="E1624" s="110" t="inlineStr">
        <is>
          <t>Vendas</t>
        </is>
      </c>
      <c r="F1624" s="111" t="n">
        <v>770</v>
      </c>
      <c r="G1624" s="104" t="inlineStr">
        <is>
          <t>09/2026</t>
        </is>
      </c>
      <c r="H1624" s="104" t="inlineStr">
        <is>
          <t>CODI</t>
        </is>
      </c>
    </row>
    <row r="1625">
      <c r="B1625" s="109" t="n">
        <v>46266</v>
      </c>
      <c r="C1625" s="110" t="inlineStr">
        <is>
          <t>Vendas - 09/2026</t>
        </is>
      </c>
      <c r="D1625" s="110" t="inlineStr">
        <is>
          <t>Entrada</t>
        </is>
      </c>
      <c r="E1625" s="110" t="inlineStr">
        <is>
          <t>Vendas</t>
        </is>
      </c>
      <c r="F1625" s="111" t="n">
        <v>455</v>
      </c>
      <c r="G1625" s="104" t="inlineStr">
        <is>
          <t>09/2026</t>
        </is>
      </c>
      <c r="H1625" s="104" t="inlineStr">
        <is>
          <t>CODI</t>
        </is>
      </c>
    </row>
    <row r="1626">
      <c r="B1626" s="109" t="n">
        <v>46266</v>
      </c>
      <c r="C1626" s="110" t="inlineStr">
        <is>
          <t>Vendas - 09/2026</t>
        </is>
      </c>
      <c r="D1626" s="110" t="inlineStr">
        <is>
          <t>Entrada</t>
        </is>
      </c>
      <c r="E1626" s="110" t="inlineStr">
        <is>
          <t>Vendas</t>
        </is>
      </c>
      <c r="F1626" s="111" t="n">
        <v>2215</v>
      </c>
      <c r="G1626" s="104" t="inlineStr">
        <is>
          <t>09/2026</t>
        </is>
      </c>
      <c r="H1626" s="104" t="inlineStr">
        <is>
          <t>CODI</t>
        </is>
      </c>
    </row>
    <row r="1627">
      <c r="B1627" s="109" t="n">
        <v>46266</v>
      </c>
      <c r="C1627" s="110" t="inlineStr">
        <is>
          <t>Vendas - 09/2026</t>
        </is>
      </c>
      <c r="D1627" s="110" t="inlineStr">
        <is>
          <t>Entrada</t>
        </is>
      </c>
      <c r="E1627" s="110" t="inlineStr">
        <is>
          <t>Vendas</t>
        </is>
      </c>
      <c r="F1627" s="111" t="n">
        <v>3359</v>
      </c>
      <c r="G1627" s="104" t="inlineStr">
        <is>
          <t>09/2026</t>
        </is>
      </c>
      <c r="H1627" s="104" t="inlineStr">
        <is>
          <t>VAREN</t>
        </is>
      </c>
    </row>
    <row r="1628">
      <c r="B1628" s="109" t="n">
        <v>46266</v>
      </c>
      <c r="C1628" s="110" t="inlineStr">
        <is>
          <t>Vendas - 09/2026</t>
        </is>
      </c>
      <c r="D1628" s="110" t="inlineStr">
        <is>
          <t>Entrada</t>
        </is>
      </c>
      <c r="E1628" s="110" t="inlineStr">
        <is>
          <t>Vendas</t>
        </is>
      </c>
      <c r="F1628" s="111" t="n">
        <v>2485</v>
      </c>
      <c r="G1628" s="104" t="inlineStr">
        <is>
          <t>09/2026</t>
        </is>
      </c>
      <c r="H1628" s="104" t="inlineStr">
        <is>
          <t>CODI</t>
        </is>
      </c>
    </row>
    <row r="1629">
      <c r="B1629" s="109" t="n">
        <v>46266</v>
      </c>
      <c r="C1629" s="110" t="inlineStr">
        <is>
          <t>Vendas - 09/2026</t>
        </is>
      </c>
      <c r="D1629" s="110" t="inlineStr">
        <is>
          <t>Entrada</t>
        </is>
      </c>
      <c r="E1629" s="110" t="inlineStr">
        <is>
          <t>Vendas</t>
        </is>
      </c>
      <c r="F1629" s="111" t="n">
        <v>260</v>
      </c>
      <c r="G1629" s="104" t="inlineStr">
        <is>
          <t>09/2026</t>
        </is>
      </c>
      <c r="H1629" s="104" t="inlineStr">
        <is>
          <t>CODI</t>
        </is>
      </c>
    </row>
    <row r="1630">
      <c r="B1630" s="109" t="n">
        <v>46266</v>
      </c>
      <c r="C1630" s="110" t="inlineStr">
        <is>
          <t>Vendas - 09/2026</t>
        </is>
      </c>
      <c r="D1630" s="110" t="inlineStr">
        <is>
          <t>Entrada</t>
        </is>
      </c>
      <c r="E1630" s="110" t="inlineStr">
        <is>
          <t>Vendas</t>
        </is>
      </c>
      <c r="F1630" s="111" t="n">
        <v>1950</v>
      </c>
      <c r="G1630" s="104" t="inlineStr">
        <is>
          <t>09/2026</t>
        </is>
      </c>
      <c r="H1630" s="104" t="inlineStr">
        <is>
          <t>CODI</t>
        </is>
      </c>
    </row>
    <row r="1631">
      <c r="B1631" s="109" t="n">
        <v>46266</v>
      </c>
      <c r="C1631" s="110" t="inlineStr">
        <is>
          <t>Vendas - 09/2026</t>
        </is>
      </c>
      <c r="D1631" s="110" t="inlineStr">
        <is>
          <t>Entrada</t>
        </is>
      </c>
      <c r="E1631" s="110" t="inlineStr">
        <is>
          <t>Vendas</t>
        </is>
      </c>
      <c r="F1631" s="111" t="n">
        <v>5195</v>
      </c>
      <c r="G1631" s="104" t="inlineStr">
        <is>
          <t>09/2026</t>
        </is>
      </c>
      <c r="H1631" s="104" t="inlineStr">
        <is>
          <t>CODI</t>
        </is>
      </c>
    </row>
    <row r="1632">
      <c r="B1632" s="109" t="n">
        <v>46266</v>
      </c>
      <c r="C1632" s="110" t="inlineStr">
        <is>
          <t>Tecidos - 09/2026</t>
        </is>
      </c>
      <c r="D1632" s="110" t="inlineStr">
        <is>
          <t>Saída</t>
        </is>
      </c>
      <c r="E1632" s="110" t="inlineStr">
        <is>
          <t>Tecidos</t>
        </is>
      </c>
      <c r="F1632" s="111" t="n">
        <v>160849.81</v>
      </c>
      <c r="G1632" s="104" t="inlineStr">
        <is>
          <t>09/2026</t>
        </is>
      </c>
      <c r="H1632" s="104" t="inlineStr">
        <is>
          <t>CODI</t>
        </is>
      </c>
    </row>
    <row r="1633">
      <c r="B1633" s="109" t="n">
        <v>46266</v>
      </c>
      <c r="C1633" s="110" t="inlineStr">
        <is>
          <t>Tráfego/Social Mídia - 09/2026</t>
        </is>
      </c>
      <c r="D1633" s="110" t="inlineStr">
        <is>
          <t>Saída</t>
        </is>
      </c>
      <c r="E1633" s="110" t="inlineStr">
        <is>
          <t>Tráfego/Social Mídia</t>
        </is>
      </c>
      <c r="F1633" s="111" t="n">
        <v>6609.14</v>
      </c>
      <c r="G1633" s="104" t="inlineStr">
        <is>
          <t>09/2026</t>
        </is>
      </c>
      <c r="H1633" s="104" t="inlineStr">
        <is>
          <t>CODI</t>
        </is>
      </c>
    </row>
    <row r="1634">
      <c r="B1634" s="109" t="n">
        <v>46266</v>
      </c>
      <c r="C1634" s="110" t="inlineStr">
        <is>
          <t>Lavanderia - 09/2026</t>
        </is>
      </c>
      <c r="D1634" s="110" t="inlineStr">
        <is>
          <t>Saída</t>
        </is>
      </c>
      <c r="E1634" s="110" t="inlineStr">
        <is>
          <t>Lavanderia</t>
        </is>
      </c>
      <c r="F1634" s="111" t="n">
        <v>24032.5</v>
      </c>
      <c r="G1634" s="104" t="inlineStr">
        <is>
          <t>09/2026</t>
        </is>
      </c>
      <c r="H1634" s="104" t="inlineStr">
        <is>
          <t>CODI</t>
        </is>
      </c>
    </row>
    <row r="1635">
      <c r="B1635" s="109" t="n">
        <v>46266</v>
      </c>
      <c r="C1635" s="110" t="inlineStr">
        <is>
          <t>Frete e Transporte de Mercadorias - 09/2026</t>
        </is>
      </c>
      <c r="D1635" s="110" t="inlineStr">
        <is>
          <t>Saída</t>
        </is>
      </c>
      <c r="E1635" s="110" t="inlineStr">
        <is>
          <t>Frete e Transporte de Mercadorias</t>
        </is>
      </c>
      <c r="F1635" s="111" t="n">
        <v>4589.32</v>
      </c>
      <c r="G1635" s="104" t="inlineStr">
        <is>
          <t>09/2026</t>
        </is>
      </c>
      <c r="H1635" s="104" t="inlineStr">
        <is>
          <t>CODI</t>
        </is>
      </c>
    </row>
    <row r="1636">
      <c r="B1636" s="109" t="n">
        <v>46266</v>
      </c>
      <c r="C1636" s="110" t="inlineStr">
        <is>
          <t>Publicidade - 09/2026</t>
        </is>
      </c>
      <c r="D1636" s="110" t="inlineStr">
        <is>
          <t>Saída</t>
        </is>
      </c>
      <c r="E1636" s="110" t="inlineStr">
        <is>
          <t>Publicidade</t>
        </is>
      </c>
      <c r="F1636" s="111" t="n">
        <v>2140</v>
      </c>
      <c r="G1636" s="104" t="inlineStr">
        <is>
          <t>09/2026</t>
        </is>
      </c>
      <c r="H1636" s="104" t="inlineStr">
        <is>
          <t>CODI</t>
        </is>
      </c>
    </row>
    <row r="1637">
      <c r="B1637" s="109" t="n">
        <v>46266</v>
      </c>
      <c r="C1637" s="110" t="inlineStr">
        <is>
          <t>Aviamento - 09/2026</t>
        </is>
      </c>
      <c r="D1637" s="110" t="inlineStr">
        <is>
          <t>Saída</t>
        </is>
      </c>
      <c r="E1637" s="110" t="inlineStr">
        <is>
          <t>Aviamento</t>
        </is>
      </c>
      <c r="F1637" s="111" t="n">
        <v>6269.03</v>
      </c>
      <c r="G1637" s="104" t="inlineStr">
        <is>
          <t>09/2026</t>
        </is>
      </c>
      <c r="H1637" s="104" t="inlineStr">
        <is>
          <t>CODI</t>
        </is>
      </c>
    </row>
    <row r="1638">
      <c r="B1638" s="109" t="n">
        <v>46266</v>
      </c>
      <c r="C1638" s="110" t="inlineStr">
        <is>
          <t>Facção - 09/2026</t>
        </is>
      </c>
      <c r="D1638" s="110" t="inlineStr">
        <is>
          <t>Saída</t>
        </is>
      </c>
      <c r="E1638" s="110" t="inlineStr">
        <is>
          <t>Facção</t>
        </is>
      </c>
      <c r="F1638" s="111" t="n">
        <v>35315</v>
      </c>
      <c r="G1638" s="104" t="inlineStr">
        <is>
          <t>09/2026</t>
        </is>
      </c>
      <c r="H1638" s="104" t="inlineStr">
        <is>
          <t>CODI</t>
        </is>
      </c>
    </row>
    <row r="1639">
      <c r="B1639" s="109" t="n">
        <v>46266</v>
      </c>
      <c r="C1639" s="110" t="inlineStr">
        <is>
          <t>Manutenção de Imóveis - 09/2026</t>
        </is>
      </c>
      <c r="D1639" s="110" t="inlineStr">
        <is>
          <t>Saída</t>
        </is>
      </c>
      <c r="E1639" s="110" t="inlineStr">
        <is>
          <t>Manutenção de Imóveis</t>
        </is>
      </c>
      <c r="F1639" s="111" t="n">
        <v>419</v>
      </c>
      <c r="G1639" s="104" t="inlineStr">
        <is>
          <t>09/2026</t>
        </is>
      </c>
      <c r="H1639" s="104" t="inlineStr">
        <is>
          <t>CODI</t>
        </is>
      </c>
    </row>
    <row r="1640">
      <c r="B1640" s="109" t="n">
        <v>46266</v>
      </c>
      <c r="C1640" s="110" t="inlineStr">
        <is>
          <t>Acabamento Externo - 09/2026</t>
        </is>
      </c>
      <c r="D1640" s="110" t="inlineStr">
        <is>
          <t>Saída</t>
        </is>
      </c>
      <c r="E1640" s="110" t="inlineStr">
        <is>
          <t>Acabamento Externo</t>
        </is>
      </c>
      <c r="F1640" s="111" t="n">
        <v>14799</v>
      </c>
      <c r="G1640" s="104" t="inlineStr">
        <is>
          <t>09/2026</t>
        </is>
      </c>
      <c r="H1640" s="104" t="inlineStr">
        <is>
          <t>CODI</t>
        </is>
      </c>
    </row>
    <row r="1641">
      <c r="B1641" s="109" t="n">
        <v>46266</v>
      </c>
      <c r="C1641" s="110" t="inlineStr">
        <is>
          <t>Travete - 09/2026</t>
        </is>
      </c>
      <c r="D1641" s="110" t="inlineStr">
        <is>
          <t>Saída</t>
        </is>
      </c>
      <c r="E1641" s="110" t="inlineStr">
        <is>
          <t>Travete</t>
        </is>
      </c>
      <c r="F1641" s="111" t="n">
        <v>793.8</v>
      </c>
      <c r="G1641" s="104" t="inlineStr">
        <is>
          <t>09/2026</t>
        </is>
      </c>
      <c r="H1641" s="104" t="inlineStr">
        <is>
          <t>CDK</t>
        </is>
      </c>
    </row>
    <row r="1642">
      <c r="B1642" s="109" t="n">
        <v>46266</v>
      </c>
      <c r="C1642" s="110" t="inlineStr">
        <is>
          <t>Comissão de vendedores - 09/2026</t>
        </is>
      </c>
      <c r="D1642" s="110" t="inlineStr">
        <is>
          <t>Saída</t>
        </is>
      </c>
      <c r="E1642" s="110" t="inlineStr">
        <is>
          <t>Comissão de vendedores</t>
        </is>
      </c>
      <c r="F1642" s="111" t="n">
        <v>9848.58</v>
      </c>
      <c r="G1642" s="104" t="inlineStr">
        <is>
          <t>09/2026</t>
        </is>
      </c>
      <c r="H1642" s="104" t="inlineStr">
        <is>
          <t>CODI</t>
        </is>
      </c>
    </row>
    <row r="1643">
      <c r="B1643" s="109" t="n">
        <v>46266</v>
      </c>
      <c r="C1643" s="110" t="inlineStr">
        <is>
          <t>Facção - 09/2026</t>
        </is>
      </c>
      <c r="D1643" s="110" t="inlineStr">
        <is>
          <t>Saída</t>
        </is>
      </c>
      <c r="E1643" s="110" t="inlineStr">
        <is>
          <t>Facção</t>
        </is>
      </c>
      <c r="F1643" s="111" t="n">
        <v>10794</v>
      </c>
      <c r="G1643" s="104" t="inlineStr">
        <is>
          <t>09/2026</t>
        </is>
      </c>
      <c r="H1643" s="104" t="inlineStr">
        <is>
          <t>CDK</t>
        </is>
      </c>
    </row>
    <row r="1644">
      <c r="B1644" s="109" t="n">
        <v>46266</v>
      </c>
      <c r="C1644" s="110" t="inlineStr">
        <is>
          <t>Combustíveis - 09/2026</t>
        </is>
      </c>
      <c r="D1644" s="110" t="inlineStr">
        <is>
          <t>Saída</t>
        </is>
      </c>
      <c r="E1644" s="110" t="inlineStr">
        <is>
          <t>Combustíveis</t>
        </is>
      </c>
      <c r="F1644" s="111" t="n">
        <v>673.28</v>
      </c>
      <c r="G1644" s="104" t="inlineStr">
        <is>
          <t>09/2026</t>
        </is>
      </c>
      <c r="H1644" s="104" t="inlineStr">
        <is>
          <t>CODI</t>
        </is>
      </c>
    </row>
    <row r="1645">
      <c r="B1645" s="109" t="n">
        <v>46266</v>
      </c>
      <c r="C1645" s="110" t="inlineStr">
        <is>
          <t>Salário e Ordenados - 09/2026</t>
        </is>
      </c>
      <c r="D1645" s="110" t="inlineStr">
        <is>
          <t>Saída</t>
        </is>
      </c>
      <c r="E1645" s="110" t="inlineStr">
        <is>
          <t>Salário e Ordenados</t>
        </is>
      </c>
      <c r="F1645" s="111" t="n">
        <v>28904.78</v>
      </c>
      <c r="G1645" s="104" t="inlineStr">
        <is>
          <t>09/2026</t>
        </is>
      </c>
      <c r="H1645" s="104" t="inlineStr">
        <is>
          <t>CODI</t>
        </is>
      </c>
    </row>
    <row r="1646">
      <c r="B1646" s="109" t="n">
        <v>46266</v>
      </c>
      <c r="C1646" s="110" t="inlineStr">
        <is>
          <t>Advogados - Honorários - 09/2026</t>
        </is>
      </c>
      <c r="D1646" s="110" t="inlineStr">
        <is>
          <t>Saída</t>
        </is>
      </c>
      <c r="E1646" s="110" t="inlineStr">
        <is>
          <t>Advogados - Honorários</t>
        </is>
      </c>
      <c r="F1646" s="111" t="n">
        <v>2500</v>
      </c>
      <c r="G1646" s="104" t="inlineStr">
        <is>
          <t>09/2026</t>
        </is>
      </c>
      <c r="H1646" s="104" t="inlineStr">
        <is>
          <t>CODI</t>
        </is>
      </c>
    </row>
    <row r="1647">
      <c r="B1647" s="109" t="n">
        <v>46266</v>
      </c>
      <c r="C1647" s="110" t="inlineStr">
        <is>
          <t>Vales e Adiantamentos - 09/2026</t>
        </is>
      </c>
      <c r="D1647" s="110" t="inlineStr">
        <is>
          <t>Saída</t>
        </is>
      </c>
      <c r="E1647" s="110" t="inlineStr">
        <is>
          <t>Vales e Adiantamentos</t>
        </is>
      </c>
      <c r="F1647" s="111" t="n">
        <v>1744.46</v>
      </c>
      <c r="G1647" s="104" t="inlineStr">
        <is>
          <t>09/2026</t>
        </is>
      </c>
      <c r="H1647" s="104" t="inlineStr">
        <is>
          <t>CODI</t>
        </is>
      </c>
    </row>
    <row r="1648">
      <c r="B1648" s="109" t="n">
        <v>46266</v>
      </c>
      <c r="C1648" s="110" t="inlineStr">
        <is>
          <t>Tecidos - 09/2026</t>
        </is>
      </c>
      <c r="D1648" s="110" t="inlineStr">
        <is>
          <t>Saída</t>
        </is>
      </c>
      <c r="E1648" s="110" t="inlineStr">
        <is>
          <t>Tecidos</t>
        </is>
      </c>
      <c r="F1648" s="111" t="n">
        <v>22076.14</v>
      </c>
      <c r="G1648" s="104" t="inlineStr">
        <is>
          <t>09/2026</t>
        </is>
      </c>
      <c r="H1648" s="104" t="inlineStr">
        <is>
          <t>CDK</t>
        </is>
      </c>
    </row>
    <row r="1649">
      <c r="B1649" s="109" t="n">
        <v>46266</v>
      </c>
      <c r="C1649" s="110" t="inlineStr">
        <is>
          <t>Outros Insumos - 09/2026</t>
        </is>
      </c>
      <c r="D1649" s="110" t="inlineStr">
        <is>
          <t>Saída</t>
        </is>
      </c>
      <c r="E1649" s="110" t="inlineStr">
        <is>
          <t>Outros Insumos</t>
        </is>
      </c>
      <c r="F1649" s="111" t="n">
        <v>182</v>
      </c>
      <c r="G1649" s="104" t="inlineStr">
        <is>
          <t>09/2026</t>
        </is>
      </c>
      <c r="H1649" s="104" t="inlineStr">
        <is>
          <t>CODI</t>
        </is>
      </c>
    </row>
    <row r="1650">
      <c r="B1650" s="109" t="n">
        <v>46266</v>
      </c>
      <c r="C1650" s="110" t="inlineStr">
        <is>
          <t>Vale Transporte - 09/2026</t>
        </is>
      </c>
      <c r="D1650" s="110" t="inlineStr">
        <is>
          <t>Saída</t>
        </is>
      </c>
      <c r="E1650" s="110" t="inlineStr">
        <is>
          <t>Vale Transporte</t>
        </is>
      </c>
      <c r="F1650" s="111" t="n">
        <v>1720</v>
      </c>
      <c r="G1650" s="104" t="inlineStr">
        <is>
          <t>09/2026</t>
        </is>
      </c>
      <c r="H1650" s="104" t="inlineStr">
        <is>
          <t>CODI</t>
        </is>
      </c>
    </row>
    <row r="1651">
      <c r="B1651" s="109" t="n">
        <v>46266</v>
      </c>
      <c r="C1651" s="110" t="inlineStr">
        <is>
          <t>Etiquetas - 09/2026</t>
        </is>
      </c>
      <c r="D1651" s="110" t="inlineStr">
        <is>
          <t>Saída</t>
        </is>
      </c>
      <c r="E1651" s="110" t="inlineStr">
        <is>
          <t>Etiquetas</t>
        </is>
      </c>
      <c r="F1651" s="111" t="n">
        <v>12446</v>
      </c>
      <c r="G1651" s="104" t="inlineStr">
        <is>
          <t>09/2026</t>
        </is>
      </c>
      <c r="H1651" s="104" t="inlineStr">
        <is>
          <t>CODI</t>
        </is>
      </c>
    </row>
    <row r="1652">
      <c r="B1652" s="109" t="n">
        <v>46266</v>
      </c>
      <c r="C1652" s="110" t="inlineStr">
        <is>
          <t>Acertos e Recisões - 09/2026</t>
        </is>
      </c>
      <c r="D1652" s="110" t="inlineStr">
        <is>
          <t>Saída</t>
        </is>
      </c>
      <c r="E1652" s="110" t="inlineStr">
        <is>
          <t>Acertos e Recisões</t>
        </is>
      </c>
      <c r="F1652" s="111" t="n">
        <v>62942.24</v>
      </c>
      <c r="G1652" s="104" t="inlineStr">
        <is>
          <t>09/2026</t>
        </is>
      </c>
      <c r="H1652" s="104" t="inlineStr">
        <is>
          <t>CODI</t>
        </is>
      </c>
    </row>
    <row r="1653">
      <c r="B1653" s="109" t="n">
        <v>46266</v>
      </c>
      <c r="C1653" s="110" t="inlineStr">
        <is>
          <t>Criação de Modelos - 09/2026</t>
        </is>
      </c>
      <c r="D1653" s="110" t="inlineStr">
        <is>
          <t>Saída</t>
        </is>
      </c>
      <c r="E1653" s="110" t="inlineStr">
        <is>
          <t>Criação de Modelos</t>
        </is>
      </c>
      <c r="F1653" s="111" t="n">
        <v>120</v>
      </c>
      <c r="G1653" s="104" t="inlineStr">
        <is>
          <t>09/2026</t>
        </is>
      </c>
      <c r="H1653" s="104" t="inlineStr">
        <is>
          <t>CODI</t>
        </is>
      </c>
    </row>
    <row r="1654">
      <c r="B1654" s="109" t="n">
        <v>46266</v>
      </c>
      <c r="C1654" s="110" t="inlineStr">
        <is>
          <t>Acabamento Externo - 09/2026</t>
        </is>
      </c>
      <c r="D1654" s="110" t="inlineStr">
        <is>
          <t>Saída</t>
        </is>
      </c>
      <c r="E1654" s="110" t="inlineStr">
        <is>
          <t>Acabamento Externo</t>
        </is>
      </c>
      <c r="F1654" s="111" t="n">
        <v>2932</v>
      </c>
      <c r="G1654" s="104" t="inlineStr">
        <is>
          <t>09/2026</t>
        </is>
      </c>
      <c r="H1654" s="104" t="inlineStr">
        <is>
          <t>CDK</t>
        </is>
      </c>
    </row>
    <row r="1655">
      <c r="B1655" s="109" t="n">
        <v>46266</v>
      </c>
      <c r="C1655" s="110" t="inlineStr">
        <is>
          <t>Assessoria Técnica Profissional - 09/2026</t>
        </is>
      </c>
      <c r="D1655" s="110" t="inlineStr">
        <is>
          <t>Saída</t>
        </is>
      </c>
      <c r="E1655" s="110" t="inlineStr">
        <is>
          <t>Assessoria Técnica Profissional</t>
        </is>
      </c>
      <c r="F1655" s="111" t="n">
        <v>3500</v>
      </c>
      <c r="G1655" s="104" t="inlineStr">
        <is>
          <t>09/2026</t>
        </is>
      </c>
      <c r="H1655" s="104" t="inlineStr">
        <is>
          <t>CODI</t>
        </is>
      </c>
    </row>
    <row r="1656">
      <c r="B1656" s="109" t="n">
        <v>46266</v>
      </c>
      <c r="C1656" s="110" t="inlineStr">
        <is>
          <t>Telefonia Móvel - 09/2026</t>
        </is>
      </c>
      <c r="D1656" s="110" t="inlineStr">
        <is>
          <t>Saída</t>
        </is>
      </c>
      <c r="E1656" s="110" t="inlineStr">
        <is>
          <t>Telefonia Móvel</t>
        </is>
      </c>
      <c r="F1656" s="111" t="n">
        <v>80</v>
      </c>
      <c r="G1656" s="104" t="inlineStr">
        <is>
          <t>09/2026</t>
        </is>
      </c>
      <c r="H1656" s="104" t="inlineStr">
        <is>
          <t>CODI</t>
        </is>
      </c>
    </row>
    <row r="1657">
      <c r="B1657" s="109" t="n">
        <v>46266</v>
      </c>
      <c r="C1657" s="110" t="inlineStr">
        <is>
          <t>Aluguéis e Condomínios - 09/2026</t>
        </is>
      </c>
      <c r="D1657" s="110" t="inlineStr">
        <is>
          <t>Saída</t>
        </is>
      </c>
      <c r="E1657" s="110" t="inlineStr">
        <is>
          <t>Aluguéis e Condomínios</t>
        </is>
      </c>
      <c r="F1657" s="111" t="n">
        <v>6484</v>
      </c>
      <c r="G1657" s="104" t="inlineStr">
        <is>
          <t>09/2026</t>
        </is>
      </c>
      <c r="H1657" s="104" t="inlineStr">
        <is>
          <t>CODI</t>
        </is>
      </c>
    </row>
    <row r="1658">
      <c r="B1658" s="109" t="n">
        <v>46266</v>
      </c>
      <c r="C1658" s="110" t="inlineStr">
        <is>
          <t>Consórcio - 09/2026</t>
        </is>
      </c>
      <c r="D1658" s="110" t="inlineStr">
        <is>
          <t>Saída</t>
        </is>
      </c>
      <c r="E1658" s="110" t="inlineStr">
        <is>
          <t>Consórcio</t>
        </is>
      </c>
      <c r="F1658" s="111" t="n">
        <v>2053.01</v>
      </c>
      <c r="G1658" s="104" t="inlineStr">
        <is>
          <t>09/2026</t>
        </is>
      </c>
      <c r="H1658" s="104" t="inlineStr">
        <is>
          <t>CODI</t>
        </is>
      </c>
    </row>
    <row r="1659">
      <c r="B1659" s="109" t="n">
        <v>46266</v>
      </c>
      <c r="C1659" s="110" t="inlineStr">
        <is>
          <t>Travete - 09/2026</t>
        </is>
      </c>
      <c r="D1659" s="110" t="inlineStr">
        <is>
          <t>Saída</t>
        </is>
      </c>
      <c r="E1659" s="110" t="inlineStr">
        <is>
          <t>Travete</t>
        </is>
      </c>
      <c r="F1659" s="111" t="n">
        <v>4371.9</v>
      </c>
      <c r="G1659" s="104" t="inlineStr">
        <is>
          <t>09/2026</t>
        </is>
      </c>
      <c r="H1659" s="104" t="inlineStr">
        <is>
          <t>CODI</t>
        </is>
      </c>
    </row>
    <row r="1660">
      <c r="B1660" s="109" t="n">
        <v>46266</v>
      </c>
      <c r="C1660" s="110" t="inlineStr">
        <is>
          <t>Web Site e Sistema ERP - 09/2026</t>
        </is>
      </c>
      <c r="D1660" s="110" t="inlineStr">
        <is>
          <t>Saída</t>
        </is>
      </c>
      <c r="E1660" s="110" t="inlineStr">
        <is>
          <t>Web Site e Sistema ERP</t>
        </is>
      </c>
      <c r="F1660" s="111" t="n">
        <v>1819.4</v>
      </c>
      <c r="G1660" s="104" t="inlineStr">
        <is>
          <t>09/2026</t>
        </is>
      </c>
      <c r="H1660" s="104" t="inlineStr">
        <is>
          <t>CODI</t>
        </is>
      </c>
    </row>
    <row r="1661">
      <c r="B1661" s="109" t="n">
        <v>46266</v>
      </c>
      <c r="C1661" s="110" t="inlineStr">
        <is>
          <t>Outros Tributos - 09/2026</t>
        </is>
      </c>
      <c r="D1661" s="110" t="inlineStr">
        <is>
          <t>Saída</t>
        </is>
      </c>
      <c r="E1661" s="110" t="inlineStr">
        <is>
          <t>Outros Tributos</t>
        </is>
      </c>
      <c r="F1661" s="111" t="n">
        <v>83</v>
      </c>
      <c r="G1661" s="104" t="inlineStr">
        <is>
          <t>09/2026</t>
        </is>
      </c>
      <c r="H1661" s="104" t="inlineStr">
        <is>
          <t>CODI</t>
        </is>
      </c>
    </row>
    <row r="1662">
      <c r="B1662" s="109" t="n">
        <v>46266</v>
      </c>
      <c r="C1662" s="110" t="inlineStr">
        <is>
          <t>Etiquetas - 09/2026</t>
        </is>
      </c>
      <c r="D1662" s="110" t="inlineStr">
        <is>
          <t>Saída</t>
        </is>
      </c>
      <c r="E1662" s="110" t="inlineStr">
        <is>
          <t>Etiquetas</t>
        </is>
      </c>
      <c r="F1662" s="111" t="n">
        <v>120</v>
      </c>
      <c r="G1662" s="104" t="inlineStr">
        <is>
          <t>09/2026</t>
        </is>
      </c>
      <c r="H1662" s="104" t="inlineStr">
        <is>
          <t>CDK</t>
        </is>
      </c>
    </row>
    <row r="1663">
      <c r="B1663" s="109" t="n">
        <v>46266</v>
      </c>
      <c r="C1663" s="110" t="inlineStr">
        <is>
          <t>ICMS - 09/2026</t>
        </is>
      </c>
      <c r="D1663" s="110" t="inlineStr">
        <is>
          <t>Saída</t>
        </is>
      </c>
      <c r="E1663" s="110" t="inlineStr">
        <is>
          <t>ICMS</t>
        </is>
      </c>
      <c r="F1663" s="111" t="n">
        <v>606.35</v>
      </c>
      <c r="G1663" s="104" t="inlineStr">
        <is>
          <t>09/2026</t>
        </is>
      </c>
      <c r="H1663" s="104" t="inlineStr">
        <is>
          <t>CODI</t>
        </is>
      </c>
    </row>
    <row r="1664">
      <c r="B1664" s="109" t="n">
        <v>46266</v>
      </c>
      <c r="C1664" s="110" t="inlineStr">
        <is>
          <t>Embalagens - 09/2026</t>
        </is>
      </c>
      <c r="D1664" s="110" t="inlineStr">
        <is>
          <t>Saída</t>
        </is>
      </c>
      <c r="E1664" s="110" t="inlineStr">
        <is>
          <t>Embalagens</t>
        </is>
      </c>
      <c r="F1664" s="111" t="n">
        <v>169.6</v>
      </c>
      <c r="G1664" s="104" t="inlineStr">
        <is>
          <t>09/2026</t>
        </is>
      </c>
      <c r="H1664" s="104" t="inlineStr">
        <is>
          <t>CODI</t>
        </is>
      </c>
    </row>
    <row r="1665">
      <c r="B1665" s="109" t="n">
        <v>46266</v>
      </c>
      <c r="C1665" s="110" t="inlineStr">
        <is>
          <t>Manutenção de Veiculos e Estacionamento - 09/2026</t>
        </is>
      </c>
      <c r="D1665" s="110" t="inlineStr">
        <is>
          <t>Saída</t>
        </is>
      </c>
      <c r="E1665" s="110" t="inlineStr">
        <is>
          <t>Manutenção de Veiculos e Estacionamento</t>
        </is>
      </c>
      <c r="F1665" s="111" t="n">
        <v>20</v>
      </c>
      <c r="G1665" s="104" t="inlineStr">
        <is>
          <t>09/2026</t>
        </is>
      </c>
      <c r="H1665" s="104" t="inlineStr">
        <is>
          <t>CODI</t>
        </is>
      </c>
    </row>
    <row r="1666">
      <c r="B1666" s="109" t="n">
        <v>46266</v>
      </c>
      <c r="C1666" s="110" t="inlineStr">
        <is>
          <t>Aviamento - 09/2026</t>
        </is>
      </c>
      <c r="D1666" s="110" t="inlineStr">
        <is>
          <t>Saída</t>
        </is>
      </c>
      <c r="E1666" s="110" t="inlineStr">
        <is>
          <t>Aviamento</t>
        </is>
      </c>
      <c r="F1666" s="111" t="n">
        <v>712.5</v>
      </c>
      <c r="G1666" s="104" t="inlineStr">
        <is>
          <t>09/2026</t>
        </is>
      </c>
      <c r="H1666" s="104" t="inlineStr">
        <is>
          <t>CDK</t>
        </is>
      </c>
    </row>
    <row r="1667">
      <c r="B1667" s="109" t="n">
        <v>46266</v>
      </c>
      <c r="C1667" s="110" t="inlineStr">
        <is>
          <t>Seguros - 09/2026</t>
        </is>
      </c>
      <c r="D1667" s="110" t="inlineStr">
        <is>
          <t>Saída</t>
        </is>
      </c>
      <c r="E1667" s="110" t="inlineStr">
        <is>
          <t>Seguros</t>
        </is>
      </c>
      <c r="F1667" s="111" t="n">
        <v>1198.14</v>
      </c>
      <c r="G1667" s="104" t="inlineStr">
        <is>
          <t>09/2026</t>
        </is>
      </c>
      <c r="H1667" s="104" t="inlineStr">
        <is>
          <t>CODI</t>
        </is>
      </c>
    </row>
    <row r="1668">
      <c r="B1668" s="109" t="n">
        <v>46266</v>
      </c>
      <c r="C1668" s="110" t="inlineStr">
        <is>
          <t>Consulta de Crédito Cliente - 09/2026</t>
        </is>
      </c>
      <c r="D1668" s="110" t="inlineStr">
        <is>
          <t>Saída</t>
        </is>
      </c>
      <c r="E1668" s="110" t="inlineStr">
        <is>
          <t>Consulta de Crédito Cliente</t>
        </is>
      </c>
      <c r="F1668" s="111" t="n">
        <v>424.36</v>
      </c>
      <c r="G1668" s="104" t="inlineStr">
        <is>
          <t>09/2026</t>
        </is>
      </c>
      <c r="H1668" s="104" t="inlineStr">
        <is>
          <t>CODI</t>
        </is>
      </c>
    </row>
    <row r="1669">
      <c r="B1669" s="109" t="n">
        <v>46266</v>
      </c>
      <c r="C1669" s="110" t="inlineStr">
        <is>
          <t>Coquetéis, festas e outros eventos - 09/2026</t>
        </is>
      </c>
      <c r="D1669" s="110" t="inlineStr">
        <is>
          <t>Saída</t>
        </is>
      </c>
      <c r="E1669" s="110" t="inlineStr">
        <is>
          <t>Coquetéis, festas e outros eventos</t>
        </is>
      </c>
      <c r="F1669" s="111" t="n">
        <v>199</v>
      </c>
      <c r="G1669" s="104" t="inlineStr">
        <is>
          <t>09/2026</t>
        </is>
      </c>
      <c r="H1669" s="104" t="inlineStr">
        <is>
          <t>CODI</t>
        </is>
      </c>
    </row>
    <row r="1670">
      <c r="B1670" s="109" t="n">
        <v>46266</v>
      </c>
      <c r="C1670" s="110" t="inlineStr">
        <is>
          <t>Embalagens - 09/2026</t>
        </is>
      </c>
      <c r="D1670" s="110" t="inlineStr">
        <is>
          <t>Saída</t>
        </is>
      </c>
      <c r="E1670" s="110" t="inlineStr">
        <is>
          <t>Embalagens</t>
        </is>
      </c>
      <c r="F1670" s="111" t="n">
        <v>915</v>
      </c>
      <c r="G1670" s="104" t="inlineStr">
        <is>
          <t>09/2026</t>
        </is>
      </c>
      <c r="H1670" s="104" t="inlineStr">
        <is>
          <t>CDK</t>
        </is>
      </c>
    </row>
    <row r="1671">
      <c r="B1671" s="109" t="n">
        <v>46266</v>
      </c>
      <c r="C1671" s="110" t="inlineStr">
        <is>
          <t>Darf - 09/2026</t>
        </is>
      </c>
      <c r="D1671" s="110" t="inlineStr">
        <is>
          <t>Saída</t>
        </is>
      </c>
      <c r="E1671" s="110" t="inlineStr">
        <is>
          <t>Darf</t>
        </is>
      </c>
      <c r="F1671" s="111" t="n">
        <v>3494.45</v>
      </c>
      <c r="G1671" s="104" t="inlineStr">
        <is>
          <t>09/2026</t>
        </is>
      </c>
      <c r="H1671" s="104" t="inlineStr">
        <is>
          <t>CODI</t>
        </is>
      </c>
    </row>
    <row r="1672">
      <c r="B1672" s="109" t="n">
        <v>46266</v>
      </c>
      <c r="C1672" s="110" t="inlineStr">
        <is>
          <t>Fgts, Gps e Pis - 09/2026</t>
        </is>
      </c>
      <c r="D1672" s="110" t="inlineStr">
        <is>
          <t>Saída</t>
        </is>
      </c>
      <c r="E1672" s="110" t="inlineStr">
        <is>
          <t>Fgts, Gps e Pis</t>
        </is>
      </c>
      <c r="F1672" s="111" t="n">
        <v>3870.81</v>
      </c>
      <c r="G1672" s="104" t="inlineStr">
        <is>
          <t>09/2026</t>
        </is>
      </c>
      <c r="H1672" s="104" t="inlineStr">
        <is>
          <t>CODI</t>
        </is>
      </c>
    </row>
    <row r="1673">
      <c r="B1673" s="109" t="n">
        <v>46266</v>
      </c>
      <c r="C1673" s="110" t="inlineStr">
        <is>
          <t>Honorários Contábeis (Contabilidade) - 09/2026</t>
        </is>
      </c>
      <c r="D1673" s="110" t="inlineStr">
        <is>
          <t>Saída</t>
        </is>
      </c>
      <c r="E1673" s="110" t="inlineStr">
        <is>
          <t>Honorários Contábeis (Contabilidade)</t>
        </is>
      </c>
      <c r="F1673" s="111" t="n">
        <v>1100</v>
      </c>
      <c r="G1673" s="104" t="inlineStr">
        <is>
          <t>09/2026</t>
        </is>
      </c>
      <c r="H1673" s="104" t="inlineStr">
        <is>
          <t>CODI</t>
        </is>
      </c>
    </row>
    <row r="1674">
      <c r="B1674" s="109" t="n">
        <v>46266</v>
      </c>
      <c r="C1674" s="110" t="inlineStr">
        <is>
          <t>Simples Nacional - 09/2026</t>
        </is>
      </c>
      <c r="D1674" s="110" t="inlineStr">
        <is>
          <t>Saída</t>
        </is>
      </c>
      <c r="E1674" s="110" t="inlineStr">
        <is>
          <t>Simples Nacional</t>
        </is>
      </c>
      <c r="F1674" s="111" t="n">
        <v>16985.6</v>
      </c>
      <c r="G1674" s="104" t="inlineStr">
        <is>
          <t>09/2026</t>
        </is>
      </c>
      <c r="H1674" s="104" t="inlineStr">
        <is>
          <t>CODI</t>
        </is>
      </c>
    </row>
    <row r="1675">
      <c r="B1675" s="109" t="n">
        <v>46266</v>
      </c>
      <c r="C1675" s="110" t="inlineStr">
        <is>
          <t>Despesa não Identificada - 09/2026</t>
        </is>
      </c>
      <c r="D1675" s="110" t="inlineStr">
        <is>
          <t>Saída</t>
        </is>
      </c>
      <c r="E1675" s="110" t="inlineStr">
        <is>
          <t>Despesa não Identificada</t>
        </is>
      </c>
      <c r="F1675" s="111" t="n">
        <v>13304.36</v>
      </c>
      <c r="G1675" s="104" t="inlineStr">
        <is>
          <t>09/2026</t>
        </is>
      </c>
      <c r="H1675" s="104" t="inlineStr">
        <is>
          <t>CODI</t>
        </is>
      </c>
    </row>
    <row r="1676">
      <c r="B1676" s="109" t="n">
        <v>46266</v>
      </c>
      <c r="C1676" s="110" t="inlineStr">
        <is>
          <t>Exame Adminissional/Demissional - 09/2026</t>
        </is>
      </c>
      <c r="D1676" s="110" t="inlineStr">
        <is>
          <t>Saída</t>
        </is>
      </c>
      <c r="E1676" s="110" t="inlineStr">
        <is>
          <t>Exame Adminissional/Demissional</t>
        </is>
      </c>
      <c r="F1676" s="111" t="n">
        <v>80</v>
      </c>
      <c r="G1676" s="104" t="inlineStr">
        <is>
          <t>09/2026</t>
        </is>
      </c>
      <c r="H1676" s="104" t="inlineStr">
        <is>
          <t>CODI</t>
        </is>
      </c>
    </row>
    <row r="1677">
      <c r="B1677" s="109" t="n">
        <v>46266</v>
      </c>
      <c r="C1677" s="110" t="inlineStr">
        <is>
          <t>Energia Elétrica - 09/2026</t>
        </is>
      </c>
      <c r="D1677" s="110" t="inlineStr">
        <is>
          <t>Saída</t>
        </is>
      </c>
      <c r="E1677" s="110" t="inlineStr">
        <is>
          <t>Energia Elétrica</t>
        </is>
      </c>
      <c r="F1677" s="111" t="n">
        <v>506.25</v>
      </c>
      <c r="G1677" s="104" t="inlineStr">
        <is>
          <t>09/2026</t>
        </is>
      </c>
      <c r="H1677" s="104" t="inlineStr">
        <is>
          <t>CODI</t>
        </is>
      </c>
    </row>
    <row r="1678">
      <c r="B1678" s="109" t="n">
        <v>46266</v>
      </c>
      <c r="C1678" s="110" t="inlineStr">
        <is>
          <t>Multas - 09/2026</t>
        </is>
      </c>
      <c r="D1678" s="110" t="inlineStr">
        <is>
          <t>Saída</t>
        </is>
      </c>
      <c r="E1678" s="110" t="inlineStr">
        <is>
          <t>Multas</t>
        </is>
      </c>
      <c r="F1678" s="111" t="n">
        <v>234.78</v>
      </c>
      <c r="G1678" s="104" t="inlineStr">
        <is>
          <t>09/2026</t>
        </is>
      </c>
      <c r="H1678" s="104" t="inlineStr">
        <is>
          <t>CODI</t>
        </is>
      </c>
    </row>
    <row r="1679">
      <c r="B1679" s="109" t="n">
        <v>46266</v>
      </c>
      <c r="C1679" s="110" t="inlineStr">
        <is>
          <t>Produção Externa - 09/2026</t>
        </is>
      </c>
      <c r="D1679" s="110" t="inlineStr">
        <is>
          <t>Saída</t>
        </is>
      </c>
      <c r="E1679" s="110" t="inlineStr">
        <is>
          <t>Produção Externa</t>
        </is>
      </c>
      <c r="F1679" s="111" t="n">
        <v>26488</v>
      </c>
      <c r="G1679" s="104" t="inlineStr">
        <is>
          <t>09/2026</t>
        </is>
      </c>
      <c r="H1679" s="104" t="inlineStr">
        <is>
          <t>CODI</t>
        </is>
      </c>
    </row>
    <row r="1680">
      <c r="B1680" s="109" t="n">
        <v>46266</v>
      </c>
      <c r="C1680" s="110" t="inlineStr">
        <is>
          <t>Material de Escritório - 09/2026</t>
        </is>
      </c>
      <c r="D1680" s="110" t="inlineStr">
        <is>
          <t>Saída</t>
        </is>
      </c>
      <c r="E1680" s="110" t="inlineStr">
        <is>
          <t>Material de Escritório</t>
        </is>
      </c>
      <c r="F1680" s="111" t="n">
        <v>449.43</v>
      </c>
      <c r="G1680" s="104" t="inlineStr">
        <is>
          <t>09/2026</t>
        </is>
      </c>
      <c r="H1680" s="104" t="inlineStr">
        <is>
          <t>CODI</t>
        </is>
      </c>
    </row>
    <row r="1681">
      <c r="B1681" s="109" t="n">
        <v>46266</v>
      </c>
      <c r="C1681" s="110" t="inlineStr">
        <is>
          <t>Segurança e Monitoramento - 09/2026</t>
        </is>
      </c>
      <c r="D1681" s="110" t="inlineStr">
        <is>
          <t>Saída</t>
        </is>
      </c>
      <c r="E1681" s="110" t="inlineStr">
        <is>
          <t>Segurança e Monitoramento</t>
        </is>
      </c>
      <c r="F1681" s="111" t="n">
        <v>257.01</v>
      </c>
      <c r="G1681" s="104" t="inlineStr">
        <is>
          <t>09/2026</t>
        </is>
      </c>
      <c r="H1681" s="104" t="inlineStr">
        <is>
          <t>CODI</t>
        </is>
      </c>
    </row>
    <row r="1682">
      <c r="B1682" s="109" t="n">
        <v>46266</v>
      </c>
      <c r="C1682" s="110" t="inlineStr">
        <is>
          <t>Água - 09/2026</t>
        </is>
      </c>
      <c r="D1682" s="110" t="inlineStr">
        <is>
          <t>Saída</t>
        </is>
      </c>
      <c r="E1682" s="110" t="inlineStr">
        <is>
          <t>Água</t>
        </is>
      </c>
      <c r="F1682" s="111" t="n">
        <v>286.52</v>
      </c>
      <c r="G1682" s="104" t="inlineStr">
        <is>
          <t>09/2026</t>
        </is>
      </c>
      <c r="H1682" s="104" t="inlineStr">
        <is>
          <t>CODI</t>
        </is>
      </c>
    </row>
  </sheetData>
  <mergeCells count="2">
    <mergeCell ref="B3:G3"/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11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6" min="1" max="1"/>
    <col width="40" customWidth="1" style="86" min="2" max="2"/>
    <col width="14" customWidth="1" style="86" min="3" max="3"/>
    <col width="28" customWidth="1" style="86" min="4" max="4"/>
    <col width="14" customWidth="1" style="86" min="5" max="5"/>
    <col width="30" customWidth="1" style="86" min="6" max="6"/>
    <col width="12" customWidth="1" style="86" min="7" max="7"/>
  </cols>
  <sheetData>
    <row r="2">
      <c r="B2" s="130" t="inlineStr">
        <is>
          <t>Contas a Pagar (títulos em aberto)</t>
        </is>
      </c>
    </row>
    <row r="3">
      <c r="B3" s="131" t="inlineStr">
        <is>
          <t>Base real atualizada até 08/2026.</t>
        </is>
      </c>
    </row>
    <row r="5">
      <c r="B5" s="178" t="inlineStr">
        <is>
          <t>Fornecedor</t>
        </is>
      </c>
      <c r="C5" s="178" t="inlineStr">
        <is>
          <t>Vencimento</t>
        </is>
      </c>
      <c r="D5" s="178" t="inlineStr">
        <is>
          <t>Forma de Pagamento</t>
        </is>
      </c>
      <c r="E5" s="178" t="inlineStr">
        <is>
          <t>Valor (R$)</t>
        </is>
      </c>
      <c r="F5" s="178" t="inlineStr">
        <is>
          <t>Descrição</t>
        </is>
      </c>
      <c r="G5" s="178" t="inlineStr">
        <is>
          <t>Status</t>
        </is>
      </c>
    </row>
    <row r="6">
      <c r="B6" s="110" t="inlineStr">
        <is>
          <t>LOJA MEGA MODA PARK 215-216</t>
        </is>
      </c>
      <c r="C6" s="109" t="n">
        <v>45545</v>
      </c>
      <c r="D6" s="110" t="inlineStr">
        <is>
          <t>BOLETO BANCÁRIO</t>
        </is>
      </c>
      <c r="E6" s="111" t="n">
        <v>3885</v>
      </c>
      <c r="F6" s="110" t="inlineStr">
        <is>
          <t>Aluguéis e Condomínios</t>
        </is>
      </c>
      <c r="G6" s="110" t="inlineStr">
        <is>
          <t>A PAGAR</t>
        </is>
      </c>
    </row>
    <row r="7">
      <c r="B7" s="110" t="inlineStr">
        <is>
          <t>DESPESAS VARIAVEIS</t>
        </is>
      </c>
      <c r="C7" s="109" t="n">
        <v>45807</v>
      </c>
      <c r="D7" s="110" t="inlineStr">
        <is>
          <t>PIX ITAU ALV</t>
        </is>
      </c>
      <c r="E7" s="111" t="n">
        <v>50000</v>
      </c>
      <c r="F7" s="110" t="inlineStr">
        <is>
          <t>Outras Despesas</t>
        </is>
      </c>
      <c r="G7" s="110" t="inlineStr">
        <is>
          <t>A PAGAR</t>
        </is>
      </c>
    </row>
    <row r="8">
      <c r="B8" s="110" t="inlineStr">
        <is>
          <t>WESLEI VINICIUS</t>
        </is>
      </c>
      <c r="C8" s="109" t="n">
        <v>45823</v>
      </c>
      <c r="D8" s="110" t="inlineStr">
        <is>
          <t>CHEQUE CLIENTE</t>
        </is>
      </c>
      <c r="E8" s="111" t="n">
        <v>963</v>
      </c>
      <c r="F8" s="110" t="inlineStr">
        <is>
          <t>Tecidos</t>
        </is>
      </c>
      <c r="G8" s="110" t="inlineStr">
        <is>
          <t>A PAGAR</t>
        </is>
      </c>
    </row>
    <row r="9">
      <c r="B9" s="110" t="inlineStr">
        <is>
          <t>LÍDER TECIDOS</t>
        </is>
      </c>
      <c r="C9" s="109" t="n">
        <v>45823</v>
      </c>
      <c r="D9" s="110" t="inlineStr">
        <is>
          <t>CHEQUE CLIENTE</t>
        </is>
      </c>
      <c r="E9" s="111" t="n">
        <v>2020</v>
      </c>
      <c r="F9" s="110" t="inlineStr">
        <is>
          <t>Tecidos</t>
        </is>
      </c>
      <c r="G9" s="110" t="inlineStr">
        <is>
          <t>A PAGAR</t>
        </is>
      </c>
    </row>
    <row r="10">
      <c r="B10" s="110" t="inlineStr">
        <is>
          <t>ROMERONDES - LAVANDERIA</t>
        </is>
      </c>
      <c r="C10" s="109" t="n">
        <v>45823</v>
      </c>
      <c r="D10" s="110" t="inlineStr">
        <is>
          <t>CHEQUE CLIENTE</t>
        </is>
      </c>
      <c r="E10" s="111" t="n">
        <v>631.25</v>
      </c>
      <c r="F10" s="110" t="inlineStr">
        <is>
          <t>Lavanderia</t>
        </is>
      </c>
      <c r="G10" s="110" t="inlineStr">
        <is>
          <t>A PAGAR</t>
        </is>
      </c>
    </row>
    <row r="11">
      <c r="B11" s="110" t="inlineStr">
        <is>
          <t>ORDONES LASER / CELSO - BORDADO</t>
        </is>
      </c>
      <c r="C11" s="109" t="n">
        <v>45823</v>
      </c>
      <c r="D11" s="110" t="inlineStr">
        <is>
          <t>CHEQUE - EMPRESA</t>
        </is>
      </c>
      <c r="E11" s="111" t="n">
        <v>2370</v>
      </c>
      <c r="F11" s="110" t="inlineStr">
        <is>
          <t>Bordado Industrial</t>
        </is>
      </c>
      <c r="G11" s="110" t="inlineStr">
        <is>
          <t>A PAGAR</t>
        </is>
      </c>
    </row>
    <row r="12">
      <c r="B12" s="110" t="inlineStr">
        <is>
          <t>SHEILA ETIQUETAS</t>
        </is>
      </c>
      <c r="C12" s="109" t="n">
        <v>45823</v>
      </c>
      <c r="D12" s="110" t="inlineStr">
        <is>
          <t>CHEQUE CLIENTE</t>
        </is>
      </c>
      <c r="E12" s="111" t="n">
        <v>2088</v>
      </c>
      <c r="F12" s="110" t="inlineStr">
        <is>
          <t>Etiquetas</t>
        </is>
      </c>
      <c r="G12" s="110" t="inlineStr">
        <is>
          <t>A PAGAR</t>
        </is>
      </c>
    </row>
    <row r="13">
      <c r="B13" s="110" t="inlineStr">
        <is>
          <t>SHEILA ETIQUETAS</t>
        </is>
      </c>
      <c r="C13" s="109" t="n">
        <v>45823</v>
      </c>
      <c r="D13" s="110" t="inlineStr">
        <is>
          <t>CHEQUE CLIENTE</t>
        </is>
      </c>
      <c r="E13" s="111" t="n">
        <v>3327.5</v>
      </c>
      <c r="F13" s="110" t="inlineStr">
        <is>
          <t>Etiquetas</t>
        </is>
      </c>
      <c r="G13" s="110" t="inlineStr">
        <is>
          <t>A PAGAR</t>
        </is>
      </c>
    </row>
    <row r="14">
      <c r="B14" s="110" t="inlineStr">
        <is>
          <t>LAVANDERIA AMAZONAS - LEONARDO</t>
        </is>
      </c>
      <c r="C14" s="109" t="n">
        <v>45825</v>
      </c>
      <c r="D14" s="110" t="inlineStr">
        <is>
          <t>CHEQUE CLIENTE</t>
        </is>
      </c>
      <c r="E14" s="111" t="n">
        <v>2400</v>
      </c>
      <c r="F14" s="110" t="inlineStr">
        <is>
          <t>Lavanderia</t>
        </is>
      </c>
      <c r="G14" s="110" t="inlineStr">
        <is>
          <t>A PAGAR</t>
        </is>
      </c>
    </row>
    <row r="15">
      <c r="B15" s="110" t="inlineStr">
        <is>
          <t>WESLEI VINICIUS</t>
        </is>
      </c>
      <c r="C15" s="109" t="n">
        <v>45826</v>
      </c>
      <c r="D15" s="110" t="inlineStr">
        <is>
          <t>CHEQUE CLIENTE</t>
        </is>
      </c>
      <c r="E15" s="111" t="n">
        <v>1726.66</v>
      </c>
      <c r="F15" s="110" t="inlineStr">
        <is>
          <t>Tecidos</t>
        </is>
      </c>
      <c r="G15" s="110" t="inlineStr">
        <is>
          <t>A PAGAR</t>
        </is>
      </c>
    </row>
    <row r="16">
      <c r="B16" s="110" t="inlineStr">
        <is>
          <t>LÍDER TECIDOS</t>
        </is>
      </c>
      <c r="C16" s="109" t="n">
        <v>45828</v>
      </c>
      <c r="D16" s="110" t="inlineStr">
        <is>
          <t>CHEQUE CLIENTE</t>
        </is>
      </c>
      <c r="E16" s="111" t="n">
        <v>870</v>
      </c>
      <c r="F16" s="110" t="inlineStr">
        <is>
          <t>Tecidos</t>
        </is>
      </c>
      <c r="G16" s="110" t="inlineStr">
        <is>
          <t>A PAGAR</t>
        </is>
      </c>
    </row>
    <row r="17">
      <c r="B17" s="110" t="inlineStr">
        <is>
          <t>WESLEI VINICIUS</t>
        </is>
      </c>
      <c r="C17" s="109" t="n">
        <v>45832</v>
      </c>
      <c r="D17" s="110" t="inlineStr">
        <is>
          <t>CHEQUE CLIENTE</t>
        </is>
      </c>
      <c r="E17" s="111" t="n">
        <v>963</v>
      </c>
      <c r="F17" s="110" t="inlineStr">
        <is>
          <t>Tecidos</t>
        </is>
      </c>
      <c r="G17" s="110" t="inlineStr">
        <is>
          <t>A PAGAR</t>
        </is>
      </c>
    </row>
    <row r="18">
      <c r="B18" s="110" t="inlineStr">
        <is>
          <t>ROMERONDES - LAVANDERIA</t>
        </is>
      </c>
      <c r="C18" s="109" t="n">
        <v>45833</v>
      </c>
      <c r="D18" s="110" t="inlineStr">
        <is>
          <t>CHEQUE CLIENTE</t>
        </is>
      </c>
      <c r="E18" s="111" t="n">
        <v>1200</v>
      </c>
      <c r="F18" s="110" t="inlineStr">
        <is>
          <t>Lavanderia</t>
        </is>
      </c>
      <c r="G18" s="110" t="inlineStr">
        <is>
          <t>A PAGAR</t>
        </is>
      </c>
    </row>
    <row r="19">
      <c r="B19" s="110" t="inlineStr">
        <is>
          <t>SHEILA ETIQUETAS</t>
        </is>
      </c>
      <c r="C19" s="109" t="n">
        <v>45833</v>
      </c>
      <c r="D19" s="110" t="inlineStr">
        <is>
          <t>CHEQUE CLIENTE</t>
        </is>
      </c>
      <c r="E19" s="111" t="n">
        <v>1500</v>
      </c>
      <c r="F19" s="110" t="inlineStr">
        <is>
          <t>Lavanderia</t>
        </is>
      </c>
      <c r="G19" s="110" t="inlineStr">
        <is>
          <t>A PAGAR</t>
        </is>
      </c>
    </row>
    <row r="20">
      <c r="B20" s="110" t="inlineStr">
        <is>
          <t>LÍDER TECIDOS</t>
        </is>
      </c>
      <c r="C20" s="109" t="n">
        <v>45836</v>
      </c>
      <c r="D20" s="110" t="inlineStr">
        <is>
          <t>CHEQUE CLIENTE</t>
        </is>
      </c>
      <c r="E20" s="111" t="n">
        <v>870</v>
      </c>
      <c r="F20" s="110" t="inlineStr">
        <is>
          <t>Tecidos</t>
        </is>
      </c>
      <c r="G20" s="110" t="inlineStr">
        <is>
          <t>A PAGAR</t>
        </is>
      </c>
    </row>
    <row r="21">
      <c r="B21" s="110" t="inlineStr">
        <is>
          <t>DESPESAS VARIAVEIS</t>
        </is>
      </c>
      <c r="C21" s="109" t="n">
        <v>45838</v>
      </c>
      <c r="D21" s="110" t="inlineStr">
        <is>
          <t>PIX ITAU ALV</t>
        </is>
      </c>
      <c r="E21" s="111" t="n">
        <v>50000</v>
      </c>
      <c r="F21" s="110" t="inlineStr">
        <is>
          <t>Outras Despesas</t>
        </is>
      </c>
      <c r="G21" s="110" t="inlineStr">
        <is>
          <t>A PAGAR</t>
        </is>
      </c>
    </row>
    <row r="22">
      <c r="B22" s="110" t="inlineStr">
        <is>
          <t>LÍDER TECIDOS</t>
        </is>
      </c>
      <c r="C22" s="109" t="n">
        <v>45853</v>
      </c>
      <c r="D22" s="110" t="inlineStr">
        <is>
          <t>CHEQUE CLIENTE</t>
        </is>
      </c>
      <c r="E22" s="111" t="n">
        <v>2020</v>
      </c>
      <c r="F22" s="110" t="inlineStr">
        <is>
          <t>Tecidos</t>
        </is>
      </c>
      <c r="G22" s="110" t="inlineStr">
        <is>
          <t>A PAGAR</t>
        </is>
      </c>
    </row>
    <row r="23">
      <c r="B23" s="110" t="inlineStr">
        <is>
          <t>SHEILA ETIQUETAS</t>
        </is>
      </c>
      <c r="C23" s="109" t="n">
        <v>45853</v>
      </c>
      <c r="D23" s="110" t="inlineStr">
        <is>
          <t>CHEQUE CLIENTE</t>
        </is>
      </c>
      <c r="E23" s="111" t="n">
        <v>2088</v>
      </c>
      <c r="F23" s="110" t="inlineStr">
        <is>
          <t>Etiquetas</t>
        </is>
      </c>
      <c r="G23" s="110" t="inlineStr">
        <is>
          <t>A PAGAR</t>
        </is>
      </c>
    </row>
    <row r="24">
      <c r="B24" s="110" t="inlineStr">
        <is>
          <t>BLESSED LAVANDERIA</t>
        </is>
      </c>
      <c r="C24" s="109" t="n">
        <v>45853</v>
      </c>
      <c r="D24" s="110" t="inlineStr">
        <is>
          <t>CHEQUE CLIENTE</t>
        </is>
      </c>
      <c r="E24" s="111" t="n">
        <v>631.25</v>
      </c>
      <c r="F24" s="110" t="inlineStr">
        <is>
          <t>Lavanderia</t>
        </is>
      </c>
      <c r="G24" s="110" t="inlineStr">
        <is>
          <t>A PAGAR</t>
        </is>
      </c>
    </row>
    <row r="25">
      <c r="B25" s="110" t="inlineStr">
        <is>
          <t>SHEILA ETIQUETAS</t>
        </is>
      </c>
      <c r="C25" s="109" t="n">
        <v>45853</v>
      </c>
      <c r="D25" s="110" t="inlineStr">
        <is>
          <t>CHEQUE CLIENTE</t>
        </is>
      </c>
      <c r="E25" s="111" t="n">
        <v>3327.5</v>
      </c>
      <c r="F25" s="110" t="inlineStr">
        <is>
          <t>Etiquetas</t>
        </is>
      </c>
      <c r="G25" s="110" t="inlineStr">
        <is>
          <t>A PAGAR</t>
        </is>
      </c>
    </row>
    <row r="26">
      <c r="B26" s="110" t="inlineStr">
        <is>
          <t>LAVANDERIA AMAZONAS - LEONARDO</t>
        </is>
      </c>
      <c r="C26" s="109" t="n">
        <v>45853</v>
      </c>
      <c r="D26" s="110" t="inlineStr">
        <is>
          <t>CHEQUE CLIENTE</t>
        </is>
      </c>
      <c r="E26" s="111" t="n">
        <v>330</v>
      </c>
      <c r="F26" s="110" t="inlineStr">
        <is>
          <t>Lavanderia</t>
        </is>
      </c>
      <c r="G26" s="110" t="inlineStr">
        <is>
          <t>A PAGAR</t>
        </is>
      </c>
    </row>
    <row r="27">
      <c r="B27" s="110" t="inlineStr">
        <is>
          <t>ROMERONDES - LAVANDERIA</t>
        </is>
      </c>
      <c r="C27" s="109" t="n">
        <v>45855</v>
      </c>
      <c r="D27" s="110" t="inlineStr">
        <is>
          <t>CHEQUE CLIENTE</t>
        </is>
      </c>
      <c r="E27" s="111" t="n">
        <v>2470</v>
      </c>
      <c r="F27" s="110" t="inlineStr">
        <is>
          <t>Lavanderia</t>
        </is>
      </c>
      <c r="G27" s="110" t="inlineStr">
        <is>
          <t>A PAGAR</t>
        </is>
      </c>
    </row>
    <row r="28">
      <c r="B28" s="110" t="inlineStr">
        <is>
          <t>WESLEI VINICIUS</t>
        </is>
      </c>
      <c r="C28" s="109" t="n">
        <v>45856</v>
      </c>
      <c r="D28" s="110" t="inlineStr">
        <is>
          <t>CHEQUE CLIENTE</t>
        </is>
      </c>
      <c r="E28" s="111" t="n">
        <v>1726.66</v>
      </c>
      <c r="F28" s="110" t="inlineStr">
        <is>
          <t>Tecidos</t>
        </is>
      </c>
      <c r="G28" s="110" t="inlineStr">
        <is>
          <t>A PAGAR</t>
        </is>
      </c>
    </row>
    <row r="29">
      <c r="B29" s="110" t="inlineStr">
        <is>
          <t>ROMERONDES - LAVANDERIA</t>
        </is>
      </c>
      <c r="C29" s="109" t="n">
        <v>45863</v>
      </c>
      <c r="D29" s="110" t="inlineStr">
        <is>
          <t>CHEQUE CLIENTE</t>
        </is>
      </c>
      <c r="E29" s="111" t="n">
        <v>1200</v>
      </c>
      <c r="F29" s="110" t="inlineStr">
        <is>
          <t>Lavanderia</t>
        </is>
      </c>
      <c r="G29" s="110" t="inlineStr">
        <is>
          <t>A PAGAR</t>
        </is>
      </c>
    </row>
    <row r="30">
      <c r="B30" s="110" t="inlineStr">
        <is>
          <t>LAVANDERIA AMAZONAS - LEONARDO</t>
        </is>
      </c>
      <c r="C30" s="109" t="n">
        <v>45863</v>
      </c>
      <c r="D30" s="110" t="inlineStr">
        <is>
          <t>CHEQUE CLIENTE</t>
        </is>
      </c>
      <c r="E30" s="111" t="n">
        <v>1500</v>
      </c>
      <c r="F30" s="110" t="inlineStr">
        <is>
          <t>Lavanderia</t>
        </is>
      </c>
      <c r="G30" s="110" t="inlineStr">
        <is>
          <t>A PAGAR</t>
        </is>
      </c>
    </row>
    <row r="31">
      <c r="B31" s="110" t="inlineStr">
        <is>
          <t>VENCIMENTO FATURA DO CARTÃO</t>
        </is>
      </c>
      <c r="C31" s="109" t="n">
        <v>45866</v>
      </c>
      <c r="D31" s="110" t="inlineStr">
        <is>
          <t>CARTÃO DE CRÉDITO</t>
        </is>
      </c>
      <c r="E31" s="111" t="n">
        <v>0.5</v>
      </c>
      <c r="F31" s="110" t="inlineStr">
        <is>
          <t>Outros Insumos</t>
        </is>
      </c>
      <c r="G31" s="110" t="inlineStr">
        <is>
          <t>A PAGAR</t>
        </is>
      </c>
    </row>
    <row r="32">
      <c r="B32" s="110" t="inlineStr">
        <is>
          <t>LAVANDERIA AMAZONAS - LEONARDO</t>
        </is>
      </c>
      <c r="C32" s="109" t="n">
        <v>45866</v>
      </c>
      <c r="D32" s="110" t="inlineStr">
        <is>
          <t>CHEQUE CLIENTE</t>
        </is>
      </c>
      <c r="E32" s="111" t="n">
        <v>3065</v>
      </c>
      <c r="F32" s="110" t="inlineStr">
        <is>
          <t>Lavanderia</t>
        </is>
      </c>
      <c r="G32" s="110" t="inlineStr">
        <is>
          <t>A PAGAR</t>
        </is>
      </c>
    </row>
    <row r="33">
      <c r="B33" s="110" t="inlineStr">
        <is>
          <t>DESPESAS VARIAVEIS</t>
        </is>
      </c>
      <c r="C33" s="109" t="n">
        <v>45869</v>
      </c>
      <c r="D33" s="110" t="inlineStr">
        <is>
          <t>PIX ITAU ALV</t>
        </is>
      </c>
      <c r="E33" s="111" t="n">
        <v>50000</v>
      </c>
      <c r="F33" s="110" t="inlineStr">
        <is>
          <t>Outras Despesas</t>
        </is>
      </c>
      <c r="G33" s="110" t="inlineStr">
        <is>
          <t>A PAGAR</t>
        </is>
      </c>
    </row>
    <row r="34">
      <c r="B34" s="110" t="inlineStr">
        <is>
          <t>WESLEI VINICIUS</t>
        </is>
      </c>
      <c r="C34" s="109" t="n">
        <v>45869</v>
      </c>
      <c r="D34" s="110" t="inlineStr">
        <is>
          <t>CHEQUE CLIENTE</t>
        </is>
      </c>
      <c r="E34" s="111" t="n">
        <v>964</v>
      </c>
      <c r="F34" s="110" t="inlineStr">
        <is>
          <t>Tecidos</t>
        </is>
      </c>
      <c r="G34" s="110" t="inlineStr">
        <is>
          <t>A PAGAR</t>
        </is>
      </c>
    </row>
    <row r="35">
      <c r="B35" s="110" t="inlineStr">
        <is>
          <t>DORÍ JARAGUÁ-TRAVETE</t>
        </is>
      </c>
      <c r="C35" s="109" t="n">
        <v>45873</v>
      </c>
      <c r="D35" s="110" t="inlineStr">
        <is>
          <t>PIX ITAU ALV</t>
        </is>
      </c>
      <c r="E35" s="111" t="n">
        <v>160</v>
      </c>
      <c r="F35" s="110" t="inlineStr">
        <is>
          <t>Travete</t>
        </is>
      </c>
      <c r="G35" s="110" t="inlineStr">
        <is>
          <t>A PAGAR</t>
        </is>
      </c>
    </row>
    <row r="36">
      <c r="B36" s="110" t="inlineStr">
        <is>
          <t>JUNIOR FACÇÃO</t>
        </is>
      </c>
      <c r="C36" s="109" t="n">
        <v>45873</v>
      </c>
      <c r="D36" s="110" t="inlineStr">
        <is>
          <t>PIX ITAU ALV</t>
        </is>
      </c>
      <c r="E36" s="111" t="n">
        <v>3080</v>
      </c>
      <c r="F36" s="110" t="inlineStr">
        <is>
          <t>Facção</t>
        </is>
      </c>
      <c r="G36" s="110" t="inlineStr">
        <is>
          <t>A PAGAR</t>
        </is>
      </c>
    </row>
    <row r="37">
      <c r="B37" s="110" t="inlineStr">
        <is>
          <t>ADRIANO-TRAVETE</t>
        </is>
      </c>
      <c r="C37" s="109" t="n">
        <v>45874</v>
      </c>
      <c r="D37" s="110" t="inlineStr">
        <is>
          <t>PIX ITAU ALV</t>
        </is>
      </c>
      <c r="E37" s="111" t="n">
        <v>624</v>
      </c>
      <c r="F37" s="110" t="inlineStr">
        <is>
          <t>Travete</t>
        </is>
      </c>
      <c r="G37" s="110" t="inlineStr">
        <is>
          <t>A PAGAR</t>
        </is>
      </c>
    </row>
    <row r="38">
      <c r="B38" s="110" t="inlineStr">
        <is>
          <t>ADRIANO-TRAVETE</t>
        </is>
      </c>
      <c r="C38" s="109" t="n">
        <v>45874</v>
      </c>
      <c r="D38" s="110" t="inlineStr">
        <is>
          <t>PIX ITAU ALV</t>
        </is>
      </c>
      <c r="E38" s="111" t="n">
        <v>350</v>
      </c>
      <c r="F38" s="110" t="inlineStr">
        <is>
          <t>Travete</t>
        </is>
      </c>
      <c r="G38" s="110" t="inlineStr">
        <is>
          <t>A PAGAR</t>
        </is>
      </c>
    </row>
    <row r="39">
      <c r="B39" s="110" t="inlineStr">
        <is>
          <t>LUCAS/ CONTADOR</t>
        </is>
      </c>
      <c r="C39" s="109" t="n">
        <v>45879</v>
      </c>
      <c r="D39" s="110" t="inlineStr">
        <is>
          <t>PIX ITAU ALV</t>
        </is>
      </c>
      <c r="E39" s="111" t="n">
        <v>1100</v>
      </c>
      <c r="F39" s="110" t="inlineStr">
        <is>
          <t>Honorários Contábeis (Contabilidade)</t>
        </is>
      </c>
      <c r="G39" s="110" t="inlineStr">
        <is>
          <t>A PAGAR</t>
        </is>
      </c>
    </row>
    <row r="40">
      <c r="B40" s="110" t="inlineStr">
        <is>
          <t>ISMAEL LELIO-FACÇÃO</t>
        </is>
      </c>
      <c r="C40" s="109" t="n">
        <v>45880</v>
      </c>
      <c r="D40" s="110" t="inlineStr">
        <is>
          <t>PIX ITAU ALV</t>
        </is>
      </c>
      <c r="E40" s="111" t="n">
        <v>2520</v>
      </c>
      <c r="F40" s="110" t="inlineStr">
        <is>
          <t>Facção</t>
        </is>
      </c>
      <c r="G40" s="110" t="inlineStr">
        <is>
          <t>A PAGAR</t>
        </is>
      </c>
    </row>
    <row r="41">
      <c r="B41" s="110" t="inlineStr">
        <is>
          <t>LÍDER TECIDOS</t>
        </is>
      </c>
      <c r="C41" s="109" t="n">
        <v>45884</v>
      </c>
      <c r="D41" s="110" t="inlineStr">
        <is>
          <t>CHEQUE CLIENTE</t>
        </is>
      </c>
      <c r="E41" s="111" t="n">
        <v>2020</v>
      </c>
      <c r="F41" s="110" t="inlineStr">
        <is>
          <t>Tecidos</t>
        </is>
      </c>
      <c r="G41" s="110" t="inlineStr">
        <is>
          <t>A PAGAR</t>
        </is>
      </c>
    </row>
    <row r="42">
      <c r="B42" s="110" t="inlineStr">
        <is>
          <t>LÍDER TECIDOS</t>
        </is>
      </c>
      <c r="C42" s="109" t="n">
        <v>45884</v>
      </c>
      <c r="D42" s="110" t="inlineStr">
        <is>
          <t>CHEQUE CLIENTE</t>
        </is>
      </c>
      <c r="E42" s="111" t="n">
        <v>3327.5</v>
      </c>
      <c r="F42" s="110" t="inlineStr">
        <is>
          <t>Tecidos</t>
        </is>
      </c>
      <c r="G42" s="110" t="inlineStr">
        <is>
          <t>A PAGAR</t>
        </is>
      </c>
    </row>
    <row r="43">
      <c r="B43" s="110" t="inlineStr">
        <is>
          <t>ROMERONDES - LAVANDERIA</t>
        </is>
      </c>
      <c r="C43" s="109" t="n">
        <v>45884</v>
      </c>
      <c r="D43" s="110" t="inlineStr">
        <is>
          <t>CHEQUE CLIENTE</t>
        </is>
      </c>
      <c r="E43" s="111" t="n">
        <v>631.25</v>
      </c>
      <c r="F43" s="110" t="inlineStr">
        <is>
          <t>Lavanderia</t>
        </is>
      </c>
      <c r="G43" s="110" t="inlineStr">
        <is>
          <t>A PAGAR</t>
        </is>
      </c>
    </row>
    <row r="44">
      <c r="B44" s="110" t="inlineStr">
        <is>
          <t>LAVANDERIA AMAZONAS - LEONARDO</t>
        </is>
      </c>
      <c r="C44" s="109" t="n">
        <v>45884</v>
      </c>
      <c r="D44" s="110" t="inlineStr">
        <is>
          <t>CHEQUE CLIENTE</t>
        </is>
      </c>
      <c r="E44" s="111" t="n">
        <v>2400</v>
      </c>
      <c r="F44" s="110" t="inlineStr">
        <is>
          <t>Lavanderia</t>
        </is>
      </c>
      <c r="G44" s="110" t="inlineStr">
        <is>
          <t>A PAGAR</t>
        </is>
      </c>
    </row>
    <row r="45">
      <c r="B45" s="110" t="inlineStr">
        <is>
          <t>LAVANDERIA AMAZONAS - LEONARDO</t>
        </is>
      </c>
      <c r="C45" s="109" t="n">
        <v>45884</v>
      </c>
      <c r="D45" s="110" t="inlineStr">
        <is>
          <t>CHEQUE CLIENTE</t>
        </is>
      </c>
      <c r="E45" s="111" t="n">
        <v>330</v>
      </c>
      <c r="F45" s="110" t="inlineStr">
        <is>
          <t>Lavanderia</t>
        </is>
      </c>
      <c r="G45" s="110" t="inlineStr">
        <is>
          <t>A PAGAR</t>
        </is>
      </c>
    </row>
    <row r="46">
      <c r="B46" s="110" t="inlineStr">
        <is>
          <t>WESLEI VINICIUS</t>
        </is>
      </c>
      <c r="C46" s="109" t="n">
        <v>45887</v>
      </c>
      <c r="D46" s="110" t="inlineStr">
        <is>
          <t>CHEQUE CLIENTE</t>
        </is>
      </c>
      <c r="E46" s="111" t="n">
        <v>1726.66</v>
      </c>
      <c r="F46" s="110" t="inlineStr">
        <is>
          <t>Tecidos</t>
        </is>
      </c>
      <c r="G46" s="110" t="inlineStr">
        <is>
          <t>A PAGAR</t>
        </is>
      </c>
    </row>
    <row r="47">
      <c r="B47" s="110" t="inlineStr">
        <is>
          <t>LÍDER TECIDOS</t>
        </is>
      </c>
      <c r="C47" s="109" t="n">
        <v>45894</v>
      </c>
      <c r="D47" s="110" t="inlineStr">
        <is>
          <t>CHEQUE CLIENTE</t>
        </is>
      </c>
      <c r="E47" s="111" t="n">
        <v>1215</v>
      </c>
      <c r="F47" s="110" t="inlineStr">
        <is>
          <t>Tecidos</t>
        </is>
      </c>
      <c r="G47" s="110" t="inlineStr">
        <is>
          <t>A PAGAR</t>
        </is>
      </c>
    </row>
    <row r="48">
      <c r="B48" s="110" t="inlineStr">
        <is>
          <t>SHEILA ETIQUETAS</t>
        </is>
      </c>
      <c r="C48" s="109" t="n">
        <v>45894</v>
      </c>
      <c r="D48" s="110" t="inlineStr">
        <is>
          <t>CHEQUE CLIENTE</t>
        </is>
      </c>
      <c r="E48" s="111" t="n">
        <v>1500</v>
      </c>
      <c r="F48" s="110" t="inlineStr">
        <is>
          <t>Lavanderia</t>
        </is>
      </c>
      <c r="G48" s="110" t="inlineStr">
        <is>
          <t>A PAGAR</t>
        </is>
      </c>
    </row>
    <row r="49">
      <c r="B49" s="110" t="inlineStr">
        <is>
          <t>LÍDER TECIDOS</t>
        </is>
      </c>
      <c r="C49" s="109" t="n">
        <v>45896</v>
      </c>
      <c r="D49" s="110" t="inlineStr">
        <is>
          <t>CHEQUE CLIENTE</t>
        </is>
      </c>
      <c r="E49" s="111" t="n">
        <v>1648.33</v>
      </c>
      <c r="F49" s="110" t="inlineStr">
        <is>
          <t>Tecidos</t>
        </is>
      </c>
      <c r="G49" s="110" t="inlineStr">
        <is>
          <t>A PAGAR</t>
        </is>
      </c>
    </row>
    <row r="50">
      <c r="B50" s="110" t="inlineStr">
        <is>
          <t>LÍDER TECIDOS</t>
        </is>
      </c>
      <c r="C50" s="109" t="n">
        <v>45897</v>
      </c>
      <c r="D50" s="110" t="inlineStr">
        <is>
          <t>CHEQUE CLIENTE</t>
        </is>
      </c>
      <c r="E50" s="111" t="n">
        <v>1742.5</v>
      </c>
      <c r="F50" s="110" t="inlineStr">
        <is>
          <t>Tecidos</t>
        </is>
      </c>
      <c r="G50" s="110" t="inlineStr">
        <is>
          <t>A PAGAR</t>
        </is>
      </c>
    </row>
    <row r="51">
      <c r="B51" s="110" t="inlineStr">
        <is>
          <t>SHEILA ETIQUETAS</t>
        </is>
      </c>
      <c r="C51" s="109" t="n">
        <v>45897</v>
      </c>
      <c r="D51" s="110" t="inlineStr">
        <is>
          <t>CHEQUE CLIENTE</t>
        </is>
      </c>
      <c r="E51" s="111" t="n">
        <v>3065</v>
      </c>
      <c r="F51" s="110" t="inlineStr">
        <is>
          <t>Etiquetas</t>
        </is>
      </c>
      <c r="G51" s="110" t="inlineStr">
        <is>
          <t>A PAGAR</t>
        </is>
      </c>
    </row>
    <row r="52">
      <c r="B52" s="110" t="inlineStr">
        <is>
          <t>DESPESAS VARIAVEIS</t>
        </is>
      </c>
      <c r="C52" s="109" t="n">
        <v>45900</v>
      </c>
      <c r="D52" s="110" t="inlineStr">
        <is>
          <t>PIX ITAU ALV</t>
        </is>
      </c>
      <c r="E52" s="111" t="n">
        <v>50000</v>
      </c>
      <c r="F52" s="110" t="inlineStr">
        <is>
          <t>Outras Despesas</t>
        </is>
      </c>
      <c r="G52" s="110" t="inlineStr">
        <is>
          <t>A PAGAR</t>
        </is>
      </c>
    </row>
    <row r="53">
      <c r="B53" s="110" t="inlineStr">
        <is>
          <t>RAFAEL FACÇÃO</t>
        </is>
      </c>
      <c r="C53" s="109" t="n">
        <v>45901</v>
      </c>
      <c r="D53" s="110" t="inlineStr">
        <is>
          <t>PIX ITAU ALV</t>
        </is>
      </c>
      <c r="E53" s="111" t="n">
        <v>1210</v>
      </c>
      <c r="F53" s="110" t="inlineStr">
        <is>
          <t>Facção</t>
        </is>
      </c>
      <c r="G53" s="110" t="inlineStr">
        <is>
          <t>A PAGAR</t>
        </is>
      </c>
    </row>
    <row r="54">
      <c r="B54" s="110" t="inlineStr">
        <is>
          <t>ORDONES LASER / CELSO - BORDADO</t>
        </is>
      </c>
      <c r="C54" s="109" t="n">
        <v>45911</v>
      </c>
      <c r="D54" s="110" t="inlineStr">
        <is>
          <t>CHEQUE CLIENTE</t>
        </is>
      </c>
      <c r="E54" s="111" t="n">
        <v>2083.75</v>
      </c>
      <c r="F54" s="110" t="inlineStr">
        <is>
          <t>Bordado Industrial</t>
        </is>
      </c>
      <c r="G54" s="110" t="inlineStr">
        <is>
          <t>A PAGAR</t>
        </is>
      </c>
    </row>
    <row r="55">
      <c r="B55" s="110" t="inlineStr">
        <is>
          <t>LÍDER TECIDOS</t>
        </is>
      </c>
      <c r="C55" s="109" t="n">
        <v>45912</v>
      </c>
      <c r="D55" s="110" t="inlineStr">
        <is>
          <t>CHEQUE CLIENTE</t>
        </is>
      </c>
      <c r="E55" s="111" t="n">
        <v>1465</v>
      </c>
      <c r="F55" s="110" t="inlineStr">
        <is>
          <t>Aviamento</t>
        </is>
      </c>
      <c r="G55" s="110" t="inlineStr">
        <is>
          <t>A PAGAR</t>
        </is>
      </c>
    </row>
    <row r="56">
      <c r="B56" s="110" t="inlineStr">
        <is>
          <t>LÍDER TECIDOS</t>
        </is>
      </c>
      <c r="C56" s="109" t="n">
        <v>45915</v>
      </c>
      <c r="D56" s="110" t="inlineStr">
        <is>
          <t>CHEQUE CLIENTE</t>
        </is>
      </c>
      <c r="E56" s="111" t="n">
        <v>3327.5</v>
      </c>
      <c r="F56" s="110" t="inlineStr">
        <is>
          <t>Tecidos</t>
        </is>
      </c>
      <c r="G56" s="110" t="inlineStr">
        <is>
          <t>A PAGAR</t>
        </is>
      </c>
    </row>
    <row r="57">
      <c r="B57" s="110" t="inlineStr">
        <is>
          <t>ADRIANO-FACÇÃO</t>
        </is>
      </c>
      <c r="C57" s="109" t="n">
        <v>45915</v>
      </c>
      <c r="D57" s="110" t="inlineStr">
        <is>
          <t>PIX ITAU ALV</t>
        </is>
      </c>
      <c r="E57" s="111" t="n">
        <v>1870</v>
      </c>
      <c r="F57" s="110" t="inlineStr">
        <is>
          <t>Facção</t>
        </is>
      </c>
      <c r="G57" s="110" t="inlineStr">
        <is>
          <t>A PAGAR</t>
        </is>
      </c>
    </row>
    <row r="58">
      <c r="B58" s="110" t="inlineStr">
        <is>
          <t>LAVANDERIA AMAZONAS - LEONARDO</t>
        </is>
      </c>
      <c r="C58" s="109" t="n">
        <v>45915</v>
      </c>
      <c r="D58" s="110" t="inlineStr">
        <is>
          <t>CHEQUE CLIENTE</t>
        </is>
      </c>
      <c r="E58" s="111" t="n">
        <v>631.25</v>
      </c>
      <c r="F58" s="110" t="inlineStr">
        <is>
          <t>Lavanderia</t>
        </is>
      </c>
      <c r="G58" s="110" t="inlineStr">
        <is>
          <t>A PAGAR</t>
        </is>
      </c>
    </row>
    <row r="59">
      <c r="B59" s="110" t="inlineStr">
        <is>
          <t>SHEILA ETIQUETAS</t>
        </is>
      </c>
      <c r="C59" s="109" t="n">
        <v>45915</v>
      </c>
      <c r="D59" s="110" t="inlineStr">
        <is>
          <t>CHEQUE CLIENTE</t>
        </is>
      </c>
      <c r="E59" s="111" t="n">
        <v>1880</v>
      </c>
      <c r="F59" s="110" t="inlineStr">
        <is>
          <t>Etiquetas</t>
        </is>
      </c>
      <c r="G59" s="110" t="inlineStr">
        <is>
          <t>A PAGAR</t>
        </is>
      </c>
    </row>
    <row r="60">
      <c r="B60" s="110" t="inlineStr">
        <is>
          <t>LAVANDERIA AMAZONAS - LEONARDO</t>
        </is>
      </c>
      <c r="C60" s="109" t="n">
        <v>45915</v>
      </c>
      <c r="D60" s="110" t="inlineStr">
        <is>
          <t>CHEQUE CLIENTE</t>
        </is>
      </c>
      <c r="E60" s="111" t="n">
        <v>330</v>
      </c>
      <c r="F60" s="110" t="inlineStr">
        <is>
          <t>Lavanderia</t>
        </is>
      </c>
      <c r="G60" s="110" t="inlineStr">
        <is>
          <t>A PAGAR</t>
        </is>
      </c>
    </row>
    <row r="61">
      <c r="B61" s="110" t="inlineStr">
        <is>
          <t>LÍDER TECIDOS</t>
        </is>
      </c>
      <c r="C61" s="109" t="n">
        <v>45920</v>
      </c>
      <c r="D61" s="110" t="inlineStr">
        <is>
          <t>CHEQUE CLIENTE</t>
        </is>
      </c>
      <c r="E61" s="111" t="n">
        <v>2151</v>
      </c>
      <c r="F61" s="110" t="inlineStr">
        <is>
          <t>Tecidos</t>
        </is>
      </c>
      <c r="G61" s="110" t="inlineStr">
        <is>
          <t>A PAGAR</t>
        </is>
      </c>
    </row>
    <row r="62">
      <c r="B62" s="110" t="inlineStr">
        <is>
          <t>LÍDER TECIDOS</t>
        </is>
      </c>
      <c r="C62" s="109" t="n">
        <v>45922</v>
      </c>
      <c r="D62" s="110" t="inlineStr">
        <is>
          <t>CHEQUE CLIENTE</t>
        </is>
      </c>
      <c r="E62" s="111" t="n">
        <v>1742.5</v>
      </c>
      <c r="F62" s="110" t="inlineStr">
        <is>
          <t>Tecidos</t>
        </is>
      </c>
      <c r="G62" s="110" t="inlineStr">
        <is>
          <t>A PAGAR</t>
        </is>
      </c>
    </row>
    <row r="63">
      <c r="B63" s="110" t="inlineStr">
        <is>
          <t>ORDONES LASER / CELSO - BORDADO</t>
        </is>
      </c>
      <c r="C63" s="109" t="n">
        <v>45925</v>
      </c>
      <c r="D63" s="110" t="inlineStr">
        <is>
          <t>CHEQUE CLIENTE</t>
        </is>
      </c>
      <c r="E63" s="111" t="n">
        <v>3250</v>
      </c>
      <c r="F63" s="110" t="inlineStr">
        <is>
          <t>Bordado Industrial</t>
        </is>
      </c>
      <c r="G63" s="110" t="inlineStr">
        <is>
          <t>A PAGAR</t>
        </is>
      </c>
    </row>
    <row r="64">
      <c r="B64" s="110" t="inlineStr">
        <is>
          <t>ROMERONDES - LAVANDERIA</t>
        </is>
      </c>
      <c r="C64" s="109" t="n">
        <v>45925</v>
      </c>
      <c r="D64" s="110" t="inlineStr">
        <is>
          <t>CHEQUE CLIENTE</t>
        </is>
      </c>
      <c r="E64" s="111" t="n">
        <v>2500</v>
      </c>
      <c r="F64" s="110" t="inlineStr">
        <is>
          <t>Lavanderia</t>
        </is>
      </c>
      <c r="G64" s="110" t="inlineStr">
        <is>
          <t>A PAGAR</t>
        </is>
      </c>
    </row>
    <row r="65">
      <c r="B65" s="110" t="inlineStr">
        <is>
          <t>ORDONES LASER / CELSO - BORDADO</t>
        </is>
      </c>
      <c r="C65" s="109" t="n">
        <v>45926</v>
      </c>
      <c r="D65" s="110" t="inlineStr">
        <is>
          <t>CHEQUE CLIENTE</t>
        </is>
      </c>
      <c r="E65" s="111" t="n">
        <v>692</v>
      </c>
      <c r="F65" s="110" t="inlineStr">
        <is>
          <t>Bordado Industrial</t>
        </is>
      </c>
      <c r="G65" s="110" t="inlineStr">
        <is>
          <t>A PAGAR</t>
        </is>
      </c>
    </row>
    <row r="66">
      <c r="B66" s="110" t="inlineStr">
        <is>
          <t>LÍDER TECIDOS</t>
        </is>
      </c>
      <c r="C66" s="109" t="n">
        <v>45927</v>
      </c>
      <c r="D66" s="110" t="inlineStr">
        <is>
          <t>CHEQUE CLIENTE</t>
        </is>
      </c>
      <c r="E66" s="111" t="n">
        <v>1648.33</v>
      </c>
      <c r="F66" s="110" t="inlineStr">
        <is>
          <t>Tecidos</t>
        </is>
      </c>
      <c r="G66" s="110" t="inlineStr">
        <is>
          <t>A PAGAR</t>
        </is>
      </c>
    </row>
    <row r="67">
      <c r="B67" s="110" t="inlineStr">
        <is>
          <t>LAVANDERIA AMAZONAS - LEONARDO</t>
        </is>
      </c>
      <c r="C67" s="109" t="n">
        <v>45928</v>
      </c>
      <c r="D67" s="110" t="inlineStr">
        <is>
          <t>CHEQUE CLIENTE</t>
        </is>
      </c>
      <c r="E67" s="111" t="n">
        <v>3065</v>
      </c>
      <c r="F67" s="110" t="inlineStr">
        <is>
          <t>Lavanderia</t>
        </is>
      </c>
      <c r="G67" s="110" t="inlineStr">
        <is>
          <t>A PAGAR</t>
        </is>
      </c>
    </row>
    <row r="68">
      <c r="B68" s="110" t="inlineStr">
        <is>
          <t>BLESSED LAVANDERIA</t>
        </is>
      </c>
      <c r="C68" s="109" t="n">
        <v>45929</v>
      </c>
      <c r="D68" s="110" t="inlineStr">
        <is>
          <t>CHEQUE CLIENTE</t>
        </is>
      </c>
      <c r="E68" s="111" t="n">
        <v>1465</v>
      </c>
      <c r="F68" s="110" t="inlineStr">
        <is>
          <t>Lavanderia</t>
        </is>
      </c>
      <c r="G68" s="110" t="inlineStr">
        <is>
          <t>A PAGAR</t>
        </is>
      </c>
    </row>
    <row r="69">
      <c r="B69" s="110" t="inlineStr">
        <is>
          <t>SHEILA ETIQUETAS</t>
        </is>
      </c>
      <c r="C69" s="109" t="n">
        <v>45929</v>
      </c>
      <c r="D69" s="110" t="inlineStr">
        <is>
          <t>CHEQUE CLIENTE</t>
        </is>
      </c>
      <c r="E69" s="111" t="n">
        <v>1333</v>
      </c>
      <c r="F69" s="110" t="inlineStr">
        <is>
          <t>Etiquetas</t>
        </is>
      </c>
      <c r="G69" s="110" t="inlineStr">
        <is>
          <t>A PAGAR</t>
        </is>
      </c>
    </row>
    <row r="70">
      <c r="B70" s="110" t="inlineStr">
        <is>
          <t>LAVANDERIA AMAZONAS - LEONARDO</t>
        </is>
      </c>
      <c r="C70" s="109" t="n">
        <v>45930</v>
      </c>
      <c r="D70" s="110" t="inlineStr">
        <is>
          <t>CHEQUE CLIENTE</t>
        </is>
      </c>
      <c r="E70" s="111" t="n">
        <v>3350</v>
      </c>
      <c r="F70" s="110" t="inlineStr">
        <is>
          <t>Lavanderia</t>
        </is>
      </c>
      <c r="G70" s="110" t="inlineStr">
        <is>
          <t>A PAGAR</t>
        </is>
      </c>
    </row>
    <row r="71">
      <c r="B71" s="110" t="inlineStr">
        <is>
          <t>SHEILA ETIQUETAS</t>
        </is>
      </c>
      <c r="C71" s="109" t="n">
        <v>45930</v>
      </c>
      <c r="D71" s="110" t="inlineStr">
        <is>
          <t>CHEQUE CLIENTE</t>
        </is>
      </c>
      <c r="E71" s="111" t="n">
        <v>714</v>
      </c>
      <c r="F71" s="110" t="inlineStr">
        <is>
          <t>Etiquetas</t>
        </is>
      </c>
      <c r="G71" s="110" t="inlineStr">
        <is>
          <t>A PAGAR</t>
        </is>
      </c>
    </row>
    <row r="72">
      <c r="B72" s="110" t="inlineStr">
        <is>
          <t>SHEILA ETIQUETAS</t>
        </is>
      </c>
      <c r="C72" s="109" t="n">
        <v>45930</v>
      </c>
      <c r="D72" s="110" t="inlineStr">
        <is>
          <t>CHEQUE CLIENTE</t>
        </is>
      </c>
      <c r="E72" s="111" t="n">
        <v>1490</v>
      </c>
      <c r="F72" s="110" t="inlineStr">
        <is>
          <t>Etiquetas</t>
        </is>
      </c>
      <c r="G72" s="110" t="inlineStr">
        <is>
          <t>A PAGAR</t>
        </is>
      </c>
    </row>
    <row r="73">
      <c r="B73" s="110" t="inlineStr">
        <is>
          <t>DESPESAS VARIAVEIS</t>
        </is>
      </c>
      <c r="C73" s="109" t="n">
        <v>45930</v>
      </c>
      <c r="D73" s="110" t="inlineStr">
        <is>
          <t>PIX ITAU ALV</t>
        </is>
      </c>
      <c r="E73" s="111" t="n">
        <v>50000</v>
      </c>
      <c r="F73" s="110" t="inlineStr">
        <is>
          <t>Outras Despesas</t>
        </is>
      </c>
      <c r="G73" s="110" t="inlineStr">
        <is>
          <t>A PAGAR</t>
        </is>
      </c>
    </row>
    <row r="74">
      <c r="B74" s="110" t="inlineStr">
        <is>
          <t>PRIMOS LAVANDERIA LTDA</t>
        </is>
      </c>
      <c r="C74" s="109" t="n">
        <v>45930</v>
      </c>
      <c r="D74" s="110" t="inlineStr">
        <is>
          <t>CHEQUE CLIENTE</t>
        </is>
      </c>
      <c r="E74" s="111" t="n">
        <v>1101</v>
      </c>
      <c r="F74" s="110" t="inlineStr">
        <is>
          <t>Lavanderia</t>
        </is>
      </c>
      <c r="G74" s="110" t="inlineStr">
        <is>
          <t>A PAGAR</t>
        </is>
      </c>
    </row>
    <row r="75">
      <c r="B75" s="110" t="inlineStr">
        <is>
          <t>RAFAEL TRAVETE</t>
        </is>
      </c>
      <c r="C75" s="109" t="n">
        <v>45936</v>
      </c>
      <c r="D75" s="110" t="inlineStr">
        <is>
          <t>PIX ITAU ALV</t>
        </is>
      </c>
      <c r="E75" s="111" t="n">
        <v>121</v>
      </c>
      <c r="F75" s="110" t="inlineStr">
        <is>
          <t>Travete</t>
        </is>
      </c>
      <c r="G75" s="110" t="inlineStr">
        <is>
          <t>A PAGAR</t>
        </is>
      </c>
    </row>
    <row r="76">
      <c r="B76" s="110" t="inlineStr">
        <is>
          <t>SANTISTA TEXTIL</t>
        </is>
      </c>
      <c r="C76" s="109" t="n">
        <v>45936</v>
      </c>
      <c r="D76" s="110" t="inlineStr">
        <is>
          <t>PIX ITAU ALV</t>
        </is>
      </c>
      <c r="E76" s="111" t="n">
        <v>9868.4</v>
      </c>
      <c r="F76" s="110" t="inlineStr">
        <is>
          <t>Tecidos</t>
        </is>
      </c>
      <c r="G76" s="110" t="inlineStr">
        <is>
          <t>A PAGAR</t>
        </is>
      </c>
    </row>
    <row r="77">
      <c r="B77" s="110" t="inlineStr">
        <is>
          <t>DESPESAS ESCRITORIO</t>
        </is>
      </c>
      <c r="C77" s="109" t="n">
        <v>45937</v>
      </c>
      <c r="D77" s="110" t="inlineStr">
        <is>
          <t>PIX ITAU ALV</t>
        </is>
      </c>
      <c r="E77" s="111" t="n">
        <v>26.59</v>
      </c>
      <c r="F77" s="110" t="inlineStr">
        <is>
          <t>Alimentação</t>
        </is>
      </c>
      <c r="G77" s="110" t="inlineStr">
        <is>
          <t>A PAGAR</t>
        </is>
      </c>
    </row>
    <row r="78">
      <c r="B78" s="110" t="inlineStr">
        <is>
          <t>ORDONES LASER / CELSO - BORDADO</t>
        </is>
      </c>
      <c r="C78" s="109" t="n">
        <v>45940</v>
      </c>
      <c r="D78" s="110" t="inlineStr">
        <is>
          <t>CHEQUE CLIENTE</t>
        </is>
      </c>
      <c r="E78" s="111" t="n">
        <v>1465</v>
      </c>
      <c r="F78" s="110" t="inlineStr">
        <is>
          <t>Bordado Industrial</t>
        </is>
      </c>
      <c r="G78" s="110" t="inlineStr">
        <is>
          <t>A PAGAR</t>
        </is>
      </c>
    </row>
    <row r="79">
      <c r="B79" s="110" t="inlineStr">
        <is>
          <t>LAVANDERIA AMAZONAS - LEONARDO</t>
        </is>
      </c>
      <c r="C79" s="109" t="n">
        <v>45940</v>
      </c>
      <c r="D79" s="110" t="inlineStr">
        <is>
          <t>CHEQUE CLIENTE</t>
        </is>
      </c>
      <c r="E79" s="111" t="n">
        <v>2083.75</v>
      </c>
      <c r="F79" s="110" t="inlineStr">
        <is>
          <t>Lavanderia</t>
        </is>
      </c>
      <c r="G79" s="110" t="inlineStr">
        <is>
          <t>A PAGAR</t>
        </is>
      </c>
    </row>
    <row r="80">
      <c r="B80" s="110" t="inlineStr">
        <is>
          <t>ROCHA DE MACEDO E FRANCO ADV</t>
        </is>
      </c>
      <c r="C80" s="109" t="n">
        <v>45940</v>
      </c>
      <c r="D80" s="110" t="inlineStr">
        <is>
          <t>PIX ITAU ALV</t>
        </is>
      </c>
      <c r="E80" s="111" t="n">
        <v>2500</v>
      </c>
      <c r="F80" s="110" t="inlineStr">
        <is>
          <t>Advogados - Honorários</t>
        </is>
      </c>
      <c r="G80" s="110" t="inlineStr">
        <is>
          <t>A PAGAR</t>
        </is>
      </c>
    </row>
    <row r="81">
      <c r="B81" s="110" t="inlineStr">
        <is>
          <t>LUCAS/ CONTADOR</t>
        </is>
      </c>
      <c r="C81" s="109" t="n">
        <v>45940</v>
      </c>
      <c r="D81" s="110" t="inlineStr">
        <is>
          <t>PIX ITAU ALV</t>
        </is>
      </c>
      <c r="E81" s="111" t="n">
        <v>1100</v>
      </c>
      <c r="F81" s="110" t="inlineStr">
        <is>
          <t>Honorários Contábeis (Contabilidade)</t>
        </is>
      </c>
      <c r="G81" s="110" t="inlineStr">
        <is>
          <t>A PAGAR</t>
        </is>
      </c>
    </row>
    <row r="82">
      <c r="B82" s="110" t="inlineStr">
        <is>
          <t>CEDRO TEXTIL</t>
        </is>
      </c>
      <c r="C82" s="109" t="n">
        <v>45943</v>
      </c>
      <c r="D82" s="110" t="inlineStr">
        <is>
          <t>BOLETO BANCÁRIO</t>
        </is>
      </c>
      <c r="E82" s="111" t="n">
        <v>4309.03</v>
      </c>
      <c r="F82" s="110" t="inlineStr">
        <is>
          <t>Tecidos</t>
        </is>
      </c>
      <c r="G82" s="110" t="inlineStr">
        <is>
          <t>A PAGAR</t>
        </is>
      </c>
    </row>
    <row r="83">
      <c r="B83" s="110" t="inlineStr">
        <is>
          <t>CEDRO TEXTIL</t>
        </is>
      </c>
      <c r="C83" s="109" t="n">
        <v>45943</v>
      </c>
      <c r="D83" s="110" t="inlineStr">
        <is>
          <t>BOLETO BANCÁRIO</t>
        </is>
      </c>
      <c r="E83" s="111" t="n">
        <v>2998.98</v>
      </c>
      <c r="F83" s="110" t="inlineStr">
        <is>
          <t>Tecidos</t>
        </is>
      </c>
      <c r="G83" s="110" t="inlineStr">
        <is>
          <t>A PAGAR</t>
        </is>
      </c>
    </row>
    <row r="84">
      <c r="B84" s="110" t="inlineStr">
        <is>
          <t>CEDRO TEXTIL</t>
        </is>
      </c>
      <c r="C84" s="109" t="n">
        <v>45943</v>
      </c>
      <c r="D84" s="110" t="inlineStr">
        <is>
          <t>BOLETO BANCÁRIO</t>
        </is>
      </c>
      <c r="E84" s="111" t="n">
        <v>4648.27</v>
      </c>
      <c r="F84" s="110" t="inlineStr">
        <is>
          <t>Tecidos</t>
        </is>
      </c>
      <c r="G84" s="110" t="inlineStr">
        <is>
          <t>A PAGAR</t>
        </is>
      </c>
    </row>
    <row r="85">
      <c r="B85" s="110" t="inlineStr">
        <is>
          <t>CEDRO TEXTIL</t>
        </is>
      </c>
      <c r="C85" s="109" t="n">
        <v>45943</v>
      </c>
      <c r="D85" s="110" t="inlineStr">
        <is>
          <t>BOLETO BANCÁRIO</t>
        </is>
      </c>
      <c r="E85" s="111" t="n">
        <v>4277.13</v>
      </c>
      <c r="F85" s="110" t="inlineStr">
        <is>
          <t>Tecidos</t>
        </is>
      </c>
      <c r="G85" s="110" t="inlineStr">
        <is>
          <t>A PAGAR</t>
        </is>
      </c>
    </row>
    <row r="86">
      <c r="B86" s="110" t="inlineStr">
        <is>
          <t>CEDRO TEXTIL</t>
        </is>
      </c>
      <c r="C86" s="109" t="n">
        <v>45943</v>
      </c>
      <c r="D86" s="110" t="inlineStr">
        <is>
          <t>BOLETO BANCÁRIO</t>
        </is>
      </c>
      <c r="E86" s="111" t="n">
        <v>10574.02</v>
      </c>
      <c r="F86" s="110" t="inlineStr">
        <is>
          <t>Tecidos</t>
        </is>
      </c>
      <c r="G86" s="110" t="inlineStr">
        <is>
          <t>A PAGAR</t>
        </is>
      </c>
    </row>
    <row r="87">
      <c r="B87" s="110" t="inlineStr">
        <is>
          <t>CEDRO TEXTIL</t>
        </is>
      </c>
      <c r="C87" s="109" t="n">
        <v>45943</v>
      </c>
      <c r="D87" s="110" t="inlineStr">
        <is>
          <t>BOLETO BANCÁRIO</t>
        </is>
      </c>
      <c r="E87" s="111" t="n">
        <v>1292.51</v>
      </c>
      <c r="F87" s="110" t="inlineStr">
        <is>
          <t>Tecidos</t>
        </is>
      </c>
      <c r="G87" s="110" t="inlineStr">
        <is>
          <t>A PAGAR</t>
        </is>
      </c>
    </row>
    <row r="88">
      <c r="B88" s="110" t="inlineStr">
        <is>
          <t>CEDRO TEXTIL</t>
        </is>
      </c>
      <c r="C88" s="109" t="n">
        <v>45943</v>
      </c>
      <c r="D88" s="110" t="inlineStr">
        <is>
          <t>BOLETO BANCÁRIO</t>
        </is>
      </c>
      <c r="E88" s="111" t="n">
        <v>2827.49</v>
      </c>
      <c r="F88" s="110" t="inlineStr">
        <is>
          <t>Tecidos</t>
        </is>
      </c>
      <c r="G88" s="110" t="inlineStr">
        <is>
          <t>A PAGAR</t>
        </is>
      </c>
    </row>
    <row r="89">
      <c r="B89" s="110" t="inlineStr">
        <is>
          <t>CEDRO TEXTIL</t>
        </is>
      </c>
      <c r="C89" s="109" t="n">
        <v>45943</v>
      </c>
      <c r="D89" s="110" t="inlineStr">
        <is>
          <t>BOLETO BANCÁRIO</t>
        </is>
      </c>
      <c r="E89" s="111" t="n">
        <v>8746.360000000001</v>
      </c>
      <c r="F89" s="110" t="inlineStr">
        <is>
          <t>Tecidos</t>
        </is>
      </c>
      <c r="G89" s="110" t="inlineStr">
        <is>
          <t>A PAGAR</t>
        </is>
      </c>
    </row>
    <row r="90">
      <c r="B90" s="110" t="inlineStr">
        <is>
          <t>CEDRO TEXTIL</t>
        </is>
      </c>
      <c r="C90" s="109" t="n">
        <v>45943</v>
      </c>
      <c r="D90" s="110" t="inlineStr">
        <is>
          <t>BOLETO BANCÁRIO</t>
        </is>
      </c>
      <c r="E90" s="111" t="n">
        <v>3621.1</v>
      </c>
      <c r="F90" s="110" t="inlineStr">
        <is>
          <t>Tecidos</t>
        </is>
      </c>
      <c r="G90" s="110" t="inlineStr">
        <is>
          <t>A PAGAR</t>
        </is>
      </c>
    </row>
    <row r="91">
      <c r="B91" s="110" t="inlineStr">
        <is>
          <t>BLESSED LAVANDERIA</t>
        </is>
      </c>
      <c r="C91" s="109" t="n">
        <v>45945</v>
      </c>
      <c r="D91" s="110" t="inlineStr">
        <is>
          <t>CHEQUE CLIENTE</t>
        </is>
      </c>
      <c r="E91" s="111" t="n">
        <v>1880</v>
      </c>
      <c r="F91" s="110" t="inlineStr">
        <is>
          <t>Lavanderia</t>
        </is>
      </c>
      <c r="G91" s="110" t="inlineStr">
        <is>
          <t>A PAGAR</t>
        </is>
      </c>
    </row>
    <row r="92">
      <c r="B92" s="110" t="inlineStr">
        <is>
          <t>BLESSED LAVANDERIA</t>
        </is>
      </c>
      <c r="C92" s="109" t="n">
        <v>45945</v>
      </c>
      <c r="D92" s="110" t="inlineStr">
        <is>
          <t>CHEQUE CLIENTE</t>
        </is>
      </c>
      <c r="E92" s="111" t="n">
        <v>330</v>
      </c>
      <c r="F92" s="110" t="inlineStr">
        <is>
          <t>Lavanderia</t>
        </is>
      </c>
      <c r="G92" s="110" t="inlineStr">
        <is>
          <t>A PAGAR</t>
        </is>
      </c>
    </row>
    <row r="93">
      <c r="B93" s="110" t="inlineStr">
        <is>
          <t>PRIMOS LAVANDERIA LTDA</t>
        </is>
      </c>
      <c r="C93" s="109" t="n">
        <v>45950</v>
      </c>
      <c r="D93" s="110" t="inlineStr">
        <is>
          <t>CHEQUE CLIENTE</t>
        </is>
      </c>
      <c r="E93" s="111" t="n">
        <v>1465</v>
      </c>
      <c r="F93" s="110" t="inlineStr">
        <is>
          <t>Lavanderia</t>
        </is>
      </c>
      <c r="G93" s="110" t="inlineStr">
        <is>
          <t>A PAGAR</t>
        </is>
      </c>
    </row>
    <row r="94">
      <c r="B94" s="110" t="inlineStr">
        <is>
          <t>LÍDER TECIDOS</t>
        </is>
      </c>
      <c r="C94" s="109" t="n">
        <v>45950</v>
      </c>
      <c r="D94" s="110" t="inlineStr">
        <is>
          <t>CHEQUE CLIENTE</t>
        </is>
      </c>
      <c r="E94" s="111" t="n">
        <v>2512</v>
      </c>
      <c r="F94" s="110" t="inlineStr">
        <is>
          <t>Tecidos</t>
        </is>
      </c>
      <c r="G94" s="110" t="inlineStr">
        <is>
          <t>A PAGAR</t>
        </is>
      </c>
    </row>
    <row r="95">
      <c r="B95" s="110" t="inlineStr">
        <is>
          <t>LAVANDERIA AMAZONAS - LEONARDO</t>
        </is>
      </c>
      <c r="C95" s="109" t="n">
        <v>45950</v>
      </c>
      <c r="D95" s="110" t="inlineStr">
        <is>
          <t>CHEQUE CLIENTE</t>
        </is>
      </c>
      <c r="E95" s="111" t="n">
        <v>2155.5</v>
      </c>
      <c r="F95" s="110" t="inlineStr">
        <is>
          <t>Lavanderia</t>
        </is>
      </c>
      <c r="G95" s="110" t="inlineStr">
        <is>
          <t>A PAGAR</t>
        </is>
      </c>
    </row>
    <row r="96">
      <c r="B96" s="110" t="inlineStr">
        <is>
          <t>CEDRO TEXTIL</t>
        </is>
      </c>
      <c r="C96" s="109" t="n">
        <v>45950</v>
      </c>
      <c r="D96" s="110" t="inlineStr">
        <is>
          <t>BOLETO BANCÁRIO</t>
        </is>
      </c>
      <c r="E96" s="111" t="n">
        <v>3335.38</v>
      </c>
      <c r="F96" s="110" t="inlineStr">
        <is>
          <t>Tecidos</t>
        </is>
      </c>
      <c r="G96" s="110" t="inlineStr">
        <is>
          <t>A PAGAR</t>
        </is>
      </c>
    </row>
    <row r="97">
      <c r="B97" s="110" t="inlineStr">
        <is>
          <t>CEDRO TEXTIL</t>
        </is>
      </c>
      <c r="C97" s="109" t="n">
        <v>45950</v>
      </c>
      <c r="D97" s="110" t="inlineStr">
        <is>
          <t>BOLETO BANCÁRIO</t>
        </is>
      </c>
      <c r="E97" s="111" t="n">
        <v>4465.88</v>
      </c>
      <c r="F97" s="110" t="inlineStr">
        <is>
          <t>Tecidos</t>
        </is>
      </c>
      <c r="G97" s="110" t="inlineStr">
        <is>
          <t>A PAGAR</t>
        </is>
      </c>
    </row>
    <row r="98">
      <c r="B98" s="110" t="inlineStr">
        <is>
          <t>CAPITAL GIRO SANTANDER ALV PJ</t>
        </is>
      </c>
      <c r="C98" s="109" t="n">
        <v>45950</v>
      </c>
      <c r="D98" s="110" t="inlineStr">
        <is>
          <t>TRANSFERÊNCIA</t>
        </is>
      </c>
      <c r="E98" s="111" t="n">
        <v>2088</v>
      </c>
      <c r="F98" s="110" t="inlineStr">
        <is>
          <t>Empréstimos</t>
        </is>
      </c>
      <c r="G98" s="110" t="inlineStr">
        <is>
          <t>A PAGAR</t>
        </is>
      </c>
    </row>
    <row r="99">
      <c r="B99" s="110" t="inlineStr">
        <is>
          <t>CEDRO TEXTIL</t>
        </is>
      </c>
      <c r="C99" s="109" t="n">
        <v>45950</v>
      </c>
      <c r="D99" s="110" t="inlineStr">
        <is>
          <t>BOLETO BANCÁRIO</t>
        </is>
      </c>
      <c r="E99" s="111" t="n">
        <v>9357.74</v>
      </c>
      <c r="F99" s="110" t="inlineStr">
        <is>
          <t>Tecidos</t>
        </is>
      </c>
      <c r="G99" s="110" t="inlineStr">
        <is>
          <t>A PAGAR</t>
        </is>
      </c>
    </row>
    <row r="100">
      <c r="B100" s="110" t="inlineStr">
        <is>
          <t>LÍDER TECIDOS</t>
        </is>
      </c>
      <c r="C100" s="109" t="n">
        <v>45951</v>
      </c>
      <c r="D100" s="110" t="inlineStr">
        <is>
          <t>CHEQUE CLIENTE</t>
        </is>
      </c>
      <c r="E100" s="111" t="n">
        <v>2000</v>
      </c>
      <c r="F100" s="110" t="inlineStr">
        <is>
          <t>Aviamento</t>
        </is>
      </c>
      <c r="G100" s="110" t="inlineStr">
        <is>
          <t>A PAGAR</t>
        </is>
      </c>
    </row>
    <row r="101">
      <c r="B101" s="110" t="inlineStr">
        <is>
          <t>OI INTERNET</t>
        </is>
      </c>
      <c r="C101" s="109" t="n">
        <v>45951</v>
      </c>
      <c r="D101" s="110" t="inlineStr">
        <is>
          <t>TRANSFERÊNCIA</t>
        </is>
      </c>
      <c r="E101" s="111" t="n">
        <v>120</v>
      </c>
      <c r="F101" s="110" t="inlineStr">
        <is>
          <t>Telefonia Fixa e Internet</t>
        </is>
      </c>
      <c r="G101" s="110" t="inlineStr">
        <is>
          <t>A PAGAR</t>
        </is>
      </c>
    </row>
    <row r="102">
      <c r="B102" s="110" t="inlineStr">
        <is>
          <t>BANCO ITAU</t>
        </is>
      </c>
      <c r="C102" s="109" t="n">
        <v>45951</v>
      </c>
      <c r="D102" s="110" t="inlineStr">
        <is>
          <t>TRANSFERÊNCIA</t>
        </is>
      </c>
      <c r="E102" s="111" t="n">
        <v>42329</v>
      </c>
      <c r="F102" s="110" t="inlineStr">
        <is>
          <t>Empréstimos</t>
        </is>
      </c>
      <c r="G102" s="110" t="inlineStr">
        <is>
          <t>A PAGAR</t>
        </is>
      </c>
    </row>
    <row r="103">
      <c r="B103" s="110" t="inlineStr">
        <is>
          <t>DESPESAS ESCRITORIO</t>
        </is>
      </c>
      <c r="C103" s="109" t="n">
        <v>45952</v>
      </c>
      <c r="D103" s="110" t="inlineStr">
        <is>
          <t>PIX CODI BANCO BRASIL</t>
        </is>
      </c>
      <c r="E103" s="111" t="n">
        <v>100</v>
      </c>
      <c r="F103" s="110" t="inlineStr">
        <is>
          <t>Telefonia Móvel</t>
        </is>
      </c>
      <c r="G103" s="110" t="inlineStr">
        <is>
          <t>A PAGAR</t>
        </is>
      </c>
    </row>
    <row r="104">
      <c r="B104" s="110" t="inlineStr">
        <is>
          <t>CAPITAL GIRO SANTANDER ALV PJ</t>
        </is>
      </c>
      <c r="C104" s="109" t="n">
        <v>45952</v>
      </c>
      <c r="D104" s="110" t="inlineStr">
        <is>
          <t>TRANSFERÊNCIA</t>
        </is>
      </c>
      <c r="E104" s="111" t="n">
        <v>3127.85</v>
      </c>
      <c r="F104" s="110" t="inlineStr">
        <is>
          <t>Empréstimos</t>
        </is>
      </c>
      <c r="G104" s="110" t="inlineStr">
        <is>
          <t>A PAGAR</t>
        </is>
      </c>
    </row>
    <row r="105">
      <c r="B105" s="110" t="inlineStr">
        <is>
          <t>BANCO ITAU/PESSOA FISICA</t>
        </is>
      </c>
      <c r="C105" s="109" t="n">
        <v>45952</v>
      </c>
      <c r="D105" s="110" t="inlineStr">
        <is>
          <t>TRANSFERÊNCIA</t>
        </is>
      </c>
      <c r="E105" s="111" t="n">
        <v>12013.66</v>
      </c>
      <c r="F105" s="110" t="inlineStr">
        <is>
          <t>Títulos de Capitalização</t>
        </is>
      </c>
      <c r="G105" s="110" t="inlineStr">
        <is>
          <t>A PAGAR</t>
        </is>
      </c>
    </row>
    <row r="106">
      <c r="B106" s="110" t="inlineStr">
        <is>
          <t>CAPITAL GIRO ITAU PF CLEITON</t>
        </is>
      </c>
      <c r="C106" s="109" t="n">
        <v>45953</v>
      </c>
      <c r="D106" s="110" t="inlineStr">
        <is>
          <t>TRANSFERÊNCIA</t>
        </is>
      </c>
      <c r="E106" s="111" t="n">
        <v>12445.02</v>
      </c>
      <c r="F106" s="110" t="inlineStr">
        <is>
          <t>Empréstimos</t>
        </is>
      </c>
      <c r="G106" s="110" t="inlineStr">
        <is>
          <t>A PAGAR</t>
        </is>
      </c>
    </row>
    <row r="107">
      <c r="B107" s="110" t="inlineStr">
        <is>
          <t>LÍDER TECIDOS</t>
        </is>
      </c>
      <c r="C107" s="109" t="n">
        <v>45954</v>
      </c>
      <c r="D107" s="110" t="inlineStr">
        <is>
          <t>CHEQUE CLIENTE</t>
        </is>
      </c>
      <c r="E107" s="111" t="n">
        <v>3250</v>
      </c>
      <c r="F107" s="110" t="inlineStr">
        <is>
          <t>Aviamento</t>
        </is>
      </c>
      <c r="G107" s="110" t="inlineStr">
        <is>
          <t>A PAGAR</t>
        </is>
      </c>
    </row>
    <row r="108">
      <c r="B108" s="110" t="inlineStr">
        <is>
          <t>LÍDER TECIDOS</t>
        </is>
      </c>
      <c r="C108" s="109" t="n">
        <v>45957</v>
      </c>
      <c r="D108" s="110" t="inlineStr">
        <is>
          <t>CHEQUE CLIENTE</t>
        </is>
      </c>
      <c r="E108" s="111" t="n">
        <v>1648.33</v>
      </c>
      <c r="F108" s="110" t="inlineStr">
        <is>
          <t>Tecidos</t>
        </is>
      </c>
      <c r="G108" s="110" t="inlineStr">
        <is>
          <t>A PAGAR</t>
        </is>
      </c>
    </row>
    <row r="109">
      <c r="B109" s="110" t="inlineStr">
        <is>
          <t>CEDRO TEXTIL</t>
        </is>
      </c>
      <c r="C109" s="109" t="n">
        <v>45958</v>
      </c>
      <c r="D109" s="110" t="inlineStr">
        <is>
          <t>BOLETO BANCÁRIO</t>
        </is>
      </c>
      <c r="E109" s="111" t="n">
        <v>4648.28</v>
      </c>
      <c r="F109" s="110" t="inlineStr">
        <is>
          <t>Tecidos</t>
        </is>
      </c>
      <c r="G109" s="110" t="inlineStr">
        <is>
          <t>A PAGAR</t>
        </is>
      </c>
    </row>
    <row r="110">
      <c r="B110" s="110" t="inlineStr">
        <is>
          <t>BLESSED LAVANDERIA</t>
        </is>
      </c>
      <c r="C110" s="109" t="n">
        <v>45958</v>
      </c>
      <c r="D110" s="110" t="inlineStr">
        <is>
          <t>CHEQUE CLIENTE</t>
        </is>
      </c>
      <c r="E110" s="111" t="n">
        <v>3065</v>
      </c>
      <c r="F110" s="110" t="inlineStr">
        <is>
          <t>Lavanderia</t>
        </is>
      </c>
      <c r="G110" s="110" t="inlineStr">
        <is>
          <t>A PAGAR</t>
        </is>
      </c>
    </row>
    <row r="111">
      <c r="B111" s="110" t="inlineStr">
        <is>
          <t>CEDRO TEXTIL</t>
        </is>
      </c>
      <c r="C111" s="109" t="n">
        <v>45958</v>
      </c>
      <c r="D111" s="110" t="inlineStr">
        <is>
          <t>BOLETO BANCÁRIO</t>
        </is>
      </c>
      <c r="E111" s="111" t="n">
        <v>2827.5</v>
      </c>
      <c r="F111" s="110" t="inlineStr">
        <is>
          <t>Tecidos</t>
        </is>
      </c>
      <c r="G111" s="110" t="inlineStr">
        <is>
          <t>A PAGAR</t>
        </is>
      </c>
    </row>
    <row r="112">
      <c r="B112" s="110" t="inlineStr">
        <is>
          <t>CEDRO TEXTIL</t>
        </is>
      </c>
      <c r="C112" s="109" t="n">
        <v>45958</v>
      </c>
      <c r="D112" s="110" t="inlineStr">
        <is>
          <t>BOLETO BANCÁRIO</t>
        </is>
      </c>
      <c r="E112" s="111" t="n">
        <v>4040.78</v>
      </c>
      <c r="F112" s="110" t="inlineStr">
        <is>
          <t>Tecidos</t>
        </is>
      </c>
      <c r="G112" s="110" t="inlineStr">
        <is>
          <t>A PAGAR</t>
        </is>
      </c>
    </row>
    <row r="113">
      <c r="B113" s="110" t="inlineStr">
        <is>
          <t>CEDRO TEXTIL</t>
        </is>
      </c>
      <c r="C113" s="109" t="n">
        <v>45958</v>
      </c>
      <c r="D113" s="110" t="inlineStr">
        <is>
          <t>BOLETO BANCÁRIO</t>
        </is>
      </c>
      <c r="E113" s="111" t="n">
        <v>3621.12</v>
      </c>
      <c r="F113" s="110" t="inlineStr">
        <is>
          <t>Tecidos</t>
        </is>
      </c>
      <c r="G113" s="110" t="inlineStr">
        <is>
          <t>A PAGAR</t>
        </is>
      </c>
    </row>
    <row r="114">
      <c r="B114" s="110" t="inlineStr">
        <is>
          <t>CEDRO TEXTIL</t>
        </is>
      </c>
      <c r="C114" s="109" t="n">
        <v>45958</v>
      </c>
      <c r="D114" s="110" t="inlineStr">
        <is>
          <t>BOLETO BANCÁRIO</t>
        </is>
      </c>
      <c r="E114" s="111" t="n">
        <v>8746.360000000001</v>
      </c>
      <c r="F114" s="110" t="inlineStr">
        <is>
          <t>Tecidos</t>
        </is>
      </c>
      <c r="G114" s="110" t="inlineStr">
        <is>
          <t>A PAGAR</t>
        </is>
      </c>
    </row>
    <row r="115">
      <c r="B115" s="110" t="inlineStr">
        <is>
          <t>BANCO SANTANDER</t>
        </is>
      </c>
      <c r="C115" s="109" t="n">
        <v>45958</v>
      </c>
      <c r="D115" s="110" t="inlineStr">
        <is>
          <t>TRANSFERÊNCIA</t>
        </is>
      </c>
      <c r="E115" s="111" t="n">
        <v>15436.91</v>
      </c>
      <c r="F115" s="110" t="inlineStr">
        <is>
          <t>Empréstimos</t>
        </is>
      </c>
      <c r="G115" s="110" t="inlineStr">
        <is>
          <t>A PAGAR</t>
        </is>
      </c>
    </row>
    <row r="116">
      <c r="B116" s="110" t="inlineStr">
        <is>
          <t>CEDRO TEXTIL</t>
        </is>
      </c>
      <c r="C116" s="109" t="n">
        <v>45958</v>
      </c>
      <c r="D116" s="110" t="inlineStr">
        <is>
          <t>BOLETO BANCÁRIO</t>
        </is>
      </c>
      <c r="E116" s="111" t="n">
        <v>1292.49</v>
      </c>
      <c r="F116" s="110" t="inlineStr">
        <is>
          <t>Tecidos</t>
        </is>
      </c>
      <c r="G116" s="110" t="inlineStr">
        <is>
          <t>A PAGAR</t>
        </is>
      </c>
    </row>
    <row r="117">
      <c r="B117" s="110" t="inlineStr">
        <is>
          <t>CEDRO TEXTIL</t>
        </is>
      </c>
      <c r="C117" s="109" t="n">
        <v>45958</v>
      </c>
      <c r="D117" s="110" t="inlineStr">
        <is>
          <t>BOLETO BANCÁRIO</t>
        </is>
      </c>
      <c r="E117" s="111" t="n">
        <v>6315.81</v>
      </c>
      <c r="F117" s="110" t="inlineStr">
        <is>
          <t>Tecidos</t>
        </is>
      </c>
      <c r="G117" s="110" t="inlineStr">
        <is>
          <t>A PAGAR</t>
        </is>
      </c>
    </row>
    <row r="118">
      <c r="B118" s="110" t="inlineStr">
        <is>
          <t>CEDRO TEXTIL</t>
        </is>
      </c>
      <c r="C118" s="109" t="n">
        <v>45958</v>
      </c>
      <c r="D118" s="110" t="inlineStr">
        <is>
          <t>BOLETO BANCÁRIO</t>
        </is>
      </c>
      <c r="E118" s="111" t="n">
        <v>10574.02</v>
      </c>
      <c r="F118" s="110" t="inlineStr">
        <is>
          <t>Tecidos</t>
        </is>
      </c>
      <c r="G118" s="110" t="inlineStr">
        <is>
          <t>A PAGAR</t>
        </is>
      </c>
    </row>
    <row r="119">
      <c r="B119" s="110" t="inlineStr">
        <is>
          <t>CEDRO TEXTIL</t>
        </is>
      </c>
      <c r="C119" s="109" t="n">
        <v>45958</v>
      </c>
      <c r="D119" s="110" t="inlineStr">
        <is>
          <t>BOLETO BANCÁRIO</t>
        </is>
      </c>
      <c r="E119" s="111" t="n">
        <v>2998.98</v>
      </c>
      <c r="F119" s="110" t="inlineStr">
        <is>
          <t>Tecidos</t>
        </is>
      </c>
      <c r="G119" s="110" t="inlineStr">
        <is>
          <t>A PAGAR</t>
        </is>
      </c>
    </row>
    <row r="120">
      <c r="B120" s="110" t="inlineStr">
        <is>
          <t>CEDRO TEXTIL</t>
        </is>
      </c>
      <c r="C120" s="109" t="n">
        <v>45959</v>
      </c>
      <c r="D120" s="110" t="inlineStr">
        <is>
          <t>BOLETO BANCÁRIO</t>
        </is>
      </c>
      <c r="E120" s="111" t="n">
        <v>12292.25</v>
      </c>
      <c r="F120" s="110" t="inlineStr">
        <is>
          <t>Tecidos</t>
        </is>
      </c>
      <c r="G120" s="110" t="inlineStr">
        <is>
          <t>A PAGAR</t>
        </is>
      </c>
    </row>
    <row r="121">
      <c r="B121" s="110" t="inlineStr">
        <is>
          <t>CEDRO TEXTIL</t>
        </is>
      </c>
      <c r="C121" s="109" t="n">
        <v>45959</v>
      </c>
      <c r="D121" s="110" t="inlineStr">
        <is>
          <t>BOLETO BANCÁRIO</t>
        </is>
      </c>
      <c r="E121" s="111" t="n">
        <v>1791.81</v>
      </c>
      <c r="F121" s="110" t="inlineStr">
        <is>
          <t>Tecidos</t>
        </is>
      </c>
      <c r="G121" s="110" t="inlineStr">
        <is>
          <t>A PAGAR</t>
        </is>
      </c>
    </row>
    <row r="122">
      <c r="B122" s="110" t="inlineStr">
        <is>
          <t>SHEILA ETIQUETAS</t>
        </is>
      </c>
      <c r="C122" s="109" t="n">
        <v>45959</v>
      </c>
      <c r="D122" s="110" t="inlineStr">
        <is>
          <t>CHEQUE CLIENTE</t>
        </is>
      </c>
      <c r="E122" s="111" t="n">
        <v>5294</v>
      </c>
      <c r="F122" s="110" t="inlineStr">
        <is>
          <t>Etiquetas</t>
        </is>
      </c>
      <c r="G122" s="110" t="inlineStr">
        <is>
          <t>A PAGAR</t>
        </is>
      </c>
    </row>
    <row r="123">
      <c r="B123" s="110" t="inlineStr">
        <is>
          <t>CEDRO TEXTIL</t>
        </is>
      </c>
      <c r="C123" s="109" t="n">
        <v>45959</v>
      </c>
      <c r="D123" s="110" t="inlineStr">
        <is>
          <t>BOLETO BANCÁRIO</t>
        </is>
      </c>
      <c r="E123" s="111" t="n">
        <v>1678.95</v>
      </c>
      <c r="F123" s="110" t="inlineStr">
        <is>
          <t>Tecidos</t>
        </is>
      </c>
      <c r="G123" s="110" t="inlineStr">
        <is>
          <t>A PAGAR</t>
        </is>
      </c>
    </row>
    <row r="124">
      <c r="B124" s="110" t="inlineStr">
        <is>
          <t>CEDRO TEXTIL</t>
        </is>
      </c>
      <c r="C124" s="109" t="n">
        <v>45959</v>
      </c>
      <c r="D124" s="110" t="inlineStr">
        <is>
          <t>BOLETO BANCÁRIO</t>
        </is>
      </c>
      <c r="E124" s="111" t="n">
        <v>9456.34</v>
      </c>
      <c r="F124" s="110" t="inlineStr">
        <is>
          <t>Tecidos</t>
        </is>
      </c>
      <c r="G124" s="110" t="inlineStr">
        <is>
          <t>A PAGAR</t>
        </is>
      </c>
    </row>
    <row r="125">
      <c r="B125" s="110" t="inlineStr">
        <is>
          <t>CEDRO TEXTIL</t>
        </is>
      </c>
      <c r="C125" s="109" t="n">
        <v>45959</v>
      </c>
      <c r="D125" s="110" t="inlineStr">
        <is>
          <t>BOLETO BANCÁRIO</t>
        </is>
      </c>
      <c r="E125" s="111" t="n">
        <v>3538.55</v>
      </c>
      <c r="F125" s="110" t="inlineStr">
        <is>
          <t>Tecidos</t>
        </is>
      </c>
      <c r="G125" s="110" t="inlineStr">
        <is>
          <t>A PAGAR</t>
        </is>
      </c>
    </row>
    <row r="126">
      <c r="B126" s="110" t="inlineStr">
        <is>
          <t>CIA FIACAO E TECIDOS CEDRO E CACHOE</t>
        </is>
      </c>
      <c r="C126" s="109" t="n">
        <v>45959</v>
      </c>
      <c r="D126" s="110" t="inlineStr">
        <is>
          <t>BOLETO BANCÁRIO</t>
        </is>
      </c>
      <c r="E126" s="111" t="n">
        <v>6015.52</v>
      </c>
      <c r="F126" s="110" t="inlineStr">
        <is>
          <t>Tecidos</t>
        </is>
      </c>
      <c r="G126" s="110" t="inlineStr">
        <is>
          <t>A PAGAR</t>
        </is>
      </c>
    </row>
    <row r="127">
      <c r="B127" s="110" t="inlineStr">
        <is>
          <t>PRIMOS LAVANDERIA LTDA</t>
        </is>
      </c>
      <c r="C127" s="109" t="n">
        <v>45960</v>
      </c>
      <c r="D127" s="110" t="inlineStr">
        <is>
          <t>CHEQUE CLIENTE</t>
        </is>
      </c>
      <c r="E127" s="111" t="n">
        <v>3365</v>
      </c>
      <c r="F127" s="110" t="inlineStr">
        <is>
          <t>Lavanderia</t>
        </is>
      </c>
      <c r="G127" s="110" t="inlineStr">
        <is>
          <t>A PAGAR</t>
        </is>
      </c>
    </row>
    <row r="128">
      <c r="B128" s="110" t="inlineStr">
        <is>
          <t>DESPESAS VARIAVEIS</t>
        </is>
      </c>
      <c r="C128" s="109" t="n">
        <v>45961</v>
      </c>
      <c r="D128" s="110" t="inlineStr">
        <is>
          <t>PIX ITAU ALV</t>
        </is>
      </c>
      <c r="E128" s="111" t="n">
        <v>50000</v>
      </c>
      <c r="F128" s="110" t="inlineStr">
        <is>
          <t>Outras Despesas</t>
        </is>
      </c>
      <c r="G128" s="110" t="inlineStr">
        <is>
          <t>A PAGAR</t>
        </is>
      </c>
    </row>
    <row r="129">
      <c r="B129" s="110" t="inlineStr">
        <is>
          <t>CEDRO TEXTIL</t>
        </is>
      </c>
      <c r="C129" s="109" t="n">
        <v>45965</v>
      </c>
      <c r="D129" s="110" t="inlineStr">
        <is>
          <t>BOLETO BANCÁRIO</t>
        </is>
      </c>
      <c r="E129" s="111" t="n">
        <v>9357.74</v>
      </c>
      <c r="F129" s="110" t="inlineStr">
        <is>
          <t>Tecidos</t>
        </is>
      </c>
      <c r="G129" s="110" t="inlineStr">
        <is>
          <t>A PAGAR</t>
        </is>
      </c>
    </row>
    <row r="130">
      <c r="B130" s="110" t="inlineStr">
        <is>
          <t>CEDRO TEXTIL</t>
        </is>
      </c>
      <c r="C130" s="109" t="n">
        <v>45965</v>
      </c>
      <c r="D130" s="110" t="inlineStr">
        <is>
          <t>BOLETO BANCÁRIO</t>
        </is>
      </c>
      <c r="E130" s="111" t="n">
        <v>3335.37</v>
      </c>
      <c r="F130" s="110" t="inlineStr">
        <is>
          <t>Tecidos</t>
        </is>
      </c>
      <c r="G130" s="110" t="inlineStr">
        <is>
          <t>A PAGAR</t>
        </is>
      </c>
    </row>
    <row r="131">
      <c r="B131" s="110" t="inlineStr">
        <is>
          <t>CEDRO TEXTIL</t>
        </is>
      </c>
      <c r="C131" s="109" t="n">
        <v>45965</v>
      </c>
      <c r="D131" s="110" t="inlineStr">
        <is>
          <t>BOLETO BANCÁRIO</t>
        </is>
      </c>
      <c r="E131" s="111" t="n">
        <v>4465.86</v>
      </c>
      <c r="F131" s="110" t="inlineStr">
        <is>
          <t>Tecidos</t>
        </is>
      </c>
      <c r="G131" s="110" t="inlineStr">
        <is>
          <t>A PAGAR</t>
        </is>
      </c>
    </row>
    <row r="132">
      <c r="B132" s="110" t="inlineStr">
        <is>
          <t>PRIMOS LAVANDERIA LTDA</t>
        </is>
      </c>
      <c r="C132" s="109" t="n">
        <v>45968</v>
      </c>
      <c r="D132" s="110" t="inlineStr">
        <is>
          <t>CHEQUE CLIENTE</t>
        </is>
      </c>
      <c r="E132" s="111" t="n">
        <v>1465</v>
      </c>
      <c r="F132" s="110" t="inlineStr">
        <is>
          <t>Lavanderia</t>
        </is>
      </c>
      <c r="G132" s="110" t="inlineStr">
        <is>
          <t>A PAGAR</t>
        </is>
      </c>
    </row>
    <row r="133">
      <c r="B133" s="110" t="inlineStr">
        <is>
          <t>CEDRO TEXTIL</t>
        </is>
      </c>
      <c r="C133" s="109" t="n">
        <v>45968</v>
      </c>
      <c r="D133" s="110" t="inlineStr">
        <is>
          <t>BOLETO BANCÁRIO</t>
        </is>
      </c>
      <c r="E133" s="111" t="n">
        <v>1519.86</v>
      </c>
      <c r="F133" s="110" t="inlineStr">
        <is>
          <t>Tecidos</t>
        </is>
      </c>
      <c r="G133" s="110" t="inlineStr">
        <is>
          <t>A PAGAR</t>
        </is>
      </c>
    </row>
    <row r="134">
      <c r="B134" s="110" t="inlineStr">
        <is>
          <t>CEDRO TEXTIL</t>
        </is>
      </c>
      <c r="C134" s="109" t="n">
        <v>45969</v>
      </c>
      <c r="D134" s="110" t="inlineStr">
        <is>
          <t>BOLETO BANCÁRIO</t>
        </is>
      </c>
      <c r="E134" s="111" t="n">
        <v>824.79</v>
      </c>
      <c r="F134" s="110" t="inlineStr">
        <is>
          <t>Tecidos</t>
        </is>
      </c>
      <c r="G134" s="110" t="inlineStr">
        <is>
          <t>A PAGAR</t>
        </is>
      </c>
    </row>
    <row r="135">
      <c r="B135" s="110" t="inlineStr">
        <is>
          <t>PRIMOS LAVANDERIA LTDA</t>
        </is>
      </c>
      <c r="C135" s="109" t="n">
        <v>45970</v>
      </c>
      <c r="D135" s="110" t="inlineStr">
        <is>
          <t>CHEQUE CLIENTE</t>
        </is>
      </c>
      <c r="E135" s="111" t="n">
        <v>2083.75</v>
      </c>
      <c r="F135" s="110" t="inlineStr">
        <is>
          <t>Lavanderia</t>
        </is>
      </c>
      <c r="G135" s="110" t="inlineStr">
        <is>
          <t>A PAGAR</t>
        </is>
      </c>
    </row>
    <row r="136">
      <c r="B136" s="110" t="inlineStr">
        <is>
          <t>MACIEL FACÇÃO</t>
        </is>
      </c>
      <c r="C136" s="109" t="n">
        <v>45971</v>
      </c>
      <c r="D136" s="110" t="inlineStr">
        <is>
          <t>PIX ITAU ALV</t>
        </is>
      </c>
      <c r="E136" s="111" t="n">
        <v>4080</v>
      </c>
      <c r="F136" s="110" t="inlineStr">
        <is>
          <t>Facção</t>
        </is>
      </c>
      <c r="G136" s="110" t="inlineStr">
        <is>
          <t>A PAGAR</t>
        </is>
      </c>
    </row>
    <row r="137">
      <c r="B137" s="110" t="inlineStr">
        <is>
          <t>LÍDER TECIDOS</t>
        </is>
      </c>
      <c r="C137" s="109" t="n">
        <v>45972</v>
      </c>
      <c r="D137" s="110" t="inlineStr">
        <is>
          <t>CHEQUE CLIENTE</t>
        </is>
      </c>
      <c r="E137" s="111" t="n">
        <v>2155</v>
      </c>
      <c r="F137" s="110" t="inlineStr">
        <is>
          <t>Aviamento</t>
        </is>
      </c>
      <c r="G137" s="110" t="inlineStr">
        <is>
          <t>A PAGAR</t>
        </is>
      </c>
    </row>
    <row r="138">
      <c r="B138" s="110" t="inlineStr">
        <is>
          <t>CEDRO TEXTIL</t>
        </is>
      </c>
      <c r="C138" s="109" t="n">
        <v>45973</v>
      </c>
      <c r="D138" s="110" t="inlineStr">
        <is>
          <t>BOLETO BANCÁRIO</t>
        </is>
      </c>
      <c r="E138" s="111" t="n">
        <v>2998.98</v>
      </c>
      <c r="F138" s="110" t="inlineStr">
        <is>
          <t>Tecidos</t>
        </is>
      </c>
      <c r="G138" s="110" t="inlineStr">
        <is>
          <t>A PAGAR</t>
        </is>
      </c>
    </row>
    <row r="139">
      <c r="B139" s="110" t="inlineStr">
        <is>
          <t>CEDRO TEXTIL</t>
        </is>
      </c>
      <c r="C139" s="109" t="n">
        <v>45973</v>
      </c>
      <c r="D139" s="110" t="inlineStr">
        <is>
          <t>BOLETO BANCÁRIO</t>
        </is>
      </c>
      <c r="E139" s="111" t="n">
        <v>4458.26</v>
      </c>
      <c r="F139" s="110" t="inlineStr">
        <is>
          <t>Tecidos</t>
        </is>
      </c>
      <c r="G139" s="110" t="inlineStr">
        <is>
          <t>A PAGAR</t>
        </is>
      </c>
    </row>
    <row r="140">
      <c r="B140" s="110" t="inlineStr">
        <is>
          <t>CEDRO TEXTIL</t>
        </is>
      </c>
      <c r="C140" s="109" t="n">
        <v>45973</v>
      </c>
      <c r="D140" s="110" t="inlineStr">
        <is>
          <t>BOLETO BANCÁRIO</t>
        </is>
      </c>
      <c r="E140" s="111" t="n">
        <v>8746.34</v>
      </c>
      <c r="F140" s="110" t="inlineStr">
        <is>
          <t>Tecidos</t>
        </is>
      </c>
      <c r="G140" s="110" t="inlineStr">
        <is>
          <t>A PAGAR</t>
        </is>
      </c>
    </row>
    <row r="141">
      <c r="B141" s="110" t="inlineStr">
        <is>
          <t>CIA FIACAO E TECIDOS CEDRO E CACHOE</t>
        </is>
      </c>
      <c r="C141" s="109" t="n">
        <v>45974</v>
      </c>
      <c r="D141" s="110" t="inlineStr">
        <is>
          <t>BOLETO BANCÁRIO</t>
        </is>
      </c>
      <c r="E141" s="111" t="n">
        <v>6015.52</v>
      </c>
      <c r="F141" s="110" t="inlineStr">
        <is>
          <t>Tecidos</t>
        </is>
      </c>
      <c r="G141" s="110" t="inlineStr">
        <is>
          <t>A PAGAR</t>
        </is>
      </c>
    </row>
    <row r="142">
      <c r="B142" s="110" t="inlineStr">
        <is>
          <t>CEDRO TEXTIL</t>
        </is>
      </c>
      <c r="C142" s="109" t="n">
        <v>45974</v>
      </c>
      <c r="D142" s="110" t="inlineStr">
        <is>
          <t>BOLETO BANCÁRIO</t>
        </is>
      </c>
      <c r="E142" s="111" t="n">
        <v>1678.95</v>
      </c>
      <c r="F142" s="110" t="inlineStr">
        <is>
          <t>Tecidos</t>
        </is>
      </c>
      <c r="G142" s="110" t="inlineStr">
        <is>
          <t>A PAGAR</t>
        </is>
      </c>
    </row>
    <row r="143">
      <c r="B143" s="110" t="inlineStr">
        <is>
          <t>CEDRO TEXTIL</t>
        </is>
      </c>
      <c r="C143" s="109" t="n">
        <v>45974</v>
      </c>
      <c r="D143" s="110" t="inlineStr">
        <is>
          <t>BOLETO BANCÁRIO</t>
        </is>
      </c>
      <c r="E143" s="111" t="n">
        <v>3538.55</v>
      </c>
      <c r="F143" s="110" t="inlineStr">
        <is>
          <t>Tecidos</t>
        </is>
      </c>
      <c r="G143" s="110" t="inlineStr">
        <is>
          <t>A PAGAR</t>
        </is>
      </c>
    </row>
    <row r="144">
      <c r="B144" s="110" t="inlineStr">
        <is>
          <t>CEDRO TEXTIL</t>
        </is>
      </c>
      <c r="C144" s="109" t="n">
        <v>45974</v>
      </c>
      <c r="D144" s="110" t="inlineStr">
        <is>
          <t>BOLETO BANCÁRIO</t>
        </is>
      </c>
      <c r="E144" s="111" t="n">
        <v>1791.81</v>
      </c>
      <c r="F144" s="110" t="inlineStr">
        <is>
          <t>Tecidos</t>
        </is>
      </c>
      <c r="G144" s="110" t="inlineStr">
        <is>
          <t>A PAGAR</t>
        </is>
      </c>
    </row>
    <row r="145">
      <c r="B145" s="110" t="inlineStr">
        <is>
          <t>CEDRO TEXTIL</t>
        </is>
      </c>
      <c r="C145" s="109" t="n">
        <v>45974</v>
      </c>
      <c r="D145" s="110" t="inlineStr">
        <is>
          <t>BOLETO BANCÁRIO</t>
        </is>
      </c>
      <c r="E145" s="111" t="n">
        <v>9456.34</v>
      </c>
      <c r="F145" s="110" t="inlineStr">
        <is>
          <t>Tecidos</t>
        </is>
      </c>
      <c r="G145" s="110" t="inlineStr">
        <is>
          <t>A PAGAR</t>
        </is>
      </c>
    </row>
    <row r="146">
      <c r="B146" s="110" t="inlineStr">
        <is>
          <t>LÍDER TECIDOS</t>
        </is>
      </c>
      <c r="C146" s="109" t="n">
        <v>45974</v>
      </c>
      <c r="D146" s="110" t="inlineStr">
        <is>
          <t>CHEQUE CLIENTE</t>
        </is>
      </c>
      <c r="E146" s="111" t="n">
        <v>1880</v>
      </c>
      <c r="F146" s="110" t="inlineStr">
        <is>
          <t>Aviamento</t>
        </is>
      </c>
      <c r="G146" s="110" t="inlineStr">
        <is>
          <t>A PAGAR</t>
        </is>
      </c>
    </row>
    <row r="147">
      <c r="B147" s="110" t="inlineStr">
        <is>
          <t>CEDRO TEXTIL</t>
        </is>
      </c>
      <c r="C147" s="109" t="n">
        <v>45974</v>
      </c>
      <c r="D147" s="110" t="inlineStr">
        <is>
          <t>BOLETO BANCÁRIO</t>
        </is>
      </c>
      <c r="E147" s="111" t="n">
        <v>12292.25</v>
      </c>
      <c r="F147" s="110" t="inlineStr">
        <is>
          <t>Tecidos</t>
        </is>
      </c>
      <c r="G147" s="110" t="inlineStr">
        <is>
          <t>A PAGAR</t>
        </is>
      </c>
    </row>
    <row r="148">
      <c r="B148" s="110" t="inlineStr">
        <is>
          <t>CEDRO TEXTIL</t>
        </is>
      </c>
      <c r="C148" s="109" t="n">
        <v>45974</v>
      </c>
      <c r="D148" s="110" t="inlineStr">
        <is>
          <t>BOLETO BANCÁRIO</t>
        </is>
      </c>
      <c r="E148" s="111" t="n">
        <v>3675.62</v>
      </c>
      <c r="F148" s="110" t="inlineStr">
        <is>
          <t>Tecidos</t>
        </is>
      </c>
      <c r="G148" s="110" t="inlineStr">
        <is>
          <t>A PAGAR</t>
        </is>
      </c>
    </row>
    <row r="149">
      <c r="B149" s="110" t="inlineStr">
        <is>
          <t>LAVANDERIA AMAZONAS - LEONARDO</t>
        </is>
      </c>
      <c r="C149" s="109" t="n">
        <v>45976</v>
      </c>
      <c r="D149" s="110" t="inlineStr">
        <is>
          <t>CHEQUE CLIENTE</t>
        </is>
      </c>
      <c r="E149" s="111" t="n">
        <v>1179</v>
      </c>
      <c r="F149" s="110" t="inlineStr">
        <is>
          <t>Lavanderia</t>
        </is>
      </c>
      <c r="G149" s="110" t="inlineStr">
        <is>
          <t>A PAGAR</t>
        </is>
      </c>
    </row>
    <row r="150">
      <c r="B150" s="110" t="inlineStr">
        <is>
          <t>BLESSED LAVANDERIA</t>
        </is>
      </c>
      <c r="C150" s="109" t="n">
        <v>45976</v>
      </c>
      <c r="D150" s="110" t="inlineStr">
        <is>
          <t>CHEQUE CLIENTE</t>
        </is>
      </c>
      <c r="E150" s="111" t="n">
        <v>330</v>
      </c>
      <c r="F150" s="110" t="inlineStr">
        <is>
          <t>Lavanderia</t>
        </is>
      </c>
      <c r="G150" s="110" t="inlineStr">
        <is>
          <t>A PAGAR</t>
        </is>
      </c>
    </row>
    <row r="151">
      <c r="B151" s="110" t="inlineStr">
        <is>
          <t>LAVANDERIA AMAZONAS - LEONARDO</t>
        </is>
      </c>
      <c r="C151" s="109" t="n">
        <v>45976</v>
      </c>
      <c r="D151" s="110" t="inlineStr">
        <is>
          <t>CHEQUE CLIENTE</t>
        </is>
      </c>
      <c r="E151" s="111" t="n">
        <v>845</v>
      </c>
      <c r="F151" s="110" t="inlineStr">
        <is>
          <t>Lavanderia</t>
        </is>
      </c>
      <c r="G151" s="110" t="inlineStr">
        <is>
          <t>A PAGAR</t>
        </is>
      </c>
    </row>
    <row r="152">
      <c r="B152" s="110" t="inlineStr">
        <is>
          <t>LAVANDERIA AMAZONAS - LEONARDO</t>
        </is>
      </c>
      <c r="C152" s="109" t="n">
        <v>45978</v>
      </c>
      <c r="D152" s="110" t="inlineStr">
        <is>
          <t>CHEQUE CLIENTE</t>
        </is>
      </c>
      <c r="E152" s="111" t="n">
        <v>940</v>
      </c>
      <c r="F152" s="110" t="inlineStr">
        <is>
          <t>Lavanderia</t>
        </is>
      </c>
      <c r="G152" s="110" t="inlineStr">
        <is>
          <t>A PAGAR</t>
        </is>
      </c>
    </row>
    <row r="153">
      <c r="B153" s="110" t="inlineStr">
        <is>
          <t>LÍDER TECIDOS</t>
        </is>
      </c>
      <c r="C153" s="109" t="n">
        <v>45980</v>
      </c>
      <c r="D153" s="110" t="inlineStr">
        <is>
          <t>CHEQUE CLIENTE</t>
        </is>
      </c>
      <c r="E153" s="111" t="n">
        <v>2910</v>
      </c>
      <c r="F153" s="110" t="inlineStr">
        <is>
          <t>Aviamento</t>
        </is>
      </c>
      <c r="G153" s="110" t="inlineStr">
        <is>
          <t>A PAGAR</t>
        </is>
      </c>
    </row>
    <row r="154">
      <c r="B154" s="110" t="inlineStr">
        <is>
          <t>LÍDER TECIDOS</t>
        </is>
      </c>
      <c r="C154" s="109" t="n">
        <v>45981</v>
      </c>
      <c r="D154" s="110" t="inlineStr">
        <is>
          <t>CHEQUE CLIENTE</t>
        </is>
      </c>
      <c r="E154" s="111" t="n">
        <v>2882</v>
      </c>
      <c r="F154" s="110" t="inlineStr">
        <is>
          <t>Tecidos</t>
        </is>
      </c>
      <c r="G154" s="110" t="inlineStr">
        <is>
          <t>A PAGAR</t>
        </is>
      </c>
    </row>
    <row r="155">
      <c r="B155" s="110" t="inlineStr">
        <is>
          <t>CAPITAL GIRO SANTANDER ALV PJ</t>
        </is>
      </c>
      <c r="C155" s="109" t="n">
        <v>45981</v>
      </c>
      <c r="D155" s="110" t="inlineStr">
        <is>
          <t>TRANSFERÊNCIA</t>
        </is>
      </c>
      <c r="E155" s="111" t="n">
        <v>2088</v>
      </c>
      <c r="F155" s="110" t="inlineStr">
        <is>
          <t>Empréstimos</t>
        </is>
      </c>
      <c r="G155" s="110" t="inlineStr">
        <is>
          <t>A PAGAR</t>
        </is>
      </c>
    </row>
    <row r="156">
      <c r="B156" s="110" t="inlineStr">
        <is>
          <t>DESPESAS CARRO</t>
        </is>
      </c>
      <c r="C156" s="109" t="n">
        <v>45981</v>
      </c>
      <c r="D156" s="110" t="inlineStr">
        <is>
          <t>CARTÃO DE CRÉDITO</t>
        </is>
      </c>
      <c r="E156" s="111" t="n">
        <v>216.67</v>
      </c>
      <c r="F156" s="110" t="inlineStr">
        <is>
          <t>Combustíveis</t>
        </is>
      </c>
      <c r="G156" s="110" t="inlineStr">
        <is>
          <t>A PAGAR</t>
        </is>
      </c>
    </row>
    <row r="157">
      <c r="B157" s="110" t="inlineStr">
        <is>
          <t>OI INTERNET</t>
        </is>
      </c>
      <c r="C157" s="109" t="n">
        <v>45982</v>
      </c>
      <c r="D157" s="110" t="inlineStr">
        <is>
          <t>TRANSFERÊNCIA</t>
        </is>
      </c>
      <c r="E157" s="111" t="n">
        <v>120</v>
      </c>
      <c r="F157" s="110" t="inlineStr">
        <is>
          <t>Telefonia Fixa e Internet</t>
        </is>
      </c>
      <c r="G157" s="110" t="inlineStr">
        <is>
          <t>A PAGAR</t>
        </is>
      </c>
    </row>
    <row r="158">
      <c r="B158" s="110" t="inlineStr">
        <is>
          <t>IMPOSTO ALV</t>
        </is>
      </c>
      <c r="C158" s="109" t="n">
        <v>45982</v>
      </c>
      <c r="D158" s="110" t="inlineStr">
        <is>
          <t>BOLETO BANCÁRIO</t>
        </is>
      </c>
      <c r="E158" s="111" t="n">
        <v>20374.46</v>
      </c>
      <c r="F158" s="110" t="inlineStr">
        <is>
          <t>Simples Nacional</t>
        </is>
      </c>
      <c r="G158" s="110" t="inlineStr">
        <is>
          <t>A PAGAR</t>
        </is>
      </c>
    </row>
    <row r="159">
      <c r="B159" s="110" t="inlineStr">
        <is>
          <t>LÍDER TECIDOS</t>
        </is>
      </c>
      <c r="C159" s="109" t="n">
        <v>45982</v>
      </c>
      <c r="D159" s="110" t="inlineStr">
        <is>
          <t>CHEQUE CLIENTE</t>
        </is>
      </c>
      <c r="E159" s="111" t="n">
        <v>2000</v>
      </c>
      <c r="F159" s="110" t="inlineStr">
        <is>
          <t>Aviamento</t>
        </is>
      </c>
      <c r="G159" s="110" t="inlineStr">
        <is>
          <t>A PAGAR</t>
        </is>
      </c>
    </row>
    <row r="160">
      <c r="B160" s="110" t="inlineStr">
        <is>
          <t>BANCO ITAU</t>
        </is>
      </c>
      <c r="C160" s="109" t="n">
        <v>45982</v>
      </c>
      <c r="D160" s="110" t="inlineStr">
        <is>
          <t>TRANSFERÊNCIA</t>
        </is>
      </c>
      <c r="E160" s="111" t="n">
        <v>42329</v>
      </c>
      <c r="F160" s="110" t="inlineStr">
        <is>
          <t>Empréstimos</t>
        </is>
      </c>
      <c r="G160" s="110" t="inlineStr">
        <is>
          <t>A PAGAR</t>
        </is>
      </c>
    </row>
    <row r="161">
      <c r="B161" s="110" t="inlineStr">
        <is>
          <t>CAPITAL GIRO SANTANDER ALV PJ</t>
        </is>
      </c>
      <c r="C161" s="109" t="n">
        <v>45983</v>
      </c>
      <c r="D161" s="110" t="inlineStr">
        <is>
          <t>TRANSFERÊNCIA</t>
        </is>
      </c>
      <c r="E161" s="111" t="n">
        <v>3127.85</v>
      </c>
      <c r="F161" s="110" t="inlineStr">
        <is>
          <t>Empréstimos</t>
        </is>
      </c>
      <c r="G161" s="110" t="inlineStr">
        <is>
          <t>A PAGAR</t>
        </is>
      </c>
    </row>
    <row r="162">
      <c r="B162" s="110" t="inlineStr">
        <is>
          <t>CEDRO TEXTIL</t>
        </is>
      </c>
      <c r="C162" s="109" t="n">
        <v>45983</v>
      </c>
      <c r="D162" s="110" t="inlineStr">
        <is>
          <t>BOLETO BANCÁRIO</t>
        </is>
      </c>
      <c r="E162" s="111" t="n">
        <v>1519.86</v>
      </c>
      <c r="F162" s="110" t="inlineStr">
        <is>
          <t>Tecidos</t>
        </is>
      </c>
      <c r="G162" s="110" t="inlineStr">
        <is>
          <t>A PAGAR</t>
        </is>
      </c>
    </row>
    <row r="163">
      <c r="B163" s="110" t="inlineStr">
        <is>
          <t>BANCO ITAU/PESSOA FISICA</t>
        </is>
      </c>
      <c r="C163" s="109" t="n">
        <v>45983</v>
      </c>
      <c r="D163" s="110" t="inlineStr">
        <is>
          <t>TRANSFERÊNCIA</t>
        </is>
      </c>
      <c r="E163" s="111" t="n">
        <v>12013.66</v>
      </c>
      <c r="F163" s="110" t="inlineStr">
        <is>
          <t>Títulos de Capitalização</t>
        </is>
      </c>
      <c r="G163" s="110" t="inlineStr">
        <is>
          <t>A PAGAR</t>
        </is>
      </c>
    </row>
    <row r="164">
      <c r="B164" s="110" t="inlineStr">
        <is>
          <t>CAPITAL GIRO ITAU PF CLEITON</t>
        </is>
      </c>
      <c r="C164" s="109" t="n">
        <v>45984</v>
      </c>
      <c r="D164" s="110" t="inlineStr">
        <is>
          <t>TRANSFERÊNCIA</t>
        </is>
      </c>
      <c r="E164" s="111" t="n">
        <v>12445.02</v>
      </c>
      <c r="F164" s="110" t="inlineStr">
        <is>
          <t>Empréstimos</t>
        </is>
      </c>
      <c r="G164" s="110" t="inlineStr">
        <is>
          <t>A PAGAR</t>
        </is>
      </c>
    </row>
    <row r="165">
      <c r="B165" s="110" t="inlineStr">
        <is>
          <t>CEDRO TEXTIL</t>
        </is>
      </c>
      <c r="C165" s="109" t="n">
        <v>45984</v>
      </c>
      <c r="D165" s="110" t="inlineStr">
        <is>
          <t>BOLETO BANCÁRIO</t>
        </is>
      </c>
      <c r="E165" s="111" t="n">
        <v>824.79</v>
      </c>
      <c r="F165" s="110" t="inlineStr">
        <is>
          <t>Tecidos</t>
        </is>
      </c>
      <c r="G165" s="110" t="inlineStr">
        <is>
          <t>A PAGAR</t>
        </is>
      </c>
    </row>
    <row r="166">
      <c r="B166" s="110" t="inlineStr">
        <is>
          <t>BLESSED LAVANDERIA</t>
        </is>
      </c>
      <c r="C166" s="109" t="n">
        <v>45986</v>
      </c>
      <c r="D166" s="110" t="inlineStr">
        <is>
          <t>CHEQUE CLIENTE</t>
        </is>
      </c>
      <c r="E166" s="111" t="n">
        <v>3250</v>
      </c>
      <c r="F166" s="110" t="inlineStr">
        <is>
          <t>Lavanderia</t>
        </is>
      </c>
      <c r="G166" s="110" t="inlineStr">
        <is>
          <t>A PAGAR</t>
        </is>
      </c>
    </row>
    <row r="167">
      <c r="B167" s="110" t="inlineStr">
        <is>
          <t>CEDRO TEXTIL</t>
        </is>
      </c>
      <c r="C167" s="109" t="n">
        <v>45988</v>
      </c>
      <c r="D167" s="110" t="inlineStr">
        <is>
          <t>BOLETO BANCÁRIO</t>
        </is>
      </c>
      <c r="E167" s="111" t="n">
        <v>2998.96</v>
      </c>
      <c r="F167" s="110" t="inlineStr">
        <is>
          <t>Tecidos</t>
        </is>
      </c>
      <c r="G167" s="110" t="inlineStr">
        <is>
          <t>A PAGAR</t>
        </is>
      </c>
    </row>
    <row r="168">
      <c r="B168" s="110" t="inlineStr">
        <is>
          <t>CEDRO TEXTIL</t>
        </is>
      </c>
      <c r="C168" s="109" t="n">
        <v>45988</v>
      </c>
      <c r="D168" s="110" t="inlineStr">
        <is>
          <t>BOLETO BANCÁRIO</t>
        </is>
      </c>
      <c r="E168" s="111" t="n">
        <v>4040.9</v>
      </c>
      <c r="F168" s="110" t="inlineStr">
        <is>
          <t>Tecidos</t>
        </is>
      </c>
      <c r="G168" s="110" t="inlineStr">
        <is>
          <t>A PAGAR</t>
        </is>
      </c>
    </row>
    <row r="169">
      <c r="B169" s="110" t="inlineStr">
        <is>
          <t>CEDRO TEXTIL</t>
        </is>
      </c>
      <c r="C169" s="109" t="n">
        <v>45989</v>
      </c>
      <c r="D169" s="110" t="inlineStr">
        <is>
          <t>BOLETO BANCÁRIO</t>
        </is>
      </c>
      <c r="E169" s="111" t="n">
        <v>1791.81</v>
      </c>
      <c r="F169" s="110" t="inlineStr">
        <is>
          <t>Tecidos</t>
        </is>
      </c>
      <c r="G169" s="110" t="inlineStr">
        <is>
          <t>A PAGAR</t>
        </is>
      </c>
    </row>
    <row r="170">
      <c r="B170" s="110" t="inlineStr">
        <is>
          <t>ROMERONDES - LAVANDERIA</t>
        </is>
      </c>
      <c r="C170" s="109" t="n">
        <v>45989</v>
      </c>
      <c r="D170" s="110" t="inlineStr">
        <is>
          <t>CHEQUE CLIENTE</t>
        </is>
      </c>
      <c r="E170" s="111" t="n">
        <v>1179</v>
      </c>
      <c r="F170" s="110" t="inlineStr">
        <is>
          <t>Lavanderia</t>
        </is>
      </c>
      <c r="G170" s="110" t="inlineStr">
        <is>
          <t>A PAGAR</t>
        </is>
      </c>
    </row>
    <row r="171">
      <c r="B171" s="110" t="inlineStr">
        <is>
          <t>CEDRO TEXTIL</t>
        </is>
      </c>
      <c r="C171" s="109" t="n">
        <v>45989</v>
      </c>
      <c r="D171" s="110" t="inlineStr">
        <is>
          <t>BOLETO BANCÁRIO</t>
        </is>
      </c>
      <c r="E171" s="111" t="n">
        <v>12292.25</v>
      </c>
      <c r="F171" s="110" t="inlineStr">
        <is>
          <t>Tecidos</t>
        </is>
      </c>
      <c r="G171" s="110" t="inlineStr">
        <is>
          <t>A PAGAR</t>
        </is>
      </c>
    </row>
    <row r="172">
      <c r="B172" s="110" t="inlineStr">
        <is>
          <t>BANCO SANTANDER</t>
        </is>
      </c>
      <c r="C172" s="109" t="n">
        <v>45989</v>
      </c>
      <c r="D172" s="110" t="inlineStr">
        <is>
          <t>TRANSFERÊNCIA</t>
        </is>
      </c>
      <c r="E172" s="111" t="n">
        <v>15436.91</v>
      </c>
      <c r="F172" s="110" t="inlineStr">
        <is>
          <t>Empréstimos</t>
        </is>
      </c>
      <c r="G172" s="110" t="inlineStr">
        <is>
          <t>A PAGAR</t>
        </is>
      </c>
    </row>
    <row r="173">
      <c r="B173" s="110" t="inlineStr">
        <is>
          <t>CIA FIACAO E TECIDOS CEDRO E CACHOE</t>
        </is>
      </c>
      <c r="C173" s="109" t="n">
        <v>45989</v>
      </c>
      <c r="D173" s="110" t="inlineStr">
        <is>
          <t>BOLETO BANCÁRIO</t>
        </is>
      </c>
      <c r="E173" s="111" t="n">
        <v>6015.52</v>
      </c>
      <c r="F173" s="110" t="inlineStr">
        <is>
          <t>Tecidos</t>
        </is>
      </c>
      <c r="G173" s="110" t="inlineStr">
        <is>
          <t>A PAGAR</t>
        </is>
      </c>
    </row>
    <row r="174">
      <c r="B174" s="110" t="inlineStr">
        <is>
          <t>CEDRO TEXTIL</t>
        </is>
      </c>
      <c r="C174" s="109" t="n">
        <v>45989</v>
      </c>
      <c r="D174" s="110" t="inlineStr">
        <is>
          <t>BOLETO BANCÁRIO</t>
        </is>
      </c>
      <c r="E174" s="111" t="n">
        <v>1678.95</v>
      </c>
      <c r="F174" s="110" t="inlineStr">
        <is>
          <t>Tecidos</t>
        </is>
      </c>
      <c r="G174" s="110" t="inlineStr">
        <is>
          <t>A PAGAR</t>
        </is>
      </c>
    </row>
    <row r="175">
      <c r="B175" s="110" t="inlineStr">
        <is>
          <t>CEDRO TEXTIL</t>
        </is>
      </c>
      <c r="C175" s="109" t="n">
        <v>45989</v>
      </c>
      <c r="D175" s="110" t="inlineStr">
        <is>
          <t>BOLETO BANCÁRIO</t>
        </is>
      </c>
      <c r="E175" s="111" t="n">
        <v>9456.34</v>
      </c>
      <c r="F175" s="110" t="inlineStr">
        <is>
          <t>Tecidos</t>
        </is>
      </c>
      <c r="G175" s="110" t="inlineStr">
        <is>
          <t>A PAGAR</t>
        </is>
      </c>
    </row>
    <row r="176">
      <c r="B176" s="110" t="inlineStr">
        <is>
          <t>CEDRO TEXTIL</t>
        </is>
      </c>
      <c r="C176" s="109" t="n">
        <v>45989</v>
      </c>
      <c r="D176" s="110" t="inlineStr">
        <is>
          <t>BOLETO BANCÁRIO</t>
        </is>
      </c>
      <c r="E176" s="111" t="n">
        <v>3538.55</v>
      </c>
      <c r="F176" s="110" t="inlineStr">
        <is>
          <t>Tecidos</t>
        </is>
      </c>
      <c r="G176" s="110" t="inlineStr">
        <is>
          <t>A PAGAR</t>
        </is>
      </c>
    </row>
    <row r="177">
      <c r="B177" s="110" t="inlineStr">
        <is>
          <t>VENCIMENTO FATURA DO CARTÃO</t>
        </is>
      </c>
      <c r="C177" s="109" t="n">
        <v>45989</v>
      </c>
      <c r="D177" s="110" t="inlineStr">
        <is>
          <t>CARTÃO DE CRÉDITO</t>
        </is>
      </c>
      <c r="E177" s="111" t="n">
        <v>0.5</v>
      </c>
      <c r="F177" s="110" t="inlineStr">
        <is>
          <t>Outros Insumos</t>
        </is>
      </c>
      <c r="G177" s="110" t="inlineStr">
        <is>
          <t>A PAGAR</t>
        </is>
      </c>
    </row>
    <row r="178">
      <c r="B178" s="110" t="inlineStr">
        <is>
          <t>SHEILA ETIQUETAS</t>
        </is>
      </c>
      <c r="C178" s="109" t="n">
        <v>45990</v>
      </c>
      <c r="D178" s="110" t="inlineStr">
        <is>
          <t>CHEQUE CLIENTE</t>
        </is>
      </c>
      <c r="E178" s="111" t="n">
        <v>5294</v>
      </c>
      <c r="F178" s="110" t="inlineStr">
        <is>
          <t>Etiquetas</t>
        </is>
      </c>
      <c r="G178" s="110" t="inlineStr">
        <is>
          <t>A PAGAR</t>
        </is>
      </c>
    </row>
    <row r="179">
      <c r="B179" s="110" t="inlineStr">
        <is>
          <t>DESPESAS VARIAVEIS</t>
        </is>
      </c>
      <c r="C179" s="109" t="n">
        <v>45991</v>
      </c>
      <c r="D179" s="110" t="inlineStr">
        <is>
          <t>PIX CODI BANCO BRASIL</t>
        </is>
      </c>
      <c r="E179" s="111" t="n">
        <v>0.01</v>
      </c>
      <c r="F179" s="110" t="inlineStr">
        <is>
          <t>Outras Despesas</t>
        </is>
      </c>
      <c r="G179" s="110" t="inlineStr">
        <is>
          <t>A PAGAR</t>
        </is>
      </c>
    </row>
    <row r="180">
      <c r="B180" s="110" t="inlineStr">
        <is>
          <t>LÍDER TECIDOS</t>
        </is>
      </c>
      <c r="C180" s="109" t="n">
        <v>45991</v>
      </c>
      <c r="D180" s="110" t="inlineStr">
        <is>
          <t>CHEQUE CLIENTE</t>
        </is>
      </c>
      <c r="E180" s="111" t="n">
        <v>3185</v>
      </c>
      <c r="F180" s="110" t="inlineStr">
        <is>
          <t>Aviamento</t>
        </is>
      </c>
      <c r="G180" s="110" t="inlineStr">
        <is>
          <t>A PAGAR</t>
        </is>
      </c>
    </row>
    <row r="181">
      <c r="B181" s="110" t="inlineStr">
        <is>
          <t>LÍDER TECIDOS</t>
        </is>
      </c>
      <c r="C181" s="109" t="n">
        <v>45991</v>
      </c>
      <c r="D181" s="110" t="inlineStr">
        <is>
          <t>CHEQUE CLIENTE</t>
        </is>
      </c>
      <c r="E181" s="111" t="n">
        <v>687.5</v>
      </c>
      <c r="F181" s="110" t="inlineStr">
        <is>
          <t>Aviamento</t>
        </is>
      </c>
      <c r="G181" s="110" t="inlineStr">
        <is>
          <t>A PAGAR</t>
        </is>
      </c>
    </row>
    <row r="182">
      <c r="B182" s="110" t="inlineStr">
        <is>
          <t>DIARISTA</t>
        </is>
      </c>
      <c r="C182" s="109" t="n">
        <v>45992</v>
      </c>
      <c r="D182" s="110" t="inlineStr">
        <is>
          <t>PIX ITAU ALV</t>
        </is>
      </c>
      <c r="E182" s="111" t="n">
        <v>170</v>
      </c>
      <c r="F182" s="110" t="inlineStr">
        <is>
          <t>Salário e Ordenados</t>
        </is>
      </c>
      <c r="G182" s="110" t="inlineStr">
        <is>
          <t>A PAGAR</t>
        </is>
      </c>
    </row>
    <row r="183">
      <c r="B183" s="110" t="inlineStr">
        <is>
          <t>SANTISTA TEXTIL</t>
        </is>
      </c>
      <c r="C183" s="109" t="n">
        <v>45992</v>
      </c>
      <c r="D183" s="110" t="inlineStr">
        <is>
          <t>PIX ITAU ALV</t>
        </is>
      </c>
      <c r="E183" s="111" t="n">
        <v>9868.42</v>
      </c>
      <c r="F183" s="110" t="inlineStr">
        <is>
          <t>Tecidos</t>
        </is>
      </c>
      <c r="G183" s="110" t="inlineStr">
        <is>
          <t>A PAGAR</t>
        </is>
      </c>
    </row>
    <row r="184">
      <c r="B184" s="110" t="inlineStr">
        <is>
          <t>CEDRO TEXTIL</t>
        </is>
      </c>
      <c r="C184" s="109" t="n">
        <v>45998</v>
      </c>
      <c r="D184" s="110" t="inlineStr">
        <is>
          <t>BOLETO BANCÁRIO</t>
        </is>
      </c>
      <c r="E184" s="111" t="n">
        <v>1519.86</v>
      </c>
      <c r="F184" s="110" t="inlineStr">
        <is>
          <t>Tecidos</t>
        </is>
      </c>
      <c r="G184" s="110" t="inlineStr">
        <is>
          <t>A PAGAR</t>
        </is>
      </c>
    </row>
    <row r="185">
      <c r="B185" s="110" t="inlineStr">
        <is>
          <t>SHEILA ETIQUETAS</t>
        </is>
      </c>
      <c r="C185" s="109" t="n">
        <v>45999</v>
      </c>
      <c r="D185" s="110" t="inlineStr">
        <is>
          <t>CHEQUE CLIENTE</t>
        </is>
      </c>
      <c r="E185" s="111" t="n">
        <v>2083.75</v>
      </c>
      <c r="F185" s="110" t="inlineStr">
        <is>
          <t>Etiquetas</t>
        </is>
      </c>
      <c r="G185" s="110" t="inlineStr">
        <is>
          <t>A PAGAR</t>
        </is>
      </c>
    </row>
    <row r="186">
      <c r="B186" s="110" t="inlineStr">
        <is>
          <t>CEDRO TEXTIL</t>
        </is>
      </c>
      <c r="C186" s="109" t="n">
        <v>45999</v>
      </c>
      <c r="D186" s="110" t="inlineStr">
        <is>
          <t>BOLETO BANCÁRIO</t>
        </is>
      </c>
      <c r="E186" s="111" t="n">
        <v>824.79</v>
      </c>
      <c r="F186" s="110" t="inlineStr">
        <is>
          <t>Tecidos</t>
        </is>
      </c>
      <c r="G186" s="110" t="inlineStr">
        <is>
          <t>A PAGAR</t>
        </is>
      </c>
    </row>
    <row r="187">
      <c r="B187" s="110" t="inlineStr">
        <is>
          <t>SHEILA ETIQUETAS</t>
        </is>
      </c>
      <c r="C187" s="109" t="n">
        <v>45999</v>
      </c>
      <c r="D187" s="110" t="inlineStr">
        <is>
          <t>CHEQUE CLIENTE</t>
        </is>
      </c>
      <c r="E187" s="111" t="n">
        <v>3250</v>
      </c>
      <c r="F187" s="110" t="inlineStr">
        <is>
          <t>Etiquetas</t>
        </is>
      </c>
      <c r="G187" s="110" t="inlineStr">
        <is>
          <t>A PAGAR</t>
        </is>
      </c>
    </row>
    <row r="188">
      <c r="B188" s="110" t="inlineStr">
        <is>
          <t>SANTISTA TEXTIL</t>
        </is>
      </c>
      <c r="C188" s="109" t="n">
        <v>45999</v>
      </c>
      <c r="D188" s="110" t="inlineStr">
        <is>
          <t>BOLETO BANCÁRIO</t>
        </is>
      </c>
      <c r="E188" s="111" t="n">
        <v>13832.35</v>
      </c>
      <c r="F188" s="110" t="inlineStr">
        <is>
          <t>Tecidos</t>
        </is>
      </c>
      <c r="G188" s="110" t="inlineStr">
        <is>
          <t>A PAGAR</t>
        </is>
      </c>
    </row>
    <row r="189">
      <c r="B189" s="110" t="inlineStr">
        <is>
          <t>BLESSED LAVANDERIA</t>
        </is>
      </c>
      <c r="C189" s="109" t="n">
        <v>46000</v>
      </c>
      <c r="D189" s="110" t="inlineStr">
        <is>
          <t>CHEQUE CLIENTE</t>
        </is>
      </c>
      <c r="E189" s="111" t="n">
        <v>1465</v>
      </c>
      <c r="F189" s="110" t="inlineStr">
        <is>
          <t>Lavanderia</t>
        </is>
      </c>
      <c r="G189" s="110" t="inlineStr">
        <is>
          <t>A PAGAR</t>
        </is>
      </c>
    </row>
    <row r="190">
      <c r="B190" s="110" t="inlineStr">
        <is>
          <t>TEXTIL CANATIBA LTDA</t>
        </is>
      </c>
      <c r="C190" s="109" t="n">
        <v>46000</v>
      </c>
      <c r="D190" s="110" t="inlineStr">
        <is>
          <t>BOLETO BANCÁRIO</t>
        </is>
      </c>
      <c r="E190" s="111" t="n">
        <v>1251.13</v>
      </c>
      <c r="F190" s="110" t="inlineStr">
        <is>
          <t>Tecidos</t>
        </is>
      </c>
      <c r="G190" s="110" t="inlineStr">
        <is>
          <t>A PAGAR</t>
        </is>
      </c>
    </row>
    <row r="191">
      <c r="B191" s="110" t="inlineStr">
        <is>
          <t>TEXTIL CANATIBA LTDA</t>
        </is>
      </c>
      <c r="C191" s="109" t="n">
        <v>46000</v>
      </c>
      <c r="D191" s="110" t="inlineStr">
        <is>
          <t>BOLETO BANCÁRIO</t>
        </is>
      </c>
      <c r="E191" s="111" t="n">
        <v>726.9</v>
      </c>
      <c r="F191" s="110" t="inlineStr">
        <is>
          <t>Tecidos</t>
        </is>
      </c>
      <c r="G191" s="110" t="inlineStr">
        <is>
          <t>A PAGAR</t>
        </is>
      </c>
    </row>
    <row r="192">
      <c r="B192" s="110" t="inlineStr">
        <is>
          <t>LAVANDERIA AMAZONAS - LEONARDO</t>
        </is>
      </c>
      <c r="C192" s="109" t="n">
        <v>46001</v>
      </c>
      <c r="D192" s="110" t="inlineStr">
        <is>
          <t>CHEQUE CLIENTE</t>
        </is>
      </c>
      <c r="E192" s="111" t="n">
        <v>940</v>
      </c>
      <c r="F192" s="110" t="inlineStr">
        <is>
          <t>Lavanderia</t>
        </is>
      </c>
      <c r="G192" s="110" t="inlineStr">
        <is>
          <t>A PAGAR</t>
        </is>
      </c>
    </row>
    <row r="193">
      <c r="B193" s="110" t="inlineStr">
        <is>
          <t>BLESSED LAVANDERIA</t>
        </is>
      </c>
      <c r="C193" s="109" t="n">
        <v>46002</v>
      </c>
      <c r="D193" s="110" t="inlineStr">
        <is>
          <t>CHEQUE CLIENTE</t>
        </is>
      </c>
      <c r="E193" s="111" t="n">
        <v>1880</v>
      </c>
      <c r="F193" s="110" t="inlineStr">
        <is>
          <t>Lavanderia</t>
        </is>
      </c>
      <c r="G193" s="110" t="inlineStr">
        <is>
          <t>A PAGAR</t>
        </is>
      </c>
    </row>
    <row r="194">
      <c r="B194" s="110" t="inlineStr">
        <is>
          <t>TEXTIL CANATIBA LTDA</t>
        </is>
      </c>
      <c r="C194" s="109" t="n">
        <v>46002</v>
      </c>
      <c r="D194" s="110" t="inlineStr">
        <is>
          <t>BOLETO BANCÁRIO</t>
        </is>
      </c>
      <c r="E194" s="111" t="n">
        <v>16260.18</v>
      </c>
      <c r="F194" s="110" t="inlineStr">
        <is>
          <t>Tecidos</t>
        </is>
      </c>
      <c r="G194" s="110" t="inlineStr">
        <is>
          <t>A PAGAR</t>
        </is>
      </c>
    </row>
    <row r="195">
      <c r="B195" s="110" t="inlineStr">
        <is>
          <t>CEDRO TEXTIL</t>
        </is>
      </c>
      <c r="C195" s="109" t="n">
        <v>46004</v>
      </c>
      <c r="D195" s="110" t="inlineStr">
        <is>
          <t>BOLETO BANCÁRIO</t>
        </is>
      </c>
      <c r="E195" s="111" t="n">
        <v>9456.34</v>
      </c>
      <c r="F195" s="110" t="inlineStr">
        <is>
          <t>Tecidos</t>
        </is>
      </c>
      <c r="G195" s="110" t="inlineStr">
        <is>
          <t>A PAGAR</t>
        </is>
      </c>
    </row>
    <row r="196">
      <c r="B196" s="110" t="inlineStr">
        <is>
          <t>CEDRO TEXTIL</t>
        </is>
      </c>
      <c r="C196" s="109" t="n">
        <v>46004</v>
      </c>
      <c r="D196" s="110" t="inlineStr">
        <is>
          <t>BOLETO BANCÁRIO</t>
        </is>
      </c>
      <c r="E196" s="111" t="n">
        <v>3675.62</v>
      </c>
      <c r="F196" s="110" t="inlineStr">
        <is>
          <t>Tecidos</t>
        </is>
      </c>
      <c r="G196" s="110" t="inlineStr">
        <is>
          <t>A PAGAR</t>
        </is>
      </c>
    </row>
    <row r="197">
      <c r="B197" s="110" t="inlineStr">
        <is>
          <t>CEDRO TEXTIL</t>
        </is>
      </c>
      <c r="C197" s="109" t="n">
        <v>46004</v>
      </c>
      <c r="D197" s="110" t="inlineStr">
        <is>
          <t>BOLETO BANCÁRIO</t>
        </is>
      </c>
      <c r="E197" s="111" t="n">
        <v>3538.55</v>
      </c>
      <c r="F197" s="110" t="inlineStr">
        <is>
          <t>Tecidos</t>
        </is>
      </c>
      <c r="G197" s="110" t="inlineStr">
        <is>
          <t>A PAGAR</t>
        </is>
      </c>
    </row>
    <row r="198">
      <c r="B198" s="110" t="inlineStr">
        <is>
          <t>CEDRO TEXTIL</t>
        </is>
      </c>
      <c r="C198" s="109" t="n">
        <v>46004</v>
      </c>
      <c r="D198" s="110" t="inlineStr">
        <is>
          <t>BOLETO BANCÁRIO</t>
        </is>
      </c>
      <c r="E198" s="111" t="n">
        <v>1678.95</v>
      </c>
      <c r="F198" s="110" t="inlineStr">
        <is>
          <t>Tecidos</t>
        </is>
      </c>
      <c r="G198" s="110" t="inlineStr">
        <is>
          <t>A PAGAR</t>
        </is>
      </c>
    </row>
    <row r="199">
      <c r="B199" s="110" t="inlineStr">
        <is>
          <t>CEDRO TEXTIL</t>
        </is>
      </c>
      <c r="C199" s="109" t="n">
        <v>46004</v>
      </c>
      <c r="D199" s="110" t="inlineStr">
        <is>
          <t>BOLETO BANCÁRIO</t>
        </is>
      </c>
      <c r="E199" s="111" t="n">
        <v>12292.25</v>
      </c>
      <c r="F199" s="110" t="inlineStr">
        <is>
          <t>Tecidos</t>
        </is>
      </c>
      <c r="G199" s="110" t="inlineStr">
        <is>
          <t>A PAGAR</t>
        </is>
      </c>
    </row>
    <row r="200">
      <c r="B200" s="110" t="inlineStr">
        <is>
          <t>CIA FIACAO E TECIDOS CEDRO E CACHOE</t>
        </is>
      </c>
      <c r="C200" s="109" t="n">
        <v>46004</v>
      </c>
      <c r="D200" s="110" t="inlineStr">
        <is>
          <t>BOLETO BANCÁRIO</t>
        </is>
      </c>
      <c r="E200" s="111" t="n">
        <v>6015.52</v>
      </c>
      <c r="F200" s="110" t="inlineStr">
        <is>
          <t>Tecidos</t>
        </is>
      </c>
      <c r="G200" s="110" t="inlineStr">
        <is>
          <t>A PAGAR</t>
        </is>
      </c>
    </row>
    <row r="201">
      <c r="B201" s="110" t="inlineStr">
        <is>
          <t>CEDRO TEXTIL</t>
        </is>
      </c>
      <c r="C201" s="109" t="n">
        <v>46004</v>
      </c>
      <c r="D201" s="110" t="inlineStr">
        <is>
          <t>BOLETO BANCÁRIO</t>
        </is>
      </c>
      <c r="E201" s="111" t="n">
        <v>1791.81</v>
      </c>
      <c r="F201" s="110" t="inlineStr">
        <is>
          <t>Tecidos</t>
        </is>
      </c>
      <c r="G201" s="110" t="inlineStr">
        <is>
          <t>A PAGAR</t>
        </is>
      </c>
    </row>
    <row r="202">
      <c r="B202" s="110" t="inlineStr">
        <is>
          <t>LAVANDERIA AMAZONAS - LEONARDO</t>
        </is>
      </c>
      <c r="C202" s="109" t="n">
        <v>46006</v>
      </c>
      <c r="D202" s="110" t="inlineStr">
        <is>
          <t>CHEQUE CLIENTE</t>
        </is>
      </c>
      <c r="E202" s="111" t="n">
        <v>2380</v>
      </c>
      <c r="F202" s="110" t="inlineStr">
        <is>
          <t>Lavanderia</t>
        </is>
      </c>
      <c r="G202" s="110" t="inlineStr">
        <is>
          <t>A PAGAR</t>
        </is>
      </c>
    </row>
    <row r="203">
      <c r="B203" s="110" t="inlineStr">
        <is>
          <t>LAVANDERIA AMAZONAS - LEONARDO</t>
        </is>
      </c>
      <c r="C203" s="109" t="n">
        <v>46006</v>
      </c>
      <c r="D203" s="110" t="inlineStr">
        <is>
          <t>CHEQUE CLIENTE</t>
        </is>
      </c>
      <c r="E203" s="111" t="n">
        <v>845</v>
      </c>
      <c r="F203" s="110" t="inlineStr">
        <is>
          <t>Lavanderia</t>
        </is>
      </c>
      <c r="G203" s="110" t="inlineStr">
        <is>
          <t>A PAGAR</t>
        </is>
      </c>
    </row>
    <row r="204">
      <c r="B204" s="110" t="inlineStr">
        <is>
          <t>EDIMILSON - FACÇÃO</t>
        </is>
      </c>
      <c r="C204" s="109" t="n">
        <v>46006</v>
      </c>
      <c r="D204" s="110" t="inlineStr">
        <is>
          <t>PIX CODI BANCO BRASIL</t>
        </is>
      </c>
      <c r="E204" s="111" t="n">
        <v>255</v>
      </c>
      <c r="F204" s="110" t="inlineStr">
        <is>
          <t>Facção</t>
        </is>
      </c>
      <c r="G204" s="110" t="inlineStr">
        <is>
          <t>A PAGAR</t>
        </is>
      </c>
    </row>
    <row r="205">
      <c r="B205" s="110" t="inlineStr">
        <is>
          <t>TEXTIL CANATIBA LTDA</t>
        </is>
      </c>
      <c r="C205" s="109" t="n">
        <v>46009</v>
      </c>
      <c r="D205" s="110" t="inlineStr">
        <is>
          <t>BOLETO BANCÁRIO</t>
        </is>
      </c>
      <c r="E205" s="111" t="n">
        <v>16260.18</v>
      </c>
      <c r="F205" s="110" t="inlineStr">
        <is>
          <t>Tecidos</t>
        </is>
      </c>
      <c r="G205" s="110" t="inlineStr">
        <is>
          <t>A PAGAR</t>
        </is>
      </c>
    </row>
    <row r="206">
      <c r="B206" s="110" t="inlineStr">
        <is>
          <t>LÍDER TECIDOS</t>
        </is>
      </c>
      <c r="C206" s="109" t="n">
        <v>46009</v>
      </c>
      <c r="D206" s="110" t="inlineStr">
        <is>
          <t>CHEQUE CLIENTE</t>
        </is>
      </c>
      <c r="E206" s="111" t="n">
        <v>2910</v>
      </c>
      <c r="F206" s="110" t="inlineStr">
        <is>
          <t>Aviamento</t>
        </is>
      </c>
      <c r="G206" s="110" t="inlineStr">
        <is>
          <t>A PAGAR</t>
        </is>
      </c>
    </row>
    <row r="207">
      <c r="B207" s="110" t="inlineStr">
        <is>
          <t>CAPITAL GIRO SANTANDER ALV PJ</t>
        </is>
      </c>
      <c r="C207" s="109" t="n">
        <v>46011</v>
      </c>
      <c r="D207" s="110" t="inlineStr">
        <is>
          <t>TRANSFERÊNCIA</t>
        </is>
      </c>
      <c r="E207" s="111" t="n">
        <v>2088</v>
      </c>
      <c r="F207" s="110" t="inlineStr">
        <is>
          <t>Empréstimos</t>
        </is>
      </c>
      <c r="G207" s="110" t="inlineStr">
        <is>
          <t>A PAGAR</t>
        </is>
      </c>
    </row>
    <row r="208">
      <c r="B208" s="110" t="inlineStr">
        <is>
          <t>DESPESAS ESCRITORIO</t>
        </is>
      </c>
      <c r="C208" s="109" t="n">
        <v>46011</v>
      </c>
      <c r="D208" s="110" t="inlineStr">
        <is>
          <t>PIX CODI BANCO BRASIL</t>
        </is>
      </c>
      <c r="E208" s="111" t="n">
        <v>120</v>
      </c>
      <c r="F208" s="110" t="inlineStr">
        <is>
          <t>Telefonia Móvel</t>
        </is>
      </c>
      <c r="G208" s="110" t="inlineStr">
        <is>
          <t>A PAGAR</t>
        </is>
      </c>
    </row>
    <row r="209">
      <c r="B209" s="110" t="inlineStr">
        <is>
          <t>LÍDER TECIDOS</t>
        </is>
      </c>
      <c r="C209" s="109" t="n">
        <v>46012</v>
      </c>
      <c r="D209" s="110" t="inlineStr">
        <is>
          <t>CHEQUE CLIENTE</t>
        </is>
      </c>
      <c r="E209" s="111" t="n">
        <v>2000</v>
      </c>
      <c r="F209" s="110" t="inlineStr">
        <is>
          <t>Aviamento</t>
        </is>
      </c>
      <c r="G209" s="110" t="inlineStr">
        <is>
          <t>A PAGAR</t>
        </is>
      </c>
    </row>
    <row r="210">
      <c r="B210" s="110" t="inlineStr">
        <is>
          <t>BANCO ITAU</t>
        </is>
      </c>
      <c r="C210" s="109" t="n">
        <v>46012</v>
      </c>
      <c r="D210" s="110" t="inlineStr">
        <is>
          <t>TRANSFERÊNCIA</t>
        </is>
      </c>
      <c r="E210" s="111" t="n">
        <v>42329</v>
      </c>
      <c r="F210" s="110" t="inlineStr">
        <is>
          <t>Empréstimos</t>
        </is>
      </c>
      <c r="G210" s="110" t="inlineStr">
        <is>
          <t>A PAGAR</t>
        </is>
      </c>
    </row>
    <row r="211">
      <c r="B211" s="110" t="inlineStr">
        <is>
          <t>OI INTERNET</t>
        </is>
      </c>
      <c r="C211" s="109" t="n">
        <v>46012</v>
      </c>
      <c r="D211" s="110" t="inlineStr">
        <is>
          <t>TRANSFERÊNCIA</t>
        </is>
      </c>
      <c r="E211" s="111" t="n">
        <v>120</v>
      </c>
      <c r="F211" s="110" t="inlineStr">
        <is>
          <t>Telefonia Fixa e Internet</t>
        </is>
      </c>
      <c r="G211" s="110" t="inlineStr">
        <is>
          <t>A PAGAR</t>
        </is>
      </c>
    </row>
    <row r="212">
      <c r="B212" s="110" t="inlineStr">
        <is>
          <t>IMPOSTO ALV</t>
        </is>
      </c>
      <c r="C212" s="109" t="n">
        <v>46013</v>
      </c>
      <c r="D212" s="110" t="inlineStr">
        <is>
          <t>BOLETO BANCÁRIO</t>
        </is>
      </c>
      <c r="E212" s="111" t="n">
        <v>20453.31</v>
      </c>
      <c r="F212" s="110" t="inlineStr">
        <is>
          <t>Simples Nacional</t>
        </is>
      </c>
      <c r="G212" s="110" t="inlineStr">
        <is>
          <t>A PAGAR</t>
        </is>
      </c>
    </row>
    <row r="213">
      <c r="B213" s="110" t="inlineStr">
        <is>
          <t>CAPITAL GIRO SANTANDER ALV PJ</t>
        </is>
      </c>
      <c r="C213" s="109" t="n">
        <v>46013</v>
      </c>
      <c r="D213" s="110" t="inlineStr">
        <is>
          <t>TRANSFERÊNCIA</t>
        </is>
      </c>
      <c r="E213" s="111" t="n">
        <v>3127.85</v>
      </c>
      <c r="F213" s="110" t="inlineStr">
        <is>
          <t>Empréstimos</t>
        </is>
      </c>
      <c r="G213" s="110" t="inlineStr">
        <is>
          <t>A PAGAR</t>
        </is>
      </c>
    </row>
    <row r="214">
      <c r="B214" s="110" t="inlineStr">
        <is>
          <t>SANTISTA TEXTIL</t>
        </is>
      </c>
      <c r="C214" s="109" t="n">
        <v>46013</v>
      </c>
      <c r="D214" s="110" t="inlineStr">
        <is>
          <t>BOLETO BANCÁRIO</t>
        </is>
      </c>
      <c r="E214" s="111" t="n">
        <v>13832.35</v>
      </c>
      <c r="F214" s="110" t="inlineStr">
        <is>
          <t>Tecidos</t>
        </is>
      </c>
      <c r="G214" s="110" t="inlineStr">
        <is>
          <t>A PAGAR</t>
        </is>
      </c>
    </row>
    <row r="215">
      <c r="B215" s="110" t="inlineStr">
        <is>
          <t>CEDRO TEXTIL</t>
        </is>
      </c>
      <c r="C215" s="109" t="n">
        <v>46013</v>
      </c>
      <c r="D215" s="110" t="inlineStr">
        <is>
          <t>BOLETO BANCÁRIO</t>
        </is>
      </c>
      <c r="E215" s="111" t="n">
        <v>1519.86</v>
      </c>
      <c r="F215" s="110" t="inlineStr">
        <is>
          <t>Tecidos</t>
        </is>
      </c>
      <c r="G215" s="110" t="inlineStr">
        <is>
          <t>A PAGAR</t>
        </is>
      </c>
    </row>
    <row r="216">
      <c r="B216" s="110" t="inlineStr">
        <is>
          <t>BANCO ITAU/PESSOA FISICA</t>
        </is>
      </c>
      <c r="C216" s="109" t="n">
        <v>46013</v>
      </c>
      <c r="D216" s="110" t="inlineStr">
        <is>
          <t>TRANSFERÊNCIA</t>
        </is>
      </c>
      <c r="E216" s="111" t="n">
        <v>12013.66</v>
      </c>
      <c r="F216" s="110" t="inlineStr">
        <is>
          <t>Títulos de Capitalização</t>
        </is>
      </c>
      <c r="G216" s="110" t="inlineStr">
        <is>
          <t>A PAGAR</t>
        </is>
      </c>
    </row>
    <row r="217">
      <c r="B217" s="110" t="inlineStr">
        <is>
          <t>CEDRO TEXTIL</t>
        </is>
      </c>
      <c r="C217" s="109" t="n">
        <v>46014</v>
      </c>
      <c r="D217" s="110" t="inlineStr">
        <is>
          <t>BOLETO BANCÁRIO</t>
        </is>
      </c>
      <c r="E217" s="111" t="n">
        <v>824.79</v>
      </c>
      <c r="F217" s="110" t="inlineStr">
        <is>
          <t>Tecidos</t>
        </is>
      </c>
      <c r="G217" s="110" t="inlineStr">
        <is>
          <t>A PAGAR</t>
        </is>
      </c>
    </row>
    <row r="218">
      <c r="B218" s="110" t="inlineStr">
        <is>
          <t>CAPITAL GIRO ITAU PF CLEITON</t>
        </is>
      </c>
      <c r="C218" s="109" t="n">
        <v>46014</v>
      </c>
      <c r="D218" s="110" t="inlineStr">
        <is>
          <t>TRANSFERÊNCIA</t>
        </is>
      </c>
      <c r="E218" s="111" t="n">
        <v>12445.02</v>
      </c>
      <c r="F218" s="110" t="inlineStr">
        <is>
          <t>Empréstimos</t>
        </is>
      </c>
      <c r="G218" s="110" t="inlineStr">
        <is>
          <t>A PAGAR</t>
        </is>
      </c>
    </row>
    <row r="219">
      <c r="B219" s="110" t="inlineStr">
        <is>
          <t>SHEILA ETIQUETAS</t>
        </is>
      </c>
      <c r="C219" s="109" t="n">
        <v>46015</v>
      </c>
      <c r="D219" s="110" t="inlineStr">
        <is>
          <t>CHEQUE CLIENTE</t>
        </is>
      </c>
      <c r="E219" s="111" t="n">
        <v>1786</v>
      </c>
      <c r="F219" s="110" t="inlineStr">
        <is>
          <t>Etiquetas</t>
        </is>
      </c>
      <c r="G219" s="110" t="inlineStr">
        <is>
          <t>A PAGAR</t>
        </is>
      </c>
    </row>
    <row r="220">
      <c r="B220" s="110" t="inlineStr">
        <is>
          <t>VICUNHA TEXTIL S/A.</t>
        </is>
      </c>
      <c r="C220" s="109" t="n">
        <v>46015</v>
      </c>
      <c r="D220" s="110" t="inlineStr">
        <is>
          <t>BOLETO BANCÁRIO</t>
        </is>
      </c>
      <c r="E220" s="111" t="n">
        <v>754.6900000000001</v>
      </c>
      <c r="F220" s="110" t="inlineStr">
        <is>
          <t>Tecidos</t>
        </is>
      </c>
      <c r="G220" s="110" t="inlineStr">
        <is>
          <t>A PAGAR</t>
        </is>
      </c>
    </row>
    <row r="221">
      <c r="B221" s="110" t="inlineStr">
        <is>
          <t>TEXTIL CANATIBA LTDA</t>
        </is>
      </c>
      <c r="C221" s="109" t="n">
        <v>46016</v>
      </c>
      <c r="D221" s="110" t="inlineStr">
        <is>
          <t>BOLETO BANCÁRIO</t>
        </is>
      </c>
      <c r="E221" s="111" t="n">
        <v>16260.16</v>
      </c>
      <c r="F221" s="110" t="inlineStr">
        <is>
          <t>Tecidos</t>
        </is>
      </c>
      <c r="G221" s="110" t="inlineStr">
        <is>
          <t>A PAGAR</t>
        </is>
      </c>
    </row>
    <row r="222">
      <c r="B222" s="110" t="inlineStr">
        <is>
          <t>CEDRO TEXTIL</t>
        </is>
      </c>
      <c r="C222" s="109" t="n">
        <v>46019</v>
      </c>
      <c r="D222" s="110" t="inlineStr">
        <is>
          <t>BOLETO BANCÁRIO</t>
        </is>
      </c>
      <c r="E222" s="111" t="n">
        <v>1678.94</v>
      </c>
      <c r="F222" s="110" t="inlineStr">
        <is>
          <t>Tecidos</t>
        </is>
      </c>
      <c r="G222" s="110" t="inlineStr">
        <is>
          <t>A PAGAR</t>
        </is>
      </c>
    </row>
    <row r="223">
      <c r="B223" s="110" t="inlineStr">
        <is>
          <t>CEDRO TEXTIL</t>
        </is>
      </c>
      <c r="C223" s="109" t="n">
        <v>46019</v>
      </c>
      <c r="D223" s="110" t="inlineStr">
        <is>
          <t>BOLETO BANCÁRIO</t>
        </is>
      </c>
      <c r="E223" s="111" t="n">
        <v>1791.8</v>
      </c>
      <c r="F223" s="110" t="inlineStr">
        <is>
          <t>Tecidos</t>
        </is>
      </c>
      <c r="G223" s="110" t="inlineStr">
        <is>
          <t>A PAGAR</t>
        </is>
      </c>
    </row>
    <row r="224">
      <c r="B224" s="110" t="inlineStr">
        <is>
          <t>BANCO SANTANDER</t>
        </is>
      </c>
      <c r="C224" s="109" t="n">
        <v>46019</v>
      </c>
      <c r="D224" s="110" t="inlineStr">
        <is>
          <t>TRANSFERÊNCIA</t>
        </is>
      </c>
      <c r="E224" s="111" t="n">
        <v>15436.91</v>
      </c>
      <c r="F224" s="110" t="inlineStr">
        <is>
          <t>Empréstimos</t>
        </is>
      </c>
      <c r="G224" s="110" t="inlineStr">
        <is>
          <t>A PAGAR</t>
        </is>
      </c>
    </row>
    <row r="225">
      <c r="B225" s="110" t="inlineStr">
        <is>
          <t>CEDRO TEXTIL</t>
        </is>
      </c>
      <c r="C225" s="109" t="n">
        <v>46019</v>
      </c>
      <c r="D225" s="110" t="inlineStr">
        <is>
          <t>BOLETO BANCÁRIO</t>
        </is>
      </c>
      <c r="E225" s="111" t="n">
        <v>9456.360000000001</v>
      </c>
      <c r="F225" s="110" t="inlineStr">
        <is>
          <t>Tecidos</t>
        </is>
      </c>
      <c r="G225" s="110" t="inlineStr">
        <is>
          <t>A PAGAR</t>
        </is>
      </c>
    </row>
    <row r="226">
      <c r="B226" s="110" t="inlineStr">
        <is>
          <t>CIA FIACAO E TECIDOS CEDRO E CACHOE</t>
        </is>
      </c>
      <c r="C226" s="109" t="n">
        <v>46019</v>
      </c>
      <c r="D226" s="110" t="inlineStr">
        <is>
          <t>BOLETO BANCÁRIO</t>
        </is>
      </c>
      <c r="E226" s="111" t="n">
        <v>6015.53</v>
      </c>
      <c r="F226" s="110" t="inlineStr">
        <is>
          <t>Tecidos</t>
        </is>
      </c>
      <c r="G226" s="110" t="inlineStr">
        <is>
          <t>A PAGAR</t>
        </is>
      </c>
    </row>
    <row r="227">
      <c r="B227" s="110" t="inlineStr">
        <is>
          <t>CEDRO TEXTIL</t>
        </is>
      </c>
      <c r="C227" s="109" t="n">
        <v>46019</v>
      </c>
      <c r="D227" s="110" t="inlineStr">
        <is>
          <t>BOLETO BANCÁRIO</t>
        </is>
      </c>
      <c r="E227" s="111" t="n">
        <v>3538.56</v>
      </c>
      <c r="F227" s="110" t="inlineStr">
        <is>
          <t>Tecidos</t>
        </is>
      </c>
      <c r="G227" s="110" t="inlineStr">
        <is>
          <t>A PAGAR</t>
        </is>
      </c>
    </row>
    <row r="228">
      <c r="B228" s="110" t="inlineStr">
        <is>
          <t>VENCIMENTO FATURA DO CARTÃO</t>
        </is>
      </c>
      <c r="C228" s="109" t="n">
        <v>46019</v>
      </c>
      <c r="D228" s="110" t="inlineStr">
        <is>
          <t>CARTÃO DE CRÉDITO</t>
        </is>
      </c>
      <c r="E228" s="111" t="n">
        <v>0.5</v>
      </c>
      <c r="F228" s="110" t="inlineStr">
        <is>
          <t>Outros Insumos</t>
        </is>
      </c>
      <c r="G228" s="110" t="inlineStr">
        <is>
          <t>A PAGAR</t>
        </is>
      </c>
    </row>
    <row r="229">
      <c r="B229" s="110" t="inlineStr">
        <is>
          <t>DESPESAS VARIAVEIS</t>
        </is>
      </c>
      <c r="C229" s="109" t="n">
        <v>46019</v>
      </c>
      <c r="D229" s="110" t="inlineStr">
        <is>
          <t>PIX CODI BANCO BRASIL</t>
        </is>
      </c>
      <c r="E229" s="111" t="n">
        <v>20000</v>
      </c>
      <c r="F229" s="110" t="inlineStr">
        <is>
          <t>Outras Despesas</t>
        </is>
      </c>
      <c r="G229" s="110" t="inlineStr">
        <is>
          <t>A PAGAR</t>
        </is>
      </c>
    </row>
    <row r="230">
      <c r="B230" s="110" t="inlineStr">
        <is>
          <t>CEDRO TEXTIL</t>
        </is>
      </c>
      <c r="C230" s="109" t="n">
        <v>46019</v>
      </c>
      <c r="D230" s="110" t="inlineStr">
        <is>
          <t>BOLETO BANCÁRIO</t>
        </is>
      </c>
      <c r="E230" s="111" t="n">
        <v>12292.24</v>
      </c>
      <c r="F230" s="110" t="inlineStr">
        <is>
          <t>Tecidos</t>
        </is>
      </c>
      <c r="G230" s="110" t="inlineStr">
        <is>
          <t>A PAGAR</t>
        </is>
      </c>
    </row>
    <row r="231">
      <c r="B231" s="110" t="inlineStr">
        <is>
          <t>CEDRO TEXTIL</t>
        </is>
      </c>
      <c r="C231" s="109" t="n">
        <v>46020</v>
      </c>
      <c r="D231" s="110" t="inlineStr">
        <is>
          <t>BOLETO BANCÁRIO</t>
        </is>
      </c>
      <c r="E231" s="111" t="n">
        <v>2996.49</v>
      </c>
      <c r="F231" s="110" t="inlineStr">
        <is>
          <t>Tecidos</t>
        </is>
      </c>
      <c r="G231" s="110" t="inlineStr">
        <is>
          <t>A PAGAR</t>
        </is>
      </c>
    </row>
    <row r="232">
      <c r="B232" s="110" t="inlineStr">
        <is>
          <t>CEDRO TEXTIL</t>
        </is>
      </c>
      <c r="C232" s="109" t="n">
        <v>46020</v>
      </c>
      <c r="D232" s="110" t="inlineStr">
        <is>
          <t>BOLETO BANCÁRIO</t>
        </is>
      </c>
      <c r="E232" s="111" t="n">
        <v>918.72</v>
      </c>
      <c r="F232" s="110" t="inlineStr">
        <is>
          <t>Tecidos</t>
        </is>
      </c>
      <c r="G232" s="110" t="inlineStr">
        <is>
          <t>A PAGAR</t>
        </is>
      </c>
    </row>
    <row r="233">
      <c r="B233" s="110" t="inlineStr">
        <is>
          <t>CEDRO TEXTIL</t>
        </is>
      </c>
      <c r="C233" s="109" t="n">
        <v>46020</v>
      </c>
      <c r="D233" s="110" t="inlineStr">
        <is>
          <t>BOLETO BANCÁRIO</t>
        </is>
      </c>
      <c r="E233" s="111" t="n">
        <v>6644.39</v>
      </c>
      <c r="F233" s="110" t="inlineStr">
        <is>
          <t>Tecidos</t>
        </is>
      </c>
      <c r="G233" s="110" t="inlineStr">
        <is>
          <t>A PAGAR</t>
        </is>
      </c>
    </row>
    <row r="234">
      <c r="B234" s="110" t="inlineStr">
        <is>
          <t>CEDRO TEXTIL</t>
        </is>
      </c>
      <c r="C234" s="109" t="n">
        <v>46020</v>
      </c>
      <c r="D234" s="110" t="inlineStr">
        <is>
          <t>BOLETO BANCÁRIO</t>
        </is>
      </c>
      <c r="E234" s="111" t="n">
        <v>3349.99</v>
      </c>
      <c r="F234" s="110" t="inlineStr">
        <is>
          <t>Tecidos</t>
        </is>
      </c>
      <c r="G234" s="110" t="inlineStr">
        <is>
          <t>A PAGAR</t>
        </is>
      </c>
    </row>
    <row r="235">
      <c r="B235" s="110" t="inlineStr">
        <is>
          <t>DIARISTA</t>
        </is>
      </c>
      <c r="C235" s="109" t="n">
        <v>46020</v>
      </c>
      <c r="D235" s="110" t="inlineStr">
        <is>
          <t>PIX ITAU ALV</t>
        </is>
      </c>
      <c r="E235" s="111" t="n">
        <v>170</v>
      </c>
      <c r="F235" s="110" t="inlineStr">
        <is>
          <t>Salário e Ordenados</t>
        </is>
      </c>
      <c r="G235" s="110" t="inlineStr">
        <is>
          <t>A PAGAR</t>
        </is>
      </c>
    </row>
    <row r="236">
      <c r="B236" s="110" t="inlineStr">
        <is>
          <t>CEDRO TEXTIL</t>
        </is>
      </c>
      <c r="C236" s="109" t="n">
        <v>46020</v>
      </c>
      <c r="D236" s="110" t="inlineStr">
        <is>
          <t>BOLETO BANCÁRIO</t>
        </is>
      </c>
      <c r="E236" s="111" t="n">
        <v>4139.98</v>
      </c>
      <c r="F236" s="110" t="inlineStr">
        <is>
          <t>Tecidos</t>
        </is>
      </c>
      <c r="G236" s="110" t="inlineStr">
        <is>
          <t>A PAGAR</t>
        </is>
      </c>
    </row>
    <row r="237">
      <c r="B237" s="110" t="inlineStr">
        <is>
          <t>CEDRO TEXTIL</t>
        </is>
      </c>
      <c r="C237" s="109" t="n">
        <v>46020</v>
      </c>
      <c r="D237" s="110" t="inlineStr">
        <is>
          <t>BOLETO BANCÁRIO</t>
        </is>
      </c>
      <c r="E237" s="111" t="n">
        <v>3236.66</v>
      </c>
      <c r="F237" s="110" t="inlineStr">
        <is>
          <t>Tecidos</t>
        </is>
      </c>
      <c r="G237" s="110" t="inlineStr">
        <is>
          <t>A PAGAR</t>
        </is>
      </c>
    </row>
    <row r="238">
      <c r="B238" s="110" t="inlineStr">
        <is>
          <t>CEDRO TEXTIL</t>
        </is>
      </c>
      <c r="C238" s="109" t="n">
        <v>46020</v>
      </c>
      <c r="D238" s="110" t="inlineStr">
        <is>
          <t>BOLETO BANCÁRIO</t>
        </is>
      </c>
      <c r="E238" s="111" t="n">
        <v>3845.12</v>
      </c>
      <c r="F238" s="110" t="inlineStr">
        <is>
          <t>Tecidos</t>
        </is>
      </c>
      <c r="G238" s="110" t="inlineStr">
        <is>
          <t>A PAGAR</t>
        </is>
      </c>
    </row>
    <row r="239">
      <c r="B239" s="110" t="inlineStr">
        <is>
          <t>PRIMOS LAVANDERIA LTDA</t>
        </is>
      </c>
      <c r="C239" s="109" t="n">
        <v>46021</v>
      </c>
      <c r="D239" s="110" t="inlineStr">
        <is>
          <t>CHEQUE CLIENTE</t>
        </is>
      </c>
      <c r="E239" s="111" t="n">
        <v>7106</v>
      </c>
      <c r="F239" s="110" t="inlineStr">
        <is>
          <t>Lavanderia</t>
        </is>
      </c>
      <c r="G239" s="110" t="inlineStr">
        <is>
          <t>A PAGAR</t>
        </is>
      </c>
    </row>
    <row r="240">
      <c r="B240" s="110" t="inlineStr">
        <is>
          <t>LÍDER TECIDOS</t>
        </is>
      </c>
      <c r="C240" s="109" t="n">
        <v>46021</v>
      </c>
      <c r="D240" s="110" t="inlineStr">
        <is>
          <t>CHEQUE CLIENTE</t>
        </is>
      </c>
      <c r="E240" s="111" t="n">
        <v>3185</v>
      </c>
      <c r="F240" s="110" t="inlineStr">
        <is>
          <t>Aviamento</t>
        </is>
      </c>
      <c r="G240" s="110" t="inlineStr">
        <is>
          <t>A PAGAR</t>
        </is>
      </c>
    </row>
    <row r="241">
      <c r="B241" s="110" t="inlineStr">
        <is>
          <t>LÍDER TECIDOS</t>
        </is>
      </c>
      <c r="C241" s="109" t="n">
        <v>46021</v>
      </c>
      <c r="D241" s="110" t="inlineStr">
        <is>
          <t>CHEQUE CLIENTE</t>
        </is>
      </c>
      <c r="E241" s="111" t="n">
        <v>687.5</v>
      </c>
      <c r="F241" s="110" t="inlineStr">
        <is>
          <t>Aviamento</t>
        </is>
      </c>
      <c r="G241" s="110" t="inlineStr">
        <is>
          <t>A PAGAR</t>
        </is>
      </c>
    </row>
    <row r="242">
      <c r="B242" s="110" t="inlineStr">
        <is>
          <t>SANTISTA TEXTIL</t>
        </is>
      </c>
      <c r="C242" s="109" t="n">
        <v>46027</v>
      </c>
      <c r="D242" s="110" t="inlineStr">
        <is>
          <t>BOLETO BANCÁRIO</t>
        </is>
      </c>
      <c r="E242" s="111" t="n">
        <v>13832.35</v>
      </c>
      <c r="F242" s="110" t="inlineStr">
        <is>
          <t>Tecidos</t>
        </is>
      </c>
      <c r="G242" s="110" t="inlineStr">
        <is>
          <t>A PAGAR</t>
        </is>
      </c>
    </row>
    <row r="243">
      <c r="B243" s="110" t="inlineStr">
        <is>
          <t>VICUNHA TEXTIL S/A.</t>
        </is>
      </c>
      <c r="C243" s="109" t="n">
        <v>46027</v>
      </c>
      <c r="D243" s="110" t="inlineStr">
        <is>
          <t>BOLETO BANCÁRIO</t>
        </is>
      </c>
      <c r="E243" s="111" t="n">
        <v>754.6900000000001</v>
      </c>
      <c r="F243" s="110" t="inlineStr">
        <is>
          <t>Tecidos</t>
        </is>
      </c>
      <c r="G243" s="110" t="inlineStr">
        <is>
          <t>A PAGAR</t>
        </is>
      </c>
    </row>
    <row r="244">
      <c r="B244" s="110" t="inlineStr">
        <is>
          <t>CEDRO TEXTIL</t>
        </is>
      </c>
      <c r="C244" s="109" t="n">
        <v>46028</v>
      </c>
      <c r="D244" s="110" t="inlineStr">
        <is>
          <t>BOLETO BANCÁRIO</t>
        </is>
      </c>
      <c r="E244" s="111" t="n">
        <v>1519.86</v>
      </c>
      <c r="F244" s="110" t="inlineStr">
        <is>
          <t>Tecidos</t>
        </is>
      </c>
      <c r="G244" s="110" t="inlineStr">
        <is>
          <t>A PAGAR</t>
        </is>
      </c>
    </row>
    <row r="245">
      <c r="B245" s="110" t="inlineStr">
        <is>
          <t>CEDRO TEXTIL</t>
        </is>
      </c>
      <c r="C245" s="109" t="n">
        <v>46029</v>
      </c>
      <c r="D245" s="110" t="inlineStr">
        <is>
          <t>BOLETO BANCÁRIO</t>
        </is>
      </c>
      <c r="E245" s="111" t="n">
        <v>824.8</v>
      </c>
      <c r="F245" s="110" t="inlineStr">
        <is>
          <t>Tecidos</t>
        </is>
      </c>
      <c r="G245" s="110" t="inlineStr">
        <is>
          <t>A PAGAR</t>
        </is>
      </c>
    </row>
    <row r="246">
      <c r="B246" s="110" t="inlineStr">
        <is>
          <t>SANTISTA TEXTIL</t>
        </is>
      </c>
      <c r="C246" s="109" t="n">
        <v>46031</v>
      </c>
      <c r="D246" s="110" t="inlineStr">
        <is>
          <t>BOLETO BANCÁRIO</t>
        </is>
      </c>
      <c r="E246" s="111" t="n">
        <v>10280.2</v>
      </c>
      <c r="F246" s="110" t="inlineStr">
        <is>
          <t>Tecidos</t>
        </is>
      </c>
      <c r="G246" s="110" t="inlineStr">
        <is>
          <t>A PAGAR</t>
        </is>
      </c>
    </row>
    <row r="247">
      <c r="B247" s="110" t="inlineStr">
        <is>
          <t>CEDRO TEXTIL</t>
        </is>
      </c>
      <c r="C247" s="109" t="n">
        <v>46035</v>
      </c>
      <c r="D247" s="110" t="inlineStr">
        <is>
          <t>BOLETO BANCÁRIO</t>
        </is>
      </c>
      <c r="E247" s="111" t="n">
        <v>4139.98</v>
      </c>
      <c r="F247" s="110" t="inlineStr">
        <is>
          <t>Tecidos</t>
        </is>
      </c>
      <c r="G247" s="110" t="inlineStr">
        <is>
          <t>A PAGAR</t>
        </is>
      </c>
    </row>
    <row r="248">
      <c r="B248" s="110" t="inlineStr">
        <is>
          <t>CEDRO TEXTIL</t>
        </is>
      </c>
      <c r="C248" s="109" t="n">
        <v>46035</v>
      </c>
      <c r="D248" s="110" t="inlineStr">
        <is>
          <t>BOLETO BANCÁRIO</t>
        </is>
      </c>
      <c r="E248" s="111" t="n">
        <v>2996.49</v>
      </c>
      <c r="F248" s="110" t="inlineStr">
        <is>
          <t>Tecidos</t>
        </is>
      </c>
      <c r="G248" s="110" t="inlineStr">
        <is>
          <t>A PAGAR</t>
        </is>
      </c>
    </row>
    <row r="249">
      <c r="B249" s="110" t="inlineStr">
        <is>
          <t>VICUNHA TEXTIL S/A.</t>
        </is>
      </c>
      <c r="C249" s="109" t="n">
        <v>46035</v>
      </c>
      <c r="D249" s="110" t="inlineStr">
        <is>
          <t>BOLETO BANCÁRIO</t>
        </is>
      </c>
      <c r="E249" s="111" t="n">
        <v>754.6900000000001</v>
      </c>
      <c r="F249" s="110" t="inlineStr">
        <is>
          <t>Tecidos</t>
        </is>
      </c>
      <c r="G249" s="110" t="inlineStr">
        <is>
          <t>A PAGAR</t>
        </is>
      </c>
    </row>
    <row r="250">
      <c r="B250" s="110" t="inlineStr">
        <is>
          <t>CEDRO TEXTIL</t>
        </is>
      </c>
      <c r="C250" s="109" t="n">
        <v>46035</v>
      </c>
      <c r="D250" s="110" t="inlineStr">
        <is>
          <t>BOLETO BANCÁRIO</t>
        </is>
      </c>
      <c r="E250" s="111" t="n">
        <v>3236.66</v>
      </c>
      <c r="F250" s="110" t="inlineStr">
        <is>
          <t>Tecidos</t>
        </is>
      </c>
      <c r="G250" s="110" t="inlineStr">
        <is>
          <t>A PAGAR</t>
        </is>
      </c>
    </row>
    <row r="251">
      <c r="B251" s="110" t="inlineStr">
        <is>
          <t>CEDRO TEXTIL</t>
        </is>
      </c>
      <c r="C251" s="109" t="n">
        <v>46035</v>
      </c>
      <c r="D251" s="110" t="inlineStr">
        <is>
          <t>BOLETO BANCÁRIO</t>
        </is>
      </c>
      <c r="E251" s="111" t="n">
        <v>3349.99</v>
      </c>
      <c r="F251" s="110" t="inlineStr">
        <is>
          <t>Tecidos</t>
        </is>
      </c>
      <c r="G251" s="110" t="inlineStr">
        <is>
          <t>A PAGAR</t>
        </is>
      </c>
    </row>
    <row r="252">
      <c r="B252" s="110" t="inlineStr">
        <is>
          <t>CEDRO TEXTIL</t>
        </is>
      </c>
      <c r="C252" s="109" t="n">
        <v>46035</v>
      </c>
      <c r="D252" s="110" t="inlineStr">
        <is>
          <t>BOLETO BANCÁRIO</t>
        </is>
      </c>
      <c r="E252" s="111" t="n">
        <v>3845.12</v>
      </c>
      <c r="F252" s="110" t="inlineStr">
        <is>
          <t>Tecidos</t>
        </is>
      </c>
      <c r="G252" s="110" t="inlineStr">
        <is>
          <t>A PAGAR</t>
        </is>
      </c>
    </row>
    <row r="253">
      <c r="B253" s="110" t="inlineStr">
        <is>
          <t>CEDRO TEXTIL</t>
        </is>
      </c>
      <c r="C253" s="109" t="n">
        <v>46035</v>
      </c>
      <c r="D253" s="110" t="inlineStr">
        <is>
          <t>BOLETO BANCÁRIO</t>
        </is>
      </c>
      <c r="E253" s="111" t="n">
        <v>6644.39</v>
      </c>
      <c r="F253" s="110" t="inlineStr">
        <is>
          <t>Tecidos</t>
        </is>
      </c>
      <c r="G253" s="110" t="inlineStr">
        <is>
          <t>A PAGAR</t>
        </is>
      </c>
    </row>
    <row r="254">
      <c r="B254" s="110" t="inlineStr">
        <is>
          <t>CEDRO TEXTIL</t>
        </is>
      </c>
      <c r="C254" s="109" t="n">
        <v>46035</v>
      </c>
      <c r="D254" s="110" t="inlineStr">
        <is>
          <t>BOLETO BANCÁRIO</t>
        </is>
      </c>
      <c r="E254" s="111" t="n">
        <v>918.72</v>
      </c>
      <c r="F254" s="110" t="inlineStr">
        <is>
          <t>Tecidos</t>
        </is>
      </c>
      <c r="G254" s="110" t="inlineStr">
        <is>
          <t>A PAGAR</t>
        </is>
      </c>
    </row>
    <row r="255">
      <c r="B255" s="110" t="inlineStr">
        <is>
          <t>VICUNHA TEXTIL</t>
        </is>
      </c>
      <c r="C255" s="109" t="n">
        <v>46041</v>
      </c>
      <c r="D255" s="110" t="inlineStr">
        <is>
          <t>BOLETO BANCÁRIO</t>
        </is>
      </c>
      <c r="E255" s="111" t="n">
        <v>23441.4</v>
      </c>
      <c r="F255" s="110" t="inlineStr">
        <is>
          <t>Tecidos</t>
        </is>
      </c>
      <c r="G255" s="110" t="inlineStr">
        <is>
          <t>A PAGAR</t>
        </is>
      </c>
    </row>
    <row r="256">
      <c r="B256" s="110" t="inlineStr">
        <is>
          <t>VICUNHA TEXTIL</t>
        </is>
      </c>
      <c r="C256" s="109" t="n">
        <v>46041</v>
      </c>
      <c r="D256" s="110" t="inlineStr">
        <is>
          <t>BOLETO BANCÁRIO</t>
        </is>
      </c>
      <c r="E256" s="111" t="n">
        <v>7344.01</v>
      </c>
      <c r="F256" s="110" t="inlineStr">
        <is>
          <t>Tecidos</t>
        </is>
      </c>
      <c r="G256" s="110" t="inlineStr">
        <is>
          <t>A PAGAR</t>
        </is>
      </c>
    </row>
    <row r="257">
      <c r="B257" s="110" t="inlineStr">
        <is>
          <t>SANTISTA TEXTIL</t>
        </is>
      </c>
      <c r="C257" s="109" t="n">
        <v>46041</v>
      </c>
      <c r="D257" s="110" t="inlineStr">
        <is>
          <t>BOLETO BANCÁRIO</t>
        </is>
      </c>
      <c r="E257" s="111" t="n">
        <v>13832.34</v>
      </c>
      <c r="F257" s="110" t="inlineStr">
        <is>
          <t>Tecidos</t>
        </is>
      </c>
      <c r="G257" s="110" t="inlineStr">
        <is>
          <t>A PAGAR</t>
        </is>
      </c>
    </row>
    <row r="258">
      <c r="B258" s="110" t="inlineStr">
        <is>
          <t>VICUNHA TEXTIL</t>
        </is>
      </c>
      <c r="C258" s="109" t="n">
        <v>46041</v>
      </c>
      <c r="D258" s="110" t="inlineStr">
        <is>
          <t>BOLETO BANCÁRIO</t>
        </is>
      </c>
      <c r="E258" s="111" t="n">
        <v>23809.85</v>
      </c>
      <c r="F258" s="110" t="inlineStr">
        <is>
          <t>Tecidos</t>
        </is>
      </c>
      <c r="G258" s="110" t="inlineStr">
        <is>
          <t>A PAGAR</t>
        </is>
      </c>
    </row>
    <row r="259">
      <c r="B259" s="110" t="inlineStr">
        <is>
          <t>VICUNHA TEXTIL</t>
        </is>
      </c>
      <c r="C259" s="109" t="n">
        <v>46041</v>
      </c>
      <c r="D259" s="110" t="inlineStr">
        <is>
          <t>BOLETO BANCÁRIO</t>
        </is>
      </c>
      <c r="E259" s="111" t="n">
        <v>11885.52</v>
      </c>
      <c r="F259" s="110" t="inlineStr">
        <is>
          <t>Tecidos</t>
        </is>
      </c>
      <c r="G259" s="110" t="inlineStr">
        <is>
          <t>A PAGAR</t>
        </is>
      </c>
    </row>
    <row r="260">
      <c r="B260" s="110" t="inlineStr">
        <is>
          <t>VICUNHA TEXTIL</t>
        </is>
      </c>
      <c r="C260" s="109" t="n">
        <v>46041</v>
      </c>
      <c r="D260" s="110" t="inlineStr">
        <is>
          <t>BOLETO BANCÁRIO</t>
        </is>
      </c>
      <c r="E260" s="111" t="n">
        <v>6098.79</v>
      </c>
      <c r="F260" s="110" t="inlineStr">
        <is>
          <t>Tecidos</t>
        </is>
      </c>
      <c r="G260" s="110" t="inlineStr">
        <is>
          <t>A PAGAR</t>
        </is>
      </c>
    </row>
    <row r="261">
      <c r="B261" s="110" t="inlineStr">
        <is>
          <t>CAPITAL GIRO SANTANDER ALV PJ</t>
        </is>
      </c>
      <c r="C261" s="109" t="n">
        <v>46042</v>
      </c>
      <c r="D261" s="110" t="inlineStr">
        <is>
          <t>TRANSFERÊNCIA</t>
        </is>
      </c>
      <c r="E261" s="111" t="n">
        <v>2088</v>
      </c>
      <c r="F261" s="110" t="inlineStr">
        <is>
          <t>Empréstimos</t>
        </is>
      </c>
      <c r="G261" s="110" t="inlineStr">
        <is>
          <t>A PAGAR</t>
        </is>
      </c>
    </row>
    <row r="262">
      <c r="B262" s="110" t="inlineStr">
        <is>
          <t>IMPOSTO ALV</t>
        </is>
      </c>
      <c r="C262" s="109" t="n">
        <v>46042</v>
      </c>
      <c r="D262" s="110" t="inlineStr">
        <is>
          <t>BOLETO BANCÁRIO</t>
        </is>
      </c>
      <c r="E262" s="111" t="n">
        <v>22210.59</v>
      </c>
      <c r="F262" s="110" t="inlineStr">
        <is>
          <t>Simples Nacional</t>
        </is>
      </c>
      <c r="G262" s="110" t="inlineStr">
        <is>
          <t>A PAGAR</t>
        </is>
      </c>
    </row>
    <row r="263">
      <c r="B263" s="110" t="inlineStr">
        <is>
          <t>BANCO ITAU</t>
        </is>
      </c>
      <c r="C263" s="109" t="n">
        <v>46043</v>
      </c>
      <c r="D263" s="110" t="inlineStr">
        <is>
          <t>TRANSFERÊNCIA</t>
        </is>
      </c>
      <c r="E263" s="111" t="n">
        <v>42329</v>
      </c>
      <c r="F263" s="110" t="inlineStr">
        <is>
          <t>Empréstimos</t>
        </is>
      </c>
      <c r="G263" s="110" t="inlineStr">
        <is>
          <t>A PAGAR</t>
        </is>
      </c>
    </row>
    <row r="264">
      <c r="B264" s="110" t="inlineStr">
        <is>
          <t>BANCO ITAU/PESSOA FISICA</t>
        </is>
      </c>
      <c r="C264" s="109" t="n">
        <v>46044</v>
      </c>
      <c r="D264" s="110" t="inlineStr">
        <is>
          <t>TRANSFERÊNCIA</t>
        </is>
      </c>
      <c r="E264" s="111" t="n">
        <v>12013.66</v>
      </c>
      <c r="F264" s="110" t="inlineStr">
        <is>
          <t>Títulos de Capitalização</t>
        </is>
      </c>
      <c r="G264" s="110" t="inlineStr">
        <is>
          <t>A PAGAR</t>
        </is>
      </c>
    </row>
    <row r="265">
      <c r="B265" s="110" t="inlineStr">
        <is>
          <t>CAPITAL GIRO SANTANDER ALV PJ</t>
        </is>
      </c>
      <c r="C265" s="109" t="n">
        <v>46044</v>
      </c>
      <c r="D265" s="110" t="inlineStr">
        <is>
          <t>TRANSFERÊNCIA</t>
        </is>
      </c>
      <c r="E265" s="111" t="n">
        <v>3127.85</v>
      </c>
      <c r="F265" s="110" t="inlineStr">
        <is>
          <t>Empréstimos</t>
        </is>
      </c>
      <c r="G265" s="110" t="inlineStr">
        <is>
          <t>A PAGAR</t>
        </is>
      </c>
    </row>
    <row r="266">
      <c r="B266" s="110" t="inlineStr">
        <is>
          <t>VICUNHA TEXTIL S/A.</t>
        </is>
      </c>
      <c r="C266" s="109" t="n">
        <v>46045</v>
      </c>
      <c r="D266" s="110" t="inlineStr">
        <is>
          <t>BOLETO BANCÁRIO</t>
        </is>
      </c>
      <c r="E266" s="111" t="n">
        <v>754.6900000000001</v>
      </c>
      <c r="F266" s="110" t="inlineStr">
        <is>
          <t>Tecidos</t>
        </is>
      </c>
      <c r="G266" s="110" t="inlineStr">
        <is>
          <t>A PAGAR</t>
        </is>
      </c>
    </row>
    <row r="267">
      <c r="B267" s="110" t="inlineStr">
        <is>
          <t>CAPITAL GIRO ITAU PF CLEITON</t>
        </is>
      </c>
      <c r="C267" s="109" t="n">
        <v>46045</v>
      </c>
      <c r="D267" s="110" t="inlineStr">
        <is>
          <t>TRANSFERÊNCIA</t>
        </is>
      </c>
      <c r="E267" s="111" t="n">
        <v>12445.02</v>
      </c>
      <c r="F267" s="110" t="inlineStr">
        <is>
          <t>Títulos de Capitalização</t>
        </is>
      </c>
      <c r="G267" s="110" t="inlineStr">
        <is>
          <t>A PAGAR</t>
        </is>
      </c>
    </row>
    <row r="268">
      <c r="B268" s="110" t="inlineStr">
        <is>
          <t>BANCO SANTANDER</t>
        </is>
      </c>
      <c r="C268" s="109" t="n">
        <v>46050</v>
      </c>
      <c r="D268" s="110" t="inlineStr">
        <is>
          <t>TRANSFERÊNCIA</t>
        </is>
      </c>
      <c r="E268" s="111" t="n">
        <v>15436.91</v>
      </c>
      <c r="F268" s="110" t="inlineStr">
        <is>
          <t>Empréstimos</t>
        </is>
      </c>
      <c r="G268" s="110" t="inlineStr">
        <is>
          <t>A PAGAR</t>
        </is>
      </c>
    </row>
    <row r="269">
      <c r="B269" s="110" t="inlineStr">
        <is>
          <t>CEDRO TEXTIL</t>
        </is>
      </c>
      <c r="C269" s="109" t="n">
        <v>46050</v>
      </c>
      <c r="D269" s="110" t="inlineStr">
        <is>
          <t>BOLETO BANCÁRIO</t>
        </is>
      </c>
      <c r="E269" s="111" t="n">
        <v>2996.49</v>
      </c>
      <c r="F269" s="110" t="inlineStr">
        <is>
          <t>Tecidos</t>
        </is>
      </c>
      <c r="G269" s="110" t="inlineStr">
        <is>
          <t>A PAGAR</t>
        </is>
      </c>
    </row>
    <row r="270">
      <c r="B270" s="110" t="inlineStr">
        <is>
          <t>CEDRO TEXTIL</t>
        </is>
      </c>
      <c r="C270" s="109" t="n">
        <v>46050</v>
      </c>
      <c r="D270" s="110" t="inlineStr">
        <is>
          <t>BOLETO BANCÁRIO</t>
        </is>
      </c>
      <c r="E270" s="111" t="n">
        <v>3845.12</v>
      </c>
      <c r="F270" s="110" t="inlineStr">
        <is>
          <t>Tecidos</t>
        </is>
      </c>
      <c r="G270" s="110" t="inlineStr">
        <is>
          <t>A PAGAR</t>
        </is>
      </c>
    </row>
    <row r="271">
      <c r="B271" s="110" t="inlineStr">
        <is>
          <t>CEDRO TEXTIL</t>
        </is>
      </c>
      <c r="C271" s="109" t="n">
        <v>46050</v>
      </c>
      <c r="D271" s="110" t="inlineStr">
        <is>
          <t>BOLETO BANCÁRIO</t>
        </is>
      </c>
      <c r="E271" s="111" t="n">
        <v>6644.39</v>
      </c>
      <c r="F271" s="110" t="inlineStr">
        <is>
          <t>Tecidos</t>
        </is>
      </c>
      <c r="G271" s="110" t="inlineStr">
        <is>
          <t>A PAGAR</t>
        </is>
      </c>
    </row>
    <row r="272">
      <c r="B272" s="110" t="inlineStr">
        <is>
          <t>CEDRO TEXTIL</t>
        </is>
      </c>
      <c r="C272" s="109" t="n">
        <v>46050</v>
      </c>
      <c r="D272" s="110" t="inlineStr">
        <is>
          <t>BOLETO BANCÁRIO</t>
        </is>
      </c>
      <c r="E272" s="111" t="n">
        <v>3349.99</v>
      </c>
      <c r="F272" s="110" t="inlineStr">
        <is>
          <t>Tecidos</t>
        </is>
      </c>
      <c r="G272" s="110" t="inlineStr">
        <is>
          <t>A PAGAR</t>
        </is>
      </c>
    </row>
    <row r="273">
      <c r="B273" s="110" t="inlineStr">
        <is>
          <t>CEDRO TEXTIL</t>
        </is>
      </c>
      <c r="C273" s="109" t="n">
        <v>46050</v>
      </c>
      <c r="D273" s="110" t="inlineStr">
        <is>
          <t>BOLETO BANCÁRIO</t>
        </is>
      </c>
      <c r="E273" s="111" t="n">
        <v>3236.66</v>
      </c>
      <c r="F273" s="110" t="inlineStr">
        <is>
          <t>Tecidos</t>
        </is>
      </c>
      <c r="G273" s="110" t="inlineStr">
        <is>
          <t>A PAGAR</t>
        </is>
      </c>
    </row>
    <row r="274">
      <c r="B274" s="110" t="inlineStr">
        <is>
          <t>CEDRO TEXTIL</t>
        </is>
      </c>
      <c r="C274" s="109" t="n">
        <v>46050</v>
      </c>
      <c r="D274" s="110" t="inlineStr">
        <is>
          <t>BOLETO BANCÁRIO</t>
        </is>
      </c>
      <c r="E274" s="111" t="n">
        <v>918.72</v>
      </c>
      <c r="F274" s="110" t="inlineStr">
        <is>
          <t>Tecidos</t>
        </is>
      </c>
      <c r="G274" s="110" t="inlineStr">
        <is>
          <t>A PAGAR</t>
        </is>
      </c>
    </row>
    <row r="275">
      <c r="B275" s="110" t="inlineStr">
        <is>
          <t>CEDRO TEXTIL</t>
        </is>
      </c>
      <c r="C275" s="109" t="n">
        <v>46050</v>
      </c>
      <c r="D275" s="110" t="inlineStr">
        <is>
          <t>BOLETO BANCÁRIO</t>
        </is>
      </c>
      <c r="E275" s="111" t="n">
        <v>4139.98</v>
      </c>
      <c r="F275" s="110" t="inlineStr">
        <is>
          <t>Tecidos</t>
        </is>
      </c>
      <c r="G275" s="110" t="inlineStr">
        <is>
          <t>A PAGAR</t>
        </is>
      </c>
    </row>
    <row r="276">
      <c r="B276" s="110" t="inlineStr">
        <is>
          <t>VICUNHA TEXTIL</t>
        </is>
      </c>
      <c r="C276" s="109" t="n">
        <v>46051</v>
      </c>
      <c r="D276" s="110" t="inlineStr">
        <is>
          <t>BOLETO BANCÁRIO</t>
        </is>
      </c>
      <c r="E276" s="111" t="n">
        <v>11885.52</v>
      </c>
      <c r="F276" s="110" t="inlineStr">
        <is>
          <t>Tecidos</t>
        </is>
      </c>
      <c r="G276" s="110" t="inlineStr">
        <is>
          <t>A PAGAR</t>
        </is>
      </c>
    </row>
    <row r="277">
      <c r="B277" s="110" t="inlineStr">
        <is>
          <t>VICUNHA TEXTIL</t>
        </is>
      </c>
      <c r="C277" s="109" t="n">
        <v>46051</v>
      </c>
      <c r="D277" s="110" t="inlineStr">
        <is>
          <t>BOLETO BANCÁRIO</t>
        </is>
      </c>
      <c r="E277" s="111" t="n">
        <v>6098.79</v>
      </c>
      <c r="F277" s="110" t="inlineStr">
        <is>
          <t>Tecidos</t>
        </is>
      </c>
      <c r="G277" s="110" t="inlineStr">
        <is>
          <t>A PAGAR</t>
        </is>
      </c>
    </row>
    <row r="278">
      <c r="B278" s="110" t="inlineStr">
        <is>
          <t>VICUNHA TEXTIL</t>
        </is>
      </c>
      <c r="C278" s="109" t="n">
        <v>46051</v>
      </c>
      <c r="D278" s="110" t="inlineStr">
        <is>
          <t>BOLETO BANCÁRIO</t>
        </is>
      </c>
      <c r="E278" s="111" t="n">
        <v>23441.4</v>
      </c>
      <c r="F278" s="110" t="inlineStr">
        <is>
          <t>Tecidos</t>
        </is>
      </c>
      <c r="G278" s="110" t="inlineStr">
        <is>
          <t>A PAGAR</t>
        </is>
      </c>
    </row>
    <row r="279">
      <c r="B279" s="110" t="inlineStr">
        <is>
          <t>VICUNHA TEXTIL</t>
        </is>
      </c>
      <c r="C279" s="109" t="n">
        <v>46051</v>
      </c>
      <c r="D279" s="110" t="inlineStr">
        <is>
          <t>BOLETO BANCÁRIO</t>
        </is>
      </c>
      <c r="E279" s="111" t="n">
        <v>23809.85</v>
      </c>
      <c r="F279" s="110" t="inlineStr">
        <is>
          <t>Tecidos</t>
        </is>
      </c>
      <c r="G279" s="110" t="inlineStr">
        <is>
          <t>A PAGAR</t>
        </is>
      </c>
    </row>
    <row r="280">
      <c r="B280" s="110" t="inlineStr">
        <is>
          <t>VICUNHA TEXTIL</t>
        </is>
      </c>
      <c r="C280" s="109" t="n">
        <v>46051</v>
      </c>
      <c r="D280" s="110" t="inlineStr">
        <is>
          <t>BOLETO BANCÁRIO</t>
        </is>
      </c>
      <c r="E280" s="111" t="n">
        <v>7344.01</v>
      </c>
      <c r="F280" s="110" t="inlineStr">
        <is>
          <t>Tecidos</t>
        </is>
      </c>
      <c r="G280" s="110" t="inlineStr">
        <is>
          <t>A PAGAR</t>
        </is>
      </c>
    </row>
    <row r="281">
      <c r="B281" s="110" t="inlineStr">
        <is>
          <t>VICUNHA TEXTIL S/A.</t>
        </is>
      </c>
      <c r="C281" s="109" t="n">
        <v>46055</v>
      </c>
      <c r="D281" s="110" t="inlineStr">
        <is>
          <t>BOLETO BANCÁRIO</t>
        </is>
      </c>
      <c r="E281" s="111" t="n">
        <v>754.6900000000001</v>
      </c>
      <c r="F281" s="110" t="inlineStr">
        <is>
          <t>Tecidos</t>
        </is>
      </c>
      <c r="G281" s="110" t="inlineStr">
        <is>
          <t>A PAGAR</t>
        </is>
      </c>
    </row>
    <row r="282">
      <c r="B282" s="110" t="inlineStr">
        <is>
          <t>VICUNHA TEXTIL</t>
        </is>
      </c>
      <c r="C282" s="109" t="n">
        <v>46062</v>
      </c>
      <c r="D282" s="110" t="inlineStr">
        <is>
          <t>BOLETO BANCÁRIO</t>
        </is>
      </c>
      <c r="E282" s="111" t="n">
        <v>6099.62</v>
      </c>
      <c r="F282" s="110" t="inlineStr">
        <is>
          <t>Tecidos</t>
        </is>
      </c>
      <c r="G282" s="110" t="inlineStr">
        <is>
          <t>A PAGAR</t>
        </is>
      </c>
    </row>
    <row r="283">
      <c r="B283" s="110" t="inlineStr">
        <is>
          <t>VICUNHA TEXTIL</t>
        </is>
      </c>
      <c r="C283" s="109" t="n">
        <v>46062</v>
      </c>
      <c r="D283" s="110" t="inlineStr">
        <is>
          <t>BOLETO BANCÁRIO</t>
        </is>
      </c>
      <c r="E283" s="111" t="n">
        <v>23448.44</v>
      </c>
      <c r="F283" s="110" t="inlineStr">
        <is>
          <t>Tecidos</t>
        </is>
      </c>
      <c r="G283" s="110" t="inlineStr">
        <is>
          <t>A PAGAR</t>
        </is>
      </c>
    </row>
    <row r="284">
      <c r="B284" s="110" t="inlineStr">
        <is>
          <t>VICUNHA TEXTIL</t>
        </is>
      </c>
      <c r="C284" s="109" t="n">
        <v>46062</v>
      </c>
      <c r="D284" s="110" t="inlineStr">
        <is>
          <t>BOLETO BANCÁRIO</t>
        </is>
      </c>
      <c r="E284" s="111" t="n">
        <v>11889.09</v>
      </c>
      <c r="F284" s="110" t="inlineStr">
        <is>
          <t>Tecidos</t>
        </is>
      </c>
      <c r="G284" s="110" t="inlineStr">
        <is>
          <t>A PAGAR</t>
        </is>
      </c>
    </row>
    <row r="285">
      <c r="B285" s="110" t="inlineStr">
        <is>
          <t>VICUNHA TEXTIL</t>
        </is>
      </c>
      <c r="C285" s="109" t="n">
        <v>46062</v>
      </c>
      <c r="D285" s="110" t="inlineStr">
        <is>
          <t>BOLETO BANCÁRIO</t>
        </is>
      </c>
      <c r="E285" s="111" t="n">
        <v>23816.99</v>
      </c>
      <c r="F285" s="110" t="inlineStr">
        <is>
          <t>Tecidos</t>
        </is>
      </c>
      <c r="G285" s="110" t="inlineStr">
        <is>
          <t>A PAGAR</t>
        </is>
      </c>
    </row>
    <row r="286">
      <c r="B286" s="110" t="inlineStr">
        <is>
          <t>VICUNHA TEXTIL</t>
        </is>
      </c>
      <c r="C286" s="109" t="n">
        <v>46062</v>
      </c>
      <c r="D286" s="110" t="inlineStr">
        <is>
          <t>BOLETO BANCÁRIO</t>
        </is>
      </c>
      <c r="E286" s="111" t="n">
        <v>7346.22</v>
      </c>
      <c r="F286" s="110" t="inlineStr">
        <is>
          <t>Tecidos</t>
        </is>
      </c>
      <c r="G286" s="110" t="inlineStr">
        <is>
          <t>A PAGAR</t>
        </is>
      </c>
    </row>
    <row r="287">
      <c r="B287" s="110" t="inlineStr">
        <is>
          <t>CEDRO TEXTIL</t>
        </is>
      </c>
      <c r="C287" s="109" t="n">
        <v>46065</v>
      </c>
      <c r="D287" s="110" t="inlineStr">
        <is>
          <t>BOLETO BANCÁRIO</t>
        </is>
      </c>
      <c r="E287" s="111" t="n">
        <v>3845.12</v>
      </c>
      <c r="F287" s="110" t="inlineStr">
        <is>
          <t>Tecidos</t>
        </is>
      </c>
      <c r="G287" s="110" t="inlineStr">
        <is>
          <t>A PAGAR</t>
        </is>
      </c>
    </row>
    <row r="288">
      <c r="B288" s="110" t="inlineStr">
        <is>
          <t>CEDRO TEXTIL</t>
        </is>
      </c>
      <c r="C288" s="109" t="n">
        <v>46065</v>
      </c>
      <c r="D288" s="110" t="inlineStr">
        <is>
          <t>BOLETO BANCÁRIO</t>
        </is>
      </c>
      <c r="E288" s="111" t="n">
        <v>3236.66</v>
      </c>
      <c r="F288" s="110" t="inlineStr">
        <is>
          <t>Tecidos</t>
        </is>
      </c>
      <c r="G288" s="110" t="inlineStr">
        <is>
          <t>A PAGAR</t>
        </is>
      </c>
    </row>
    <row r="289">
      <c r="B289" s="110" t="inlineStr">
        <is>
          <t>CEDRO TEXTIL</t>
        </is>
      </c>
      <c r="C289" s="109" t="n">
        <v>46065</v>
      </c>
      <c r="D289" s="110" t="inlineStr">
        <is>
          <t>BOLETO BANCÁRIO</t>
        </is>
      </c>
      <c r="E289" s="111" t="n">
        <v>2996.49</v>
      </c>
      <c r="F289" s="110" t="inlineStr">
        <is>
          <t>Tecidos</t>
        </is>
      </c>
      <c r="G289" s="110" t="inlineStr">
        <is>
          <t>A PAGAR</t>
        </is>
      </c>
    </row>
    <row r="290">
      <c r="B290" s="110" t="inlineStr">
        <is>
          <t>CEDRO TEXTIL</t>
        </is>
      </c>
      <c r="C290" s="109" t="n">
        <v>46065</v>
      </c>
      <c r="D290" s="110" t="inlineStr">
        <is>
          <t>BOLETO BANCÁRIO</t>
        </is>
      </c>
      <c r="E290" s="111" t="n">
        <v>6644.39</v>
      </c>
      <c r="F290" s="110" t="inlineStr">
        <is>
          <t>Tecidos</t>
        </is>
      </c>
      <c r="G290" s="110" t="inlineStr">
        <is>
          <t>A PAGAR</t>
        </is>
      </c>
    </row>
    <row r="291">
      <c r="B291" s="110" t="inlineStr">
        <is>
          <t>CEDRO TEXTIL</t>
        </is>
      </c>
      <c r="C291" s="109" t="n">
        <v>46065</v>
      </c>
      <c r="D291" s="110" t="inlineStr">
        <is>
          <t>BOLETO BANCÁRIO</t>
        </is>
      </c>
      <c r="E291" s="111" t="n">
        <v>918.72</v>
      </c>
      <c r="F291" s="110" t="inlineStr">
        <is>
          <t>Tecidos</t>
        </is>
      </c>
      <c r="G291" s="110" t="inlineStr">
        <is>
          <t>A PAGAR</t>
        </is>
      </c>
    </row>
    <row r="292">
      <c r="B292" s="110" t="inlineStr">
        <is>
          <t>VICUNHA TEXTIL S/A.</t>
        </is>
      </c>
      <c r="C292" s="109" t="n">
        <v>46065</v>
      </c>
      <c r="D292" s="110" t="inlineStr">
        <is>
          <t>BOLETO BANCÁRIO</t>
        </is>
      </c>
      <c r="E292" s="111" t="n">
        <v>754.6900000000001</v>
      </c>
      <c r="F292" s="110" t="inlineStr">
        <is>
          <t>Tecidos</t>
        </is>
      </c>
      <c r="G292" s="110" t="inlineStr">
        <is>
          <t>A PAGAR</t>
        </is>
      </c>
    </row>
    <row r="293">
      <c r="B293" s="110" t="inlineStr">
        <is>
          <t>CEDRO TEXTIL</t>
        </is>
      </c>
      <c r="C293" s="109" t="n">
        <v>46065</v>
      </c>
      <c r="D293" s="110" t="inlineStr">
        <is>
          <t>BOLETO BANCÁRIO</t>
        </is>
      </c>
      <c r="E293" s="111" t="n">
        <v>3349.99</v>
      </c>
      <c r="F293" s="110" t="inlineStr">
        <is>
          <t>Tecidos</t>
        </is>
      </c>
      <c r="G293" s="110" t="inlineStr">
        <is>
          <t>A PAGAR</t>
        </is>
      </c>
    </row>
    <row r="294">
      <c r="B294" s="110" t="inlineStr">
        <is>
          <t>CEDRO TEXTIL</t>
        </is>
      </c>
      <c r="C294" s="109" t="n">
        <v>46065</v>
      </c>
      <c r="D294" s="110" t="inlineStr">
        <is>
          <t>BOLETO BANCÁRIO</t>
        </is>
      </c>
      <c r="E294" s="111" t="n">
        <v>4139.98</v>
      </c>
      <c r="F294" s="110" t="inlineStr">
        <is>
          <t>Tecidos</t>
        </is>
      </c>
      <c r="G294" s="110" t="inlineStr">
        <is>
          <t>A PAGAR</t>
        </is>
      </c>
    </row>
    <row r="295">
      <c r="B295" s="110" t="inlineStr">
        <is>
          <t>CAPITAL GIRO SANTANDER ALV PJ</t>
        </is>
      </c>
      <c r="C295" s="109" t="n">
        <v>46073</v>
      </c>
      <c r="D295" s="110" t="inlineStr">
        <is>
          <t>TRANSFERÊNCIA</t>
        </is>
      </c>
      <c r="E295" s="111" t="n">
        <v>2088</v>
      </c>
      <c r="F295" s="110" t="inlineStr">
        <is>
          <t>Empréstimos</t>
        </is>
      </c>
      <c r="G295" s="110" t="inlineStr">
        <is>
          <t>A PAGAR</t>
        </is>
      </c>
    </row>
    <row r="296">
      <c r="B296" s="110" t="inlineStr">
        <is>
          <t>BANCO ITAU</t>
        </is>
      </c>
      <c r="C296" s="109" t="n">
        <v>46074</v>
      </c>
      <c r="D296" s="110" t="inlineStr">
        <is>
          <t>TRANSFERÊNCIA</t>
        </is>
      </c>
      <c r="E296" s="111" t="n">
        <v>42329</v>
      </c>
      <c r="F296" s="110" t="inlineStr">
        <is>
          <t>Empréstimos</t>
        </is>
      </c>
      <c r="G296" s="110" t="inlineStr">
        <is>
          <t>A PAGAR</t>
        </is>
      </c>
    </row>
    <row r="297">
      <c r="B297" s="110" t="inlineStr">
        <is>
          <t>CARTÃO ITAU PERSONALITÊ</t>
        </is>
      </c>
      <c r="C297" s="109" t="n">
        <v>46074</v>
      </c>
      <c r="D297" s="110" t="inlineStr">
        <is>
          <t>CARTÃO DE CRÉDITO</t>
        </is>
      </c>
      <c r="E297" s="111" t="n">
        <v>14168</v>
      </c>
      <c r="F297" s="110" t="inlineStr">
        <is>
          <t>Empréstimos</t>
        </is>
      </c>
      <c r="G297" s="110" t="inlineStr">
        <is>
          <t>A PAGAR</t>
        </is>
      </c>
    </row>
    <row r="298">
      <c r="B298" s="110" t="inlineStr">
        <is>
          <t>BANCO ITAU/PESSOA FISICA</t>
        </is>
      </c>
      <c r="C298" s="109" t="n">
        <v>46075</v>
      </c>
      <c r="D298" s="110" t="inlineStr">
        <is>
          <t>TRANSFERÊNCIA</t>
        </is>
      </c>
      <c r="E298" s="111" t="n">
        <v>12013.66</v>
      </c>
      <c r="F298" s="110" t="inlineStr">
        <is>
          <t>Títulos de Capitalização</t>
        </is>
      </c>
      <c r="G298" s="110" t="inlineStr">
        <is>
          <t>A PAGAR</t>
        </is>
      </c>
    </row>
    <row r="299">
      <c r="B299" s="110" t="inlineStr">
        <is>
          <t>CAPITAL GIRO SANTANDER ALV PJ</t>
        </is>
      </c>
      <c r="C299" s="109" t="n">
        <v>46075</v>
      </c>
      <c r="D299" s="110" t="inlineStr">
        <is>
          <t>TRANSFERÊNCIA</t>
        </is>
      </c>
      <c r="E299" s="111" t="n">
        <v>3127.85</v>
      </c>
      <c r="F299" s="110" t="inlineStr">
        <is>
          <t>Empréstimos</t>
        </is>
      </c>
      <c r="G299" s="110" t="inlineStr">
        <is>
          <t>A PAGAR</t>
        </is>
      </c>
    </row>
    <row r="300">
      <c r="B300" s="110" t="inlineStr">
        <is>
          <t>CAPITAL GIRO ITAU PF CLEITON</t>
        </is>
      </c>
      <c r="C300" s="109" t="n">
        <v>46076</v>
      </c>
      <c r="D300" s="110" t="inlineStr">
        <is>
          <t>TRANSFERÊNCIA</t>
        </is>
      </c>
      <c r="E300" s="111" t="n">
        <v>12445.02</v>
      </c>
      <c r="F300" s="110" t="inlineStr">
        <is>
          <t>Títulos de Capitalização</t>
        </is>
      </c>
      <c r="G300" s="110" t="inlineStr">
        <is>
          <t>A PAGAR</t>
        </is>
      </c>
    </row>
    <row r="301">
      <c r="B301" s="110" t="inlineStr">
        <is>
          <t>VICUNHA TEXTIL S/A.</t>
        </is>
      </c>
      <c r="C301" s="109" t="n">
        <v>46076</v>
      </c>
      <c r="D301" s="110" t="inlineStr">
        <is>
          <t>BOLETO BANCÁRIO</t>
        </is>
      </c>
      <c r="E301" s="111" t="n">
        <v>756.8</v>
      </c>
      <c r="F301" s="110" t="inlineStr">
        <is>
          <t>Tecidos</t>
        </is>
      </c>
      <c r="G301" s="110" t="inlineStr">
        <is>
          <t>A PAGAR</t>
        </is>
      </c>
    </row>
    <row r="302">
      <c r="B302" s="110" t="inlineStr">
        <is>
          <t>CEDRO TEXTIL</t>
        </is>
      </c>
      <c r="C302" s="109" t="n">
        <v>46080</v>
      </c>
      <c r="D302" s="110" t="inlineStr">
        <is>
          <t>BOLETO BANCÁRIO</t>
        </is>
      </c>
      <c r="E302" s="111" t="n">
        <v>3349.98</v>
      </c>
      <c r="F302" s="110" t="inlineStr">
        <is>
          <t>Tecidos</t>
        </is>
      </c>
      <c r="G302" s="110" t="inlineStr">
        <is>
          <t>A PAGAR</t>
        </is>
      </c>
    </row>
    <row r="303">
      <c r="B303" s="110" t="inlineStr">
        <is>
          <t>CEDRO TEXTIL</t>
        </is>
      </c>
      <c r="C303" s="109" t="n">
        <v>46080</v>
      </c>
      <c r="D303" s="110" t="inlineStr">
        <is>
          <t>BOLETO BANCÁRIO</t>
        </is>
      </c>
      <c r="E303" s="111" t="n">
        <v>4139.98</v>
      </c>
      <c r="F303" s="110" t="inlineStr">
        <is>
          <t>Tecidos</t>
        </is>
      </c>
      <c r="G303" s="110" t="inlineStr">
        <is>
          <t>A PAGAR</t>
        </is>
      </c>
    </row>
    <row r="304">
      <c r="B304" s="110" t="inlineStr">
        <is>
          <t>CEDRO TEXTIL</t>
        </is>
      </c>
      <c r="C304" s="109" t="n">
        <v>46080</v>
      </c>
      <c r="D304" s="110" t="inlineStr">
        <is>
          <t>BOLETO BANCÁRIO</t>
        </is>
      </c>
      <c r="E304" s="111" t="n">
        <v>918.72</v>
      </c>
      <c r="F304" s="110" t="inlineStr">
        <is>
          <t>Tecidos</t>
        </is>
      </c>
      <c r="G304" s="110" t="inlineStr">
        <is>
          <t>A PAGAR</t>
        </is>
      </c>
    </row>
    <row r="305">
      <c r="B305" s="110" t="inlineStr">
        <is>
          <t>CEDRO TEXTIL</t>
        </is>
      </c>
      <c r="C305" s="109" t="n">
        <v>46080</v>
      </c>
      <c r="D305" s="110" t="inlineStr">
        <is>
          <t>BOLETO BANCÁRIO</t>
        </is>
      </c>
      <c r="E305" s="111" t="n">
        <v>6644.38</v>
      </c>
      <c r="F305" s="110" t="inlineStr">
        <is>
          <t>Tecidos</t>
        </is>
      </c>
      <c r="G305" s="110" t="inlineStr">
        <is>
          <t>A PAGAR</t>
        </is>
      </c>
    </row>
    <row r="306">
      <c r="B306" s="110" t="inlineStr">
        <is>
          <t>CEDRO TEXTIL</t>
        </is>
      </c>
      <c r="C306" s="109" t="n">
        <v>46080</v>
      </c>
      <c r="D306" s="110" t="inlineStr">
        <is>
          <t>BOLETO BANCÁRIO</t>
        </is>
      </c>
      <c r="E306" s="111" t="n">
        <v>2996.49</v>
      </c>
      <c r="F306" s="110" t="inlineStr">
        <is>
          <t>Tecidos</t>
        </is>
      </c>
      <c r="G306" s="110" t="inlineStr">
        <is>
          <t>A PAGAR</t>
        </is>
      </c>
    </row>
    <row r="307">
      <c r="B307" s="110" t="inlineStr">
        <is>
          <t>CEDRO TEXTIL</t>
        </is>
      </c>
      <c r="C307" s="109" t="n">
        <v>46080</v>
      </c>
      <c r="D307" s="110" t="inlineStr">
        <is>
          <t>BOLETO BANCÁRIO</t>
        </is>
      </c>
      <c r="E307" s="111" t="n">
        <v>3236.64</v>
      </c>
      <c r="F307" s="110" t="inlineStr">
        <is>
          <t>Tecidos</t>
        </is>
      </c>
      <c r="G307" s="110" t="inlineStr">
        <is>
          <t>A PAGAR</t>
        </is>
      </c>
    </row>
    <row r="308">
      <c r="B308" s="110" t="inlineStr">
        <is>
          <t>CEDRO TEXTIL</t>
        </is>
      </c>
      <c r="C308" s="109" t="n">
        <v>46080</v>
      </c>
      <c r="D308" s="110" t="inlineStr">
        <is>
          <t>BOLETO BANCÁRIO</t>
        </is>
      </c>
      <c r="E308" s="111" t="n">
        <v>3845.11</v>
      </c>
      <c r="F308" s="110" t="inlineStr">
        <is>
          <t>Tecidos</t>
        </is>
      </c>
      <c r="G308" s="110" t="inlineStr">
        <is>
          <t>A PAGAR</t>
        </is>
      </c>
    </row>
    <row r="309">
      <c r="B309" s="110" t="inlineStr">
        <is>
          <t>VENCIMENTO FATURA DO CARTÃO</t>
        </is>
      </c>
      <c r="C309" s="109" t="n">
        <v>46081</v>
      </c>
      <c r="D309" s="110" t="inlineStr">
        <is>
          <t>CARTÃO DE CRÉDITO</t>
        </is>
      </c>
      <c r="E309" s="111" t="n">
        <v>0.5</v>
      </c>
      <c r="F309" s="110" t="inlineStr">
        <is>
          <t>Outros Insumos</t>
        </is>
      </c>
      <c r="G309" s="110" t="inlineStr">
        <is>
          <t>A PAGAR</t>
        </is>
      </c>
    </row>
    <row r="310">
      <c r="B310" s="110" t="inlineStr">
        <is>
          <t>BANCO SANTANDER</t>
        </is>
      </c>
      <c r="C310" s="109" t="n">
        <v>46081</v>
      </c>
      <c r="D310" s="110" t="inlineStr">
        <is>
          <t>TRANSFERÊNCIA</t>
        </is>
      </c>
      <c r="E310" s="111" t="n">
        <v>15436.91</v>
      </c>
      <c r="F310" s="110" t="inlineStr">
        <is>
          <t>Empréstimos</t>
        </is>
      </c>
      <c r="G310" s="110" t="inlineStr">
        <is>
          <t>A PAGAR</t>
        </is>
      </c>
    </row>
    <row r="311">
      <c r="B311" s="110" t="inlineStr">
        <is>
          <t>RECARGA CELULARES VENDAS</t>
        </is>
      </c>
      <c r="C311" s="109" t="n">
        <v>46086</v>
      </c>
      <c r="D311" s="110" t="inlineStr">
        <is>
          <t>PIX CODI BANCO BRASIL</t>
        </is>
      </c>
      <c r="E311" s="111" t="n">
        <v>90</v>
      </c>
      <c r="F311" s="110" t="inlineStr">
        <is>
          <t>Telefonia Móvel</t>
        </is>
      </c>
      <c r="G311" s="110" t="inlineStr">
        <is>
          <t>A PAGAR</t>
        </is>
      </c>
    </row>
    <row r="312">
      <c r="B312" s="110" t="inlineStr">
        <is>
          <t>CAPITAL GIRO SANTANDER ALV PJ</t>
        </is>
      </c>
      <c r="C312" s="109" t="n">
        <v>46101</v>
      </c>
      <c r="D312" s="110" t="inlineStr">
        <is>
          <t>TRANSFERÊNCIA</t>
        </is>
      </c>
      <c r="E312" s="111" t="n">
        <v>2088</v>
      </c>
      <c r="F312" s="110" t="inlineStr">
        <is>
          <t>Empréstimos</t>
        </is>
      </c>
      <c r="G312" s="110" t="inlineStr">
        <is>
          <t>A PAGAR</t>
        </is>
      </c>
    </row>
    <row r="313">
      <c r="B313" s="110" t="inlineStr">
        <is>
          <t>BANCO ITAU</t>
        </is>
      </c>
      <c r="C313" s="109" t="n">
        <v>46102</v>
      </c>
      <c r="D313" s="110" t="inlineStr">
        <is>
          <t>TRANSFERÊNCIA</t>
        </is>
      </c>
      <c r="E313" s="111" t="n">
        <v>42329</v>
      </c>
      <c r="F313" s="110" t="inlineStr">
        <is>
          <t>Empréstimos</t>
        </is>
      </c>
      <c r="G313" s="110" t="inlineStr">
        <is>
          <t>A PAGAR</t>
        </is>
      </c>
    </row>
    <row r="314">
      <c r="B314" s="110" t="inlineStr">
        <is>
          <t>CAPITAL GIRO SANTANDER ALV PJ</t>
        </is>
      </c>
      <c r="C314" s="109" t="n">
        <v>46103</v>
      </c>
      <c r="D314" s="110" t="inlineStr">
        <is>
          <t>TRANSFERÊNCIA</t>
        </is>
      </c>
      <c r="E314" s="111" t="n">
        <v>3127.85</v>
      </c>
      <c r="F314" s="110" t="inlineStr">
        <is>
          <t>Empréstimos</t>
        </is>
      </c>
      <c r="G314" s="110" t="inlineStr">
        <is>
          <t>A PAGAR</t>
        </is>
      </c>
    </row>
    <row r="315">
      <c r="B315" s="110" t="inlineStr">
        <is>
          <t>BANCO ITAU/PESSOA FISICA</t>
        </is>
      </c>
      <c r="C315" s="109" t="n">
        <v>46103</v>
      </c>
      <c r="D315" s="110" t="inlineStr">
        <is>
          <t>TRANSFERÊNCIA</t>
        </is>
      </c>
      <c r="E315" s="111" t="n">
        <v>12013.66</v>
      </c>
      <c r="F315" s="110" t="inlineStr">
        <is>
          <t>Títulos de Capitalização</t>
        </is>
      </c>
      <c r="G315" s="110" t="inlineStr">
        <is>
          <t>A PAGAR</t>
        </is>
      </c>
    </row>
    <row r="316">
      <c r="B316" s="110" t="inlineStr">
        <is>
          <t>CARTÃO ITAU PERSONALITÊ</t>
        </is>
      </c>
      <c r="C316" s="109" t="n">
        <v>46104</v>
      </c>
      <c r="D316" s="110" t="inlineStr">
        <is>
          <t>CARTÃO DE CRÉDITO</t>
        </is>
      </c>
      <c r="E316" s="111" t="n">
        <v>14168</v>
      </c>
      <c r="F316" s="110" t="inlineStr">
        <is>
          <t>Empréstimos</t>
        </is>
      </c>
      <c r="G316" s="110" t="inlineStr">
        <is>
          <t>A PAGAR</t>
        </is>
      </c>
    </row>
    <row r="317">
      <c r="B317" s="110" t="inlineStr">
        <is>
          <t>CAPITAL GIRO ITAU PF CLEITON</t>
        </is>
      </c>
      <c r="C317" s="109" t="n">
        <v>46104</v>
      </c>
      <c r="D317" s="110" t="inlineStr">
        <is>
          <t>TRANSFERÊNCIA</t>
        </is>
      </c>
      <c r="E317" s="111" t="n">
        <v>12445.02</v>
      </c>
      <c r="F317" s="110" t="inlineStr">
        <is>
          <t>Títulos de Capitalização</t>
        </is>
      </c>
      <c r="G317" s="110" t="inlineStr">
        <is>
          <t>A PAGAR</t>
        </is>
      </c>
    </row>
    <row r="318">
      <c r="B318" s="110" t="inlineStr">
        <is>
          <t>LAVANDERIA AMAZONAS - LEONARDO</t>
        </is>
      </c>
      <c r="C318" s="109" t="n">
        <v>46104</v>
      </c>
      <c r="D318" s="110" t="inlineStr">
        <is>
          <t>PIX ITAU ALV</t>
        </is>
      </c>
      <c r="E318" s="111" t="n">
        <v>1853</v>
      </c>
      <c r="F318" s="110" t="inlineStr">
        <is>
          <t>Lavanderia</t>
        </is>
      </c>
      <c r="G318" s="110" t="inlineStr">
        <is>
          <t>A PAGAR</t>
        </is>
      </c>
    </row>
    <row r="319">
      <c r="B319" s="110" t="inlineStr">
        <is>
          <t>PABLO - LAVANDERIA</t>
        </is>
      </c>
      <c r="C319" s="109" t="n">
        <v>46108</v>
      </c>
      <c r="D319" s="110" t="inlineStr">
        <is>
          <t>PIX ITAU ALV</t>
        </is>
      </c>
      <c r="E319" s="111" t="n">
        <v>1140</v>
      </c>
      <c r="F319" s="110" t="inlineStr">
        <is>
          <t>Lavanderia</t>
        </is>
      </c>
      <c r="G319" s="110" t="inlineStr">
        <is>
          <t>A PAGAR</t>
        </is>
      </c>
    </row>
    <row r="320">
      <c r="B320" s="110" t="inlineStr">
        <is>
          <t>PABLO - LAVANDERIA</t>
        </is>
      </c>
      <c r="C320" s="109" t="n">
        <v>46108</v>
      </c>
      <c r="D320" s="110" t="inlineStr">
        <is>
          <t>PIX ITAU ALV</t>
        </is>
      </c>
      <c r="E320" s="111" t="n">
        <v>873</v>
      </c>
      <c r="F320" s="110" t="inlineStr">
        <is>
          <t>Lavanderia</t>
        </is>
      </c>
      <c r="G320" s="110" t="inlineStr">
        <is>
          <t>A PAGAR</t>
        </is>
      </c>
    </row>
    <row r="321">
      <c r="B321" s="110" t="inlineStr">
        <is>
          <t>SHEILA ETIQUETAS</t>
        </is>
      </c>
      <c r="C321" s="109" t="n">
        <v>46109</v>
      </c>
      <c r="D321" s="110" t="inlineStr">
        <is>
          <t>CHEQUE - EMPRESA</t>
        </is>
      </c>
      <c r="E321" s="111" t="n">
        <v>1300</v>
      </c>
      <c r="F321" s="110" t="inlineStr">
        <is>
          <t>Etiquetas</t>
        </is>
      </c>
      <c r="G321" s="110" t="inlineStr">
        <is>
          <t>A PAGAR</t>
        </is>
      </c>
    </row>
    <row r="322">
      <c r="B322" s="110" t="inlineStr">
        <is>
          <t>BANCO SANTANDER</t>
        </is>
      </c>
      <c r="C322" s="109" t="n">
        <v>46109</v>
      </c>
      <c r="D322" s="110" t="inlineStr">
        <is>
          <t>TRANSFERÊNCIA</t>
        </is>
      </c>
      <c r="E322" s="111" t="n">
        <v>15436.91</v>
      </c>
      <c r="F322" s="110" t="inlineStr">
        <is>
          <t>Empréstimos</t>
        </is>
      </c>
      <c r="G322" s="110" t="inlineStr">
        <is>
          <t>A PAGAR</t>
        </is>
      </c>
    </row>
    <row r="323">
      <c r="B323" s="110" t="inlineStr">
        <is>
          <t>VENCIMENTO FATURA DO CARTÃO</t>
        </is>
      </c>
      <c r="C323" s="109" t="n">
        <v>46109</v>
      </c>
      <c r="D323" s="110" t="inlineStr">
        <is>
          <t>CARTÃO DE CRÉDITO</t>
        </is>
      </c>
      <c r="E323" s="111" t="n">
        <v>0.5</v>
      </c>
      <c r="F323" s="110" t="inlineStr">
        <is>
          <t>Outros Insumos</t>
        </is>
      </c>
      <c r="G323" s="110" t="inlineStr">
        <is>
          <t>A PAGAR</t>
        </is>
      </c>
    </row>
    <row r="324">
      <c r="B324" s="110" t="inlineStr">
        <is>
          <t>PABLO - LAVANDERIA</t>
        </is>
      </c>
      <c r="C324" s="109" t="n">
        <v>46111</v>
      </c>
      <c r="D324" s="110" t="inlineStr">
        <is>
          <t>PIX ITAU ALV</t>
        </is>
      </c>
      <c r="E324" s="111" t="n">
        <v>1400</v>
      </c>
      <c r="F324" s="110" t="inlineStr">
        <is>
          <t>Lavanderia</t>
        </is>
      </c>
      <c r="G324" s="110" t="inlineStr">
        <is>
          <t>A PAGAR</t>
        </is>
      </c>
    </row>
    <row r="325">
      <c r="B325" s="110" t="inlineStr">
        <is>
          <t>DEYVID FACÇÃO</t>
        </is>
      </c>
      <c r="C325" s="109" t="n">
        <v>46112</v>
      </c>
      <c r="D325" s="110" t="inlineStr">
        <is>
          <t>PIX CODI BANCO BRASIL</t>
        </is>
      </c>
      <c r="E325" s="111" t="n">
        <v>539</v>
      </c>
      <c r="F325" s="110" t="inlineStr">
        <is>
          <t>Facção</t>
        </is>
      </c>
      <c r="G325" s="110" t="inlineStr">
        <is>
          <t>A PAGAR</t>
        </is>
      </c>
    </row>
    <row r="326">
      <c r="B326" s="110" t="inlineStr">
        <is>
          <t>DEYVID FACÇÃO</t>
        </is>
      </c>
      <c r="C326" s="109" t="n">
        <v>46112</v>
      </c>
      <c r="D326" s="110" t="inlineStr">
        <is>
          <t>PIX CODI BANCO BRASIL</t>
        </is>
      </c>
      <c r="E326" s="111" t="n">
        <v>517</v>
      </c>
      <c r="F326" s="110" t="inlineStr">
        <is>
          <t>Facção</t>
        </is>
      </c>
      <c r="G326" s="110" t="inlineStr">
        <is>
          <t>A PAGAR</t>
        </is>
      </c>
    </row>
    <row r="327">
      <c r="B327" s="110" t="inlineStr">
        <is>
          <t>EMERSON - FACÇÃO</t>
        </is>
      </c>
      <c r="C327" s="109" t="n">
        <v>46112</v>
      </c>
      <c r="D327" s="110" t="inlineStr">
        <is>
          <t>PIX CODI BANCO BRASIL</t>
        </is>
      </c>
      <c r="E327" s="111" t="n">
        <v>1034</v>
      </c>
      <c r="F327" s="110" t="inlineStr">
        <is>
          <t>Facção</t>
        </is>
      </c>
      <c r="G327" s="110" t="inlineStr">
        <is>
          <t>A PAGAR</t>
        </is>
      </c>
    </row>
    <row r="328">
      <c r="B328" s="110" t="inlineStr">
        <is>
          <t>CAPITAL GIRO BRADESCO ALV PJ</t>
        </is>
      </c>
      <c r="C328" s="109" t="n">
        <v>46118</v>
      </c>
      <c r="D328" s="110" t="inlineStr">
        <is>
          <t>TRANSFERÊNCIA</t>
        </is>
      </c>
      <c r="E328" s="111" t="n">
        <v>20101.44</v>
      </c>
      <c r="F328" s="110" t="inlineStr">
        <is>
          <t>Empréstimos</t>
        </is>
      </c>
      <c r="G328" s="110" t="inlineStr">
        <is>
          <t>A PAGAR</t>
        </is>
      </c>
    </row>
    <row r="329">
      <c r="B329" s="110" t="inlineStr">
        <is>
          <t>PABLO - LAVANDERIA</t>
        </is>
      </c>
      <c r="C329" s="109" t="n">
        <v>46120</v>
      </c>
      <c r="D329" s="110" t="inlineStr">
        <is>
          <t>PIX CODI BANCO BRASIL</t>
        </is>
      </c>
      <c r="E329" s="111" t="n">
        <v>884</v>
      </c>
      <c r="F329" s="110" t="inlineStr">
        <is>
          <t>Lavanderia</t>
        </is>
      </c>
      <c r="G329" s="110" t="inlineStr">
        <is>
          <t>A PAGAR</t>
        </is>
      </c>
    </row>
    <row r="330">
      <c r="B330" s="110" t="inlineStr">
        <is>
          <t>PABLO - LAVANDERIA</t>
        </is>
      </c>
      <c r="C330" s="109" t="n">
        <v>46120</v>
      </c>
      <c r="D330" s="110" t="inlineStr">
        <is>
          <t>PIX CODI BANCO BRASIL</t>
        </is>
      </c>
      <c r="E330" s="111" t="n">
        <v>1212</v>
      </c>
      <c r="F330" s="110" t="inlineStr">
        <is>
          <t>Lavanderia</t>
        </is>
      </c>
      <c r="G330" s="110" t="inlineStr">
        <is>
          <t>A PAGAR</t>
        </is>
      </c>
    </row>
    <row r="331">
      <c r="B331" s="110" t="inlineStr">
        <is>
          <t>PABLO - LAVANDERIA</t>
        </is>
      </c>
      <c r="C331" s="109" t="n">
        <v>46120</v>
      </c>
      <c r="D331" s="110" t="inlineStr">
        <is>
          <t>PIX CODI BANCO BRASIL</t>
        </is>
      </c>
      <c r="E331" s="111" t="n">
        <v>970</v>
      </c>
      <c r="F331" s="110" t="inlineStr">
        <is>
          <t>Lavanderia</t>
        </is>
      </c>
      <c r="G331" s="110" t="inlineStr">
        <is>
          <t>A PAGAR</t>
        </is>
      </c>
    </row>
    <row r="332">
      <c r="B332" s="110" t="inlineStr">
        <is>
          <t>PABLO - LAVANDERIA</t>
        </is>
      </c>
      <c r="C332" s="109" t="n">
        <v>46120</v>
      </c>
      <c r="D332" s="110" t="inlineStr">
        <is>
          <t>PIX CODI BANCO BRASIL</t>
        </is>
      </c>
      <c r="E332" s="111" t="n">
        <v>1176</v>
      </c>
      <c r="F332" s="110" t="inlineStr">
        <is>
          <t>Lavanderia</t>
        </is>
      </c>
      <c r="G332" s="110" t="inlineStr">
        <is>
          <t>A PAGAR</t>
        </is>
      </c>
    </row>
    <row r="333">
      <c r="B333" s="110" t="inlineStr">
        <is>
          <t>PABLO - LAVANDERIA</t>
        </is>
      </c>
      <c r="C333" s="109" t="n">
        <v>46126</v>
      </c>
      <c r="D333" s="110" t="inlineStr">
        <is>
          <t>PIX CODI BANCO BRASIL</t>
        </is>
      </c>
      <c r="E333" s="111" t="n">
        <v>1946</v>
      </c>
      <c r="F333" s="110" t="inlineStr">
        <is>
          <t>Lavanderia</t>
        </is>
      </c>
      <c r="G333" s="110" t="inlineStr">
        <is>
          <t>A PAGAR</t>
        </is>
      </c>
    </row>
    <row r="334">
      <c r="B334" s="110" t="inlineStr">
        <is>
          <t>PABLO - LAVANDERIA</t>
        </is>
      </c>
      <c r="C334" s="109" t="n">
        <v>46126</v>
      </c>
      <c r="D334" s="110" t="inlineStr">
        <is>
          <t>PIX CODI BANCO BRASIL</t>
        </is>
      </c>
      <c r="E334" s="111" t="n">
        <v>73.5</v>
      </c>
      <c r="F334" s="110" t="inlineStr">
        <is>
          <t>Lavanderia</t>
        </is>
      </c>
      <c r="G334" s="110" t="inlineStr">
        <is>
          <t>A PAGAR</t>
        </is>
      </c>
    </row>
    <row r="335">
      <c r="B335" s="110" t="inlineStr">
        <is>
          <t>PABLO - LAVANDERIA</t>
        </is>
      </c>
      <c r="C335" s="109" t="n">
        <v>46126</v>
      </c>
      <c r="D335" s="110" t="inlineStr">
        <is>
          <t>PIX CODI BANCO BRASIL</t>
        </is>
      </c>
      <c r="E335" s="111" t="n">
        <v>141</v>
      </c>
      <c r="F335" s="110" t="inlineStr">
        <is>
          <t>Lavanderia</t>
        </is>
      </c>
      <c r="G335" s="110" t="inlineStr">
        <is>
          <t>A PAGAR</t>
        </is>
      </c>
    </row>
    <row r="336">
      <c r="B336" s="110" t="inlineStr">
        <is>
          <t>PABLO - LAVANDERIA</t>
        </is>
      </c>
      <c r="C336" s="109" t="n">
        <v>46126</v>
      </c>
      <c r="D336" s="110" t="inlineStr">
        <is>
          <t>PIX CODI BANCO BRASIL</t>
        </is>
      </c>
      <c r="E336" s="111" t="n">
        <v>70.5</v>
      </c>
      <c r="F336" s="110" t="inlineStr">
        <is>
          <t>Lavanderia</t>
        </is>
      </c>
      <c r="G336" s="110" t="inlineStr">
        <is>
          <t>A PAGAR</t>
        </is>
      </c>
    </row>
    <row r="337">
      <c r="B337" s="110" t="inlineStr">
        <is>
          <t>PABLO - LAVANDERIA</t>
        </is>
      </c>
      <c r="C337" s="109" t="n">
        <v>46126</v>
      </c>
      <c r="D337" s="110" t="inlineStr">
        <is>
          <t>PIX CODI BANCO BRASIL</t>
        </is>
      </c>
      <c r="E337" s="111" t="n">
        <v>40.5</v>
      </c>
      <c r="F337" s="110" t="inlineStr">
        <is>
          <t>Lavanderia</t>
        </is>
      </c>
      <c r="G337" s="110" t="inlineStr">
        <is>
          <t>A PAGAR</t>
        </is>
      </c>
    </row>
    <row r="338">
      <c r="B338" s="110" t="inlineStr">
        <is>
          <t>PABLO - LAVANDERIA</t>
        </is>
      </c>
      <c r="C338" s="109" t="n">
        <v>46129</v>
      </c>
      <c r="D338" s="110" t="inlineStr">
        <is>
          <t>PIX CODI BANCO BRASIL</t>
        </is>
      </c>
      <c r="E338" s="111" t="n">
        <v>1603</v>
      </c>
      <c r="F338" s="110" t="inlineStr">
        <is>
          <t>Lavanderia</t>
        </is>
      </c>
      <c r="G338" s="110" t="inlineStr">
        <is>
          <t>A PAGAR</t>
        </is>
      </c>
    </row>
    <row r="339">
      <c r="B339" s="110" t="inlineStr">
        <is>
          <t>PABLO - LAVANDERIA</t>
        </is>
      </c>
      <c r="C339" s="109" t="n">
        <v>46129</v>
      </c>
      <c r="D339" s="110" t="inlineStr">
        <is>
          <t>PIX CODI BANCO BRASIL</t>
        </is>
      </c>
      <c r="E339" s="111" t="n">
        <v>70.5</v>
      </c>
      <c r="F339" s="110" t="inlineStr">
        <is>
          <t>Lavanderia</t>
        </is>
      </c>
      <c r="G339" s="110" t="inlineStr">
        <is>
          <t>A PAGAR</t>
        </is>
      </c>
    </row>
    <row r="340">
      <c r="B340" s="110" t="inlineStr">
        <is>
          <t>PABLO - LAVANDERIA</t>
        </is>
      </c>
      <c r="C340" s="109" t="n">
        <v>46129</v>
      </c>
      <c r="D340" s="110" t="inlineStr">
        <is>
          <t>PIX CODI BANCO BRASIL</t>
        </is>
      </c>
      <c r="E340" s="111" t="n">
        <v>1136.8</v>
      </c>
      <c r="F340" s="110" t="inlineStr">
        <is>
          <t>Lavanderia</t>
        </is>
      </c>
      <c r="G340" s="110" t="inlineStr">
        <is>
          <t>A PAGAR</t>
        </is>
      </c>
    </row>
    <row r="341">
      <c r="B341" s="110" t="inlineStr">
        <is>
          <t>AJUDA DE CUSTO - SEMANA</t>
        </is>
      </c>
      <c r="C341" s="109" t="n">
        <v>46132</v>
      </c>
      <c r="D341" s="110" t="inlineStr">
        <is>
          <t>PIX CODI BANCO BRASIL</t>
        </is>
      </c>
      <c r="E341" s="111" t="n">
        <v>340</v>
      </c>
      <c r="F341" s="110" t="inlineStr">
        <is>
          <t>Vale Transporte</t>
        </is>
      </c>
      <c r="G341" s="110" t="inlineStr">
        <is>
          <t>A PAGAR</t>
        </is>
      </c>
    </row>
    <row r="342">
      <c r="B342" s="110" t="inlineStr">
        <is>
          <t>CAPITAL GIRO SANTANDER ALV PJ</t>
        </is>
      </c>
      <c r="C342" s="109" t="n">
        <v>46132</v>
      </c>
      <c r="D342" s="110" t="inlineStr">
        <is>
          <t>TRANSFERÊNCIA</t>
        </is>
      </c>
      <c r="E342" s="111" t="n">
        <v>2088</v>
      </c>
      <c r="F342" s="110" t="inlineStr">
        <is>
          <t>Empréstimos</t>
        </is>
      </c>
      <c r="G342" s="110" t="inlineStr">
        <is>
          <t>A PAGAR</t>
        </is>
      </c>
    </row>
    <row r="343">
      <c r="B343" s="110" t="inlineStr">
        <is>
          <t>BANCO ITAU</t>
        </is>
      </c>
      <c r="C343" s="109" t="n">
        <v>46133</v>
      </c>
      <c r="D343" s="110" t="inlineStr">
        <is>
          <t>TRANSFERÊNCIA</t>
        </is>
      </c>
      <c r="E343" s="111" t="n">
        <v>42329</v>
      </c>
      <c r="F343" s="110" t="inlineStr">
        <is>
          <t>Empréstimos</t>
        </is>
      </c>
      <c r="G343" s="110" t="inlineStr">
        <is>
          <t>A PAGAR</t>
        </is>
      </c>
    </row>
    <row r="344">
      <c r="B344" s="110" t="inlineStr">
        <is>
          <t>BANCO ITAU/PESSOA FISICA</t>
        </is>
      </c>
      <c r="C344" s="109" t="n">
        <v>46134</v>
      </c>
      <c r="D344" s="110" t="inlineStr">
        <is>
          <t>TRANSFERÊNCIA</t>
        </is>
      </c>
      <c r="E344" s="111" t="n">
        <v>12013.66</v>
      </c>
      <c r="F344" s="110" t="inlineStr">
        <is>
          <t>Títulos de Capitalização</t>
        </is>
      </c>
      <c r="G344" s="110" t="inlineStr">
        <is>
          <t>A PAGAR</t>
        </is>
      </c>
    </row>
    <row r="345">
      <c r="B345" s="110" t="inlineStr">
        <is>
          <t>CAPITAL GIRO SANTANDER ALV PJ</t>
        </is>
      </c>
      <c r="C345" s="109" t="n">
        <v>46134</v>
      </c>
      <c r="D345" s="110" t="inlineStr">
        <is>
          <t>TRANSFERÊNCIA</t>
        </is>
      </c>
      <c r="E345" s="111" t="n">
        <v>3127.85</v>
      </c>
      <c r="F345" s="110" t="inlineStr">
        <is>
          <t>Empréstimos</t>
        </is>
      </c>
      <c r="G345" s="110" t="inlineStr">
        <is>
          <t>A PAGAR</t>
        </is>
      </c>
    </row>
    <row r="346">
      <c r="B346" s="110" t="inlineStr">
        <is>
          <t>CARTÃO ITAU PERSONALITÊ</t>
        </is>
      </c>
      <c r="C346" s="109" t="n">
        <v>46134</v>
      </c>
      <c r="D346" s="110" t="inlineStr">
        <is>
          <t>CARTÃO DE CRÉDITO</t>
        </is>
      </c>
      <c r="E346" s="111" t="n">
        <v>14168</v>
      </c>
      <c r="F346" s="110" t="inlineStr">
        <is>
          <t>Empréstimos</t>
        </is>
      </c>
      <c r="G346" s="110" t="inlineStr">
        <is>
          <t>A PAGAR</t>
        </is>
      </c>
    </row>
    <row r="347">
      <c r="B347" s="110" t="inlineStr">
        <is>
          <t>CAPITAL GIRO ITAU PF CLEITON</t>
        </is>
      </c>
      <c r="C347" s="109" t="n">
        <v>46135</v>
      </c>
      <c r="D347" s="110" t="inlineStr">
        <is>
          <t>TRANSFERÊNCIA</t>
        </is>
      </c>
      <c r="E347" s="111" t="n">
        <v>12445.02</v>
      </c>
      <c r="F347" s="110" t="inlineStr">
        <is>
          <t>Títulos de Capitalização</t>
        </is>
      </c>
      <c r="G347" s="110" t="inlineStr">
        <is>
          <t>A PAGAR</t>
        </is>
      </c>
    </row>
    <row r="348">
      <c r="B348" s="110" t="inlineStr">
        <is>
          <t>PABLO - LAVANDERIA</t>
        </is>
      </c>
      <c r="C348" s="109" t="n">
        <v>46136</v>
      </c>
      <c r="D348" s="110" t="inlineStr">
        <is>
          <t>PIX CODI BANCO BRASIL</t>
        </is>
      </c>
      <c r="E348" s="111" t="n">
        <v>1212</v>
      </c>
      <c r="F348" s="110" t="inlineStr">
        <is>
          <t>Lavanderia</t>
        </is>
      </c>
      <c r="G348" s="110" t="inlineStr">
        <is>
          <t>A PAGAR</t>
        </is>
      </c>
    </row>
    <row r="349">
      <c r="B349" s="110" t="inlineStr">
        <is>
          <t>PABLO - LAVANDERIA</t>
        </is>
      </c>
      <c r="C349" s="109" t="n">
        <v>46136</v>
      </c>
      <c r="D349" s="110" t="inlineStr">
        <is>
          <t>PIX CODI BANCO BRASIL</t>
        </is>
      </c>
      <c r="E349" s="111" t="n">
        <v>873</v>
      </c>
      <c r="F349" s="110" t="inlineStr">
        <is>
          <t>Lavanderia</t>
        </is>
      </c>
      <c r="G349" s="110" t="inlineStr">
        <is>
          <t>A PAGAR</t>
        </is>
      </c>
    </row>
    <row r="350">
      <c r="B350" s="110" t="inlineStr">
        <is>
          <t>VENCIMENTO FATURA DO CARTÃO</t>
        </is>
      </c>
      <c r="C350" s="109" t="n">
        <v>46140</v>
      </c>
      <c r="D350" s="110" t="inlineStr">
        <is>
          <t>CARTÃO DE CRÉDITO</t>
        </is>
      </c>
      <c r="E350" s="111" t="n">
        <v>0.5</v>
      </c>
      <c r="F350" s="110" t="inlineStr">
        <is>
          <t>Outros Insumos</t>
        </is>
      </c>
      <c r="G350" s="110" t="inlineStr">
        <is>
          <t>A PAGAR</t>
        </is>
      </c>
    </row>
    <row r="351">
      <c r="B351" s="110" t="inlineStr">
        <is>
          <t>BANCO SANTANDER</t>
        </is>
      </c>
      <c r="C351" s="109" t="n">
        <v>46140</v>
      </c>
      <c r="D351" s="110" t="inlineStr">
        <is>
          <t>TRANSFERÊNCIA</t>
        </is>
      </c>
      <c r="E351" s="111" t="n">
        <v>15436.91</v>
      </c>
      <c r="F351" s="110" t="inlineStr">
        <is>
          <t>Empréstimos</t>
        </is>
      </c>
      <c r="G351" s="110" t="inlineStr">
        <is>
          <t>A PAGAR</t>
        </is>
      </c>
    </row>
    <row r="352">
      <c r="B352" s="110" t="inlineStr">
        <is>
          <t>CEDRO TEXTIL</t>
        </is>
      </c>
      <c r="C352" s="109" t="n">
        <v>46142</v>
      </c>
      <c r="D352" s="110" t="inlineStr">
        <is>
          <t>BOLETO BANCÁRIO</t>
        </is>
      </c>
      <c r="E352" s="111" t="n">
        <v>7763.03</v>
      </c>
      <c r="F352" s="110" t="inlineStr">
        <is>
          <t>Tecidos</t>
        </is>
      </c>
      <c r="G352" s="110" t="inlineStr">
        <is>
          <t>A PAGAR</t>
        </is>
      </c>
    </row>
    <row r="353">
      <c r="B353" s="110" t="inlineStr">
        <is>
          <t>CAPITAL GIRO BRADESCO ALV PJ</t>
        </is>
      </c>
      <c r="C353" s="109" t="n">
        <v>46146</v>
      </c>
      <c r="D353" s="110" t="inlineStr">
        <is>
          <t>TRANSFERÊNCIA</t>
        </is>
      </c>
      <c r="E353" s="111" t="n">
        <v>20101.44</v>
      </c>
      <c r="F353" s="110" t="inlineStr">
        <is>
          <t>Empréstimos</t>
        </is>
      </c>
      <c r="G353" s="110" t="inlineStr">
        <is>
          <t>A PAGAR</t>
        </is>
      </c>
    </row>
    <row r="354">
      <c r="B354" s="110" t="inlineStr">
        <is>
          <t>PABLO - LAVANDERIA</t>
        </is>
      </c>
      <c r="C354" s="109" t="n">
        <v>46146</v>
      </c>
      <c r="D354" s="110" t="inlineStr">
        <is>
          <t>PIX CODI BANCO BRASIL</t>
        </is>
      </c>
      <c r="E354" s="111" t="n">
        <v>1245</v>
      </c>
      <c r="F354" s="110" t="inlineStr">
        <is>
          <t>Lavanderia</t>
        </is>
      </c>
      <c r="G354" s="110" t="inlineStr">
        <is>
          <t>A PAGAR</t>
        </is>
      </c>
    </row>
    <row r="355">
      <c r="B355" s="110" t="inlineStr">
        <is>
          <t>BLESSED LAVANDERIA</t>
        </is>
      </c>
      <c r="C355" s="109" t="n">
        <v>46146</v>
      </c>
      <c r="D355" s="110" t="inlineStr">
        <is>
          <t>PIX CODI BANCO BRASIL</t>
        </is>
      </c>
      <c r="E355" s="111" t="n">
        <v>613.8</v>
      </c>
      <c r="F355" s="110" t="inlineStr">
        <is>
          <t>Lavanderia</t>
        </is>
      </c>
      <c r="G355" s="110" t="inlineStr">
        <is>
          <t>A PAGAR</t>
        </is>
      </c>
    </row>
    <row r="356">
      <c r="B356" s="110" t="inlineStr">
        <is>
          <t>PABLO - LAVANDERIA</t>
        </is>
      </c>
      <c r="C356" s="109" t="n">
        <v>46146</v>
      </c>
      <c r="D356" s="110" t="inlineStr">
        <is>
          <t>PIX CODI BANCO BRASIL</t>
        </is>
      </c>
      <c r="E356" s="111" t="n">
        <v>1080</v>
      </c>
      <c r="F356" s="110" t="inlineStr">
        <is>
          <t>Lavanderia</t>
        </is>
      </c>
      <c r="G356" s="110" t="inlineStr">
        <is>
          <t>A PAGAR</t>
        </is>
      </c>
    </row>
    <row r="357">
      <c r="B357" s="110" t="inlineStr">
        <is>
          <t>BLESSED LAVANDERIA</t>
        </is>
      </c>
      <c r="C357" s="109" t="n">
        <v>46146</v>
      </c>
      <c r="D357" s="110" t="inlineStr">
        <is>
          <t>PIX CODI BANCO BRASIL</t>
        </is>
      </c>
      <c r="E357" s="111" t="n">
        <v>334.4</v>
      </c>
      <c r="F357" s="110" t="inlineStr">
        <is>
          <t>Lavanderia</t>
        </is>
      </c>
      <c r="G357" s="110" t="inlineStr">
        <is>
          <t>A PAGAR</t>
        </is>
      </c>
    </row>
    <row r="358">
      <c r="B358" s="110" t="inlineStr">
        <is>
          <t>BLESSED LAVANDERIA</t>
        </is>
      </c>
      <c r="C358" s="109" t="n">
        <v>46146</v>
      </c>
      <c r="D358" s="110" t="inlineStr">
        <is>
          <t>PIX CODI BANCO BRASIL</t>
        </is>
      </c>
      <c r="E358" s="111" t="n">
        <v>1218</v>
      </c>
      <c r="F358" s="110" t="inlineStr">
        <is>
          <t>Lavanderia</t>
        </is>
      </c>
      <c r="G358" s="110" t="inlineStr">
        <is>
          <t>A PAGAR</t>
        </is>
      </c>
    </row>
    <row r="359">
      <c r="B359" s="110" t="inlineStr">
        <is>
          <t>PABLO - LAVANDERIA</t>
        </is>
      </c>
      <c r="C359" s="109" t="n">
        <v>46146</v>
      </c>
      <c r="D359" s="110" t="inlineStr">
        <is>
          <t>PIX CODI BANCO BRASIL</t>
        </is>
      </c>
      <c r="E359" s="111" t="n">
        <v>1635</v>
      </c>
      <c r="F359" s="110" t="inlineStr">
        <is>
          <t>Lavanderia</t>
        </is>
      </c>
      <c r="G359" s="110" t="inlineStr">
        <is>
          <t>A PAGAR</t>
        </is>
      </c>
    </row>
    <row r="360">
      <c r="B360" s="110" t="inlineStr">
        <is>
          <t>BLESSED LAVANDERIA</t>
        </is>
      </c>
      <c r="C360" s="109" t="n">
        <v>46146</v>
      </c>
      <c r="D360" s="110" t="inlineStr">
        <is>
          <t>PIX CODI BANCO BRASIL</t>
        </is>
      </c>
      <c r="E360" s="111" t="n">
        <v>132</v>
      </c>
      <c r="F360" s="110" t="inlineStr">
        <is>
          <t>Lavanderia</t>
        </is>
      </c>
      <c r="G360" s="110" t="inlineStr">
        <is>
          <t>A PAGAR</t>
        </is>
      </c>
    </row>
    <row r="361">
      <c r="B361" s="110" t="inlineStr">
        <is>
          <t>BLESSED LAVANDERIA</t>
        </is>
      </c>
      <c r="C361" s="109" t="n">
        <v>46146</v>
      </c>
      <c r="D361" s="110" t="inlineStr">
        <is>
          <t>PIX CODI BANCO BRASIL</t>
        </is>
      </c>
      <c r="E361" s="111" t="n">
        <v>466.4</v>
      </c>
      <c r="F361" s="110" t="inlineStr">
        <is>
          <t>Lavanderia</t>
        </is>
      </c>
      <c r="G361" s="110" t="inlineStr">
        <is>
          <t>A PAGAR</t>
        </is>
      </c>
    </row>
    <row r="362">
      <c r="B362" s="110" t="inlineStr">
        <is>
          <t>RECARGA CELULARES VENDAS</t>
        </is>
      </c>
      <c r="C362" s="109" t="n">
        <v>46147</v>
      </c>
      <c r="D362" s="110" t="inlineStr">
        <is>
          <t>PIX CODI BANCO BRASIL</t>
        </is>
      </c>
      <c r="E362" s="111" t="n">
        <v>90</v>
      </c>
      <c r="F362" s="110" t="inlineStr">
        <is>
          <t>Telefonia Móvel</t>
        </is>
      </c>
      <c r="G362" s="110" t="inlineStr">
        <is>
          <t>A PAGAR</t>
        </is>
      </c>
    </row>
    <row r="363">
      <c r="B363" s="110" t="inlineStr">
        <is>
          <t>BLESSED LAVANDERIA</t>
        </is>
      </c>
      <c r="C363" s="109" t="n">
        <v>46147</v>
      </c>
      <c r="D363" s="110" t="inlineStr">
        <is>
          <t>PIX CODI BANCO BRASIL</t>
        </is>
      </c>
      <c r="E363" s="111" t="n">
        <v>66</v>
      </c>
      <c r="F363" s="110" t="inlineStr">
        <is>
          <t>Lavanderia</t>
        </is>
      </c>
      <c r="G363" s="110" t="inlineStr">
        <is>
          <t>A PAGAR</t>
        </is>
      </c>
    </row>
    <row r="364">
      <c r="B364" s="110" t="inlineStr">
        <is>
          <t>BLESSED LAVANDERIA</t>
        </is>
      </c>
      <c r="C364" s="109" t="n">
        <v>46147</v>
      </c>
      <c r="D364" s="110" t="inlineStr">
        <is>
          <t>PIX CODI BANCO BRASIL</t>
        </is>
      </c>
      <c r="E364" s="111" t="n">
        <v>57.2</v>
      </c>
      <c r="F364" s="110" t="inlineStr">
        <is>
          <t>Lavanderia</t>
        </is>
      </c>
      <c r="G364" s="110" t="inlineStr">
        <is>
          <t>A PAGAR</t>
        </is>
      </c>
    </row>
    <row r="365">
      <c r="B365" s="110" t="inlineStr">
        <is>
          <t>CAPITAL GIRO SANTANDER ALV PJ</t>
        </is>
      </c>
      <c r="C365" s="109" t="n">
        <v>46162</v>
      </c>
      <c r="D365" s="110" t="inlineStr">
        <is>
          <t>TRANSFERÊNCIA</t>
        </is>
      </c>
      <c r="E365" s="111" t="n">
        <v>2088</v>
      </c>
      <c r="F365" s="110" t="inlineStr">
        <is>
          <t>Empréstimos</t>
        </is>
      </c>
      <c r="G365" s="110" t="inlineStr">
        <is>
          <t>A PAGAR</t>
        </is>
      </c>
    </row>
    <row r="366">
      <c r="B366" s="110" t="inlineStr">
        <is>
          <t>BANCO ITAU</t>
        </is>
      </c>
      <c r="C366" s="109" t="n">
        <v>46163</v>
      </c>
      <c r="D366" s="110" t="inlineStr">
        <is>
          <t>TRANSFERÊNCIA</t>
        </is>
      </c>
      <c r="E366" s="111" t="n">
        <v>42329</v>
      </c>
      <c r="F366" s="110" t="inlineStr">
        <is>
          <t>Empréstimos</t>
        </is>
      </c>
      <c r="G366" s="110" t="inlineStr">
        <is>
          <t>A PAGAR</t>
        </is>
      </c>
    </row>
    <row r="367">
      <c r="B367" s="110" t="inlineStr">
        <is>
          <t>BANCO ITAU/PESSOA FISICA</t>
        </is>
      </c>
      <c r="C367" s="109" t="n">
        <v>46164</v>
      </c>
      <c r="D367" s="110" t="inlineStr">
        <is>
          <t>TRANSFERÊNCIA</t>
        </is>
      </c>
      <c r="E367" s="111" t="n">
        <v>12013.66</v>
      </c>
      <c r="F367" s="110" t="inlineStr">
        <is>
          <t>Títulos de Capitalização</t>
        </is>
      </c>
      <c r="G367" s="110" t="inlineStr">
        <is>
          <t>A PAGAR</t>
        </is>
      </c>
    </row>
    <row r="368">
      <c r="B368" s="110" t="inlineStr">
        <is>
          <t>CAPITAL GIRO SANTANDER ALV PJ</t>
        </is>
      </c>
      <c r="C368" s="109" t="n">
        <v>46164</v>
      </c>
      <c r="D368" s="110" t="inlineStr">
        <is>
          <t>TRANSFERÊNCIA</t>
        </is>
      </c>
      <c r="E368" s="111" t="n">
        <v>3127.85</v>
      </c>
      <c r="F368" s="110" t="inlineStr">
        <is>
          <t>Empréstimos</t>
        </is>
      </c>
      <c r="G368" s="110" t="inlineStr">
        <is>
          <t>A PAGAR</t>
        </is>
      </c>
    </row>
    <row r="369">
      <c r="B369" s="110" t="inlineStr">
        <is>
          <t>CARTÃO ITAU PERSONALITÊ</t>
        </is>
      </c>
      <c r="C369" s="109" t="n">
        <v>46164</v>
      </c>
      <c r="D369" s="110" t="inlineStr">
        <is>
          <t>CARTÃO DE CRÉDITO</t>
        </is>
      </c>
      <c r="E369" s="111" t="n">
        <v>14168</v>
      </c>
      <c r="F369" s="110" t="inlineStr">
        <is>
          <t>Empréstimos</t>
        </is>
      </c>
      <c r="G369" s="110" t="inlineStr">
        <is>
          <t>A PAGAR</t>
        </is>
      </c>
    </row>
    <row r="370">
      <c r="B370" s="110" t="inlineStr">
        <is>
          <t>CAPITAL GIRO ITAU PF CLEITON</t>
        </is>
      </c>
      <c r="C370" s="109" t="n">
        <v>46165</v>
      </c>
      <c r="D370" s="110" t="inlineStr">
        <is>
          <t>TRANSFERÊNCIA</t>
        </is>
      </c>
      <c r="E370" s="111" t="n">
        <v>12445.02</v>
      </c>
      <c r="F370" s="110" t="inlineStr">
        <is>
          <t>Títulos de Capitalização</t>
        </is>
      </c>
      <c r="G370" s="110" t="inlineStr">
        <is>
          <t>A PAGAR</t>
        </is>
      </c>
    </row>
    <row r="371">
      <c r="B371" s="110" t="inlineStr">
        <is>
          <t>BANCO SANTANDER</t>
        </is>
      </c>
      <c r="C371" s="109" t="n">
        <v>46170</v>
      </c>
      <c r="D371" s="110" t="inlineStr">
        <is>
          <t>TRANSFERÊNCIA</t>
        </is>
      </c>
      <c r="E371" s="111" t="n">
        <v>15436.91</v>
      </c>
      <c r="F371" s="110" t="inlineStr">
        <is>
          <t>Empréstimos</t>
        </is>
      </c>
      <c r="G371" s="110" t="inlineStr">
        <is>
          <t>A PAGAR</t>
        </is>
      </c>
    </row>
    <row r="372">
      <c r="B372" s="110" t="inlineStr">
        <is>
          <t>CEDRO TEXTIL</t>
        </is>
      </c>
      <c r="C372" s="109" t="n">
        <v>46172</v>
      </c>
      <c r="D372" s="110" t="inlineStr">
        <is>
          <t>BOLETO BANCÁRIO</t>
        </is>
      </c>
      <c r="E372" s="111" t="n">
        <v>7763.03</v>
      </c>
      <c r="F372" s="110" t="inlineStr">
        <is>
          <t>Tecidos</t>
        </is>
      </c>
      <c r="G372" s="110" t="inlineStr">
        <is>
          <t>A PAGAR</t>
        </is>
      </c>
    </row>
    <row r="373">
      <c r="B373" s="110" t="inlineStr">
        <is>
          <t>CAPITAL GIRO BRADESCO ALV PJ</t>
        </is>
      </c>
      <c r="C373" s="109" t="n">
        <v>46174</v>
      </c>
      <c r="D373" s="110" t="inlineStr">
        <is>
          <t>TRANSFERÊNCIA</t>
        </is>
      </c>
      <c r="E373" s="111" t="n">
        <v>20101.44</v>
      </c>
      <c r="F373" s="110" t="inlineStr">
        <is>
          <t>Empréstimos</t>
        </is>
      </c>
      <c r="G373" s="110" t="inlineStr">
        <is>
          <t>A PAGAR</t>
        </is>
      </c>
    </row>
    <row r="374">
      <c r="B374" s="110" t="inlineStr">
        <is>
          <t>ROGERIO - TRAVETE</t>
        </is>
      </c>
      <c r="C374" s="109" t="n">
        <v>46178</v>
      </c>
      <c r="D374" s="110" t="inlineStr">
        <is>
          <t>PIX CODI BANCO BRASIL</t>
        </is>
      </c>
      <c r="E374" s="111" t="n">
        <v>82</v>
      </c>
      <c r="F374" s="110" t="inlineStr">
        <is>
          <t>Travete</t>
        </is>
      </c>
      <c r="G374" s="110" t="inlineStr">
        <is>
          <t>A PAGAR</t>
        </is>
      </c>
    </row>
    <row r="375">
      <c r="B375" s="110" t="inlineStr">
        <is>
          <t>DIVINO-ACABAMENTO</t>
        </is>
      </c>
      <c r="C375" s="109" t="n">
        <v>46178</v>
      </c>
      <c r="D375" s="110" t="inlineStr">
        <is>
          <t>PIX CODI BANCO BRASIL</t>
        </is>
      </c>
      <c r="E375" s="111" t="n">
        <v>446.2</v>
      </c>
      <c r="F375" s="110" t="inlineStr">
        <is>
          <t>Acabamento Externo</t>
        </is>
      </c>
      <c r="G375" s="110" t="inlineStr">
        <is>
          <t>A PAGAR</t>
        </is>
      </c>
    </row>
    <row r="376">
      <c r="B376" s="110" t="inlineStr">
        <is>
          <t>DIVINO-ACABAMENTO</t>
        </is>
      </c>
      <c r="C376" s="109" t="n">
        <v>46178</v>
      </c>
      <c r="D376" s="110" t="inlineStr">
        <is>
          <t>PIX CODI BANCO BRASIL</t>
        </is>
      </c>
      <c r="E376" s="111" t="n">
        <v>59.8</v>
      </c>
      <c r="F376" s="110" t="inlineStr">
        <is>
          <t>Acabamento Externo</t>
        </is>
      </c>
      <c r="G376" s="110" t="inlineStr">
        <is>
          <t>A PAGAR</t>
        </is>
      </c>
    </row>
    <row r="377">
      <c r="B377" s="110" t="inlineStr">
        <is>
          <t>DIVINO-ACABAMENTO</t>
        </is>
      </c>
      <c r="C377" s="109" t="n">
        <v>46178</v>
      </c>
      <c r="D377" s="110" t="inlineStr">
        <is>
          <t>PIX CODI BANCO BRASIL</t>
        </is>
      </c>
      <c r="E377" s="111" t="n">
        <v>368</v>
      </c>
      <c r="F377" s="110" t="inlineStr">
        <is>
          <t>Acabamento Externo</t>
        </is>
      </c>
      <c r="G377" s="110" t="inlineStr">
        <is>
          <t>A PAGAR</t>
        </is>
      </c>
    </row>
    <row r="378">
      <c r="B378" s="110" t="inlineStr">
        <is>
          <t>ROGERIO - TRAVETE</t>
        </is>
      </c>
      <c r="C378" s="109" t="n">
        <v>46178</v>
      </c>
      <c r="D378" s="110" t="inlineStr">
        <is>
          <t>PIX CODI BANCO BRASIL</t>
        </is>
      </c>
      <c r="E378" s="111" t="n">
        <v>160</v>
      </c>
      <c r="F378" s="110" t="inlineStr">
        <is>
          <t>Travete</t>
        </is>
      </c>
      <c r="G378" s="110" t="inlineStr">
        <is>
          <t>A PAGAR</t>
        </is>
      </c>
    </row>
    <row r="379">
      <c r="B379" s="110" t="inlineStr">
        <is>
          <t>ROGERIO - TRAVETE</t>
        </is>
      </c>
      <c r="C379" s="109" t="n">
        <v>46178</v>
      </c>
      <c r="D379" s="110" t="inlineStr">
        <is>
          <t>PIX CODI BANCO BRASIL</t>
        </is>
      </c>
      <c r="E379" s="111" t="n">
        <v>194</v>
      </c>
      <c r="F379" s="110" t="inlineStr">
        <is>
          <t>Travete</t>
        </is>
      </c>
      <c r="G379" s="110" t="inlineStr">
        <is>
          <t>A PAGAR</t>
        </is>
      </c>
    </row>
    <row r="380">
      <c r="B380" s="110" t="inlineStr">
        <is>
          <t>SERASA</t>
        </is>
      </c>
      <c r="C380" s="109" t="n">
        <v>46188</v>
      </c>
      <c r="D380" s="110" t="inlineStr">
        <is>
          <t>BOLETO BANCÁRIO</t>
        </is>
      </c>
      <c r="E380" s="111" t="n">
        <v>350</v>
      </c>
      <c r="F380" s="110" t="inlineStr">
        <is>
          <t>Consulta de Crédito Cliente</t>
        </is>
      </c>
      <c r="G380" s="110" t="inlineStr">
        <is>
          <t>A PAGAR</t>
        </is>
      </c>
    </row>
    <row r="381">
      <c r="B381" s="110" t="inlineStr">
        <is>
          <t>CAPITAL GIRO SANTANDER ALV PJ</t>
        </is>
      </c>
      <c r="C381" s="109" t="n">
        <v>46193</v>
      </c>
      <c r="D381" s="110" t="inlineStr">
        <is>
          <t>TRANSFERÊNCIA</t>
        </is>
      </c>
      <c r="E381" s="111" t="n">
        <v>2088</v>
      </c>
      <c r="F381" s="110" t="inlineStr">
        <is>
          <t>Empréstimos</t>
        </is>
      </c>
      <c r="G381" s="110" t="inlineStr">
        <is>
          <t>A PAGAR</t>
        </is>
      </c>
    </row>
    <row r="382">
      <c r="B382" s="110" t="inlineStr">
        <is>
          <t>TOP BRASIL SEGURADORA</t>
        </is>
      </c>
      <c r="C382" s="109" t="n">
        <v>46193</v>
      </c>
      <c r="D382" s="110" t="inlineStr">
        <is>
          <t>BOLETO BANCÁRIO</t>
        </is>
      </c>
      <c r="E382" s="111" t="n">
        <v>270</v>
      </c>
      <c r="F382" s="110" t="inlineStr">
        <is>
          <t>Seguros</t>
        </is>
      </c>
      <c r="G382" s="110" t="inlineStr">
        <is>
          <t>A PAGAR</t>
        </is>
      </c>
    </row>
    <row r="383">
      <c r="B383" s="110" t="inlineStr">
        <is>
          <t>BANCO ITAU</t>
        </is>
      </c>
      <c r="C383" s="109" t="n">
        <v>46194</v>
      </c>
      <c r="D383" s="110" t="inlineStr">
        <is>
          <t>TRANSFERÊNCIA</t>
        </is>
      </c>
      <c r="E383" s="111" t="n">
        <v>42329</v>
      </c>
      <c r="F383" s="110" t="inlineStr">
        <is>
          <t>Empréstimos</t>
        </is>
      </c>
      <c r="G383" s="110" t="inlineStr">
        <is>
          <t>A PAGAR</t>
        </is>
      </c>
    </row>
    <row r="384">
      <c r="B384" s="110" t="inlineStr">
        <is>
          <t>CARTÃO ITAU PERSONALITÊ</t>
        </is>
      </c>
      <c r="C384" s="109" t="n">
        <v>46194</v>
      </c>
      <c r="D384" s="110" t="inlineStr">
        <is>
          <t>CARTÃO DE CRÉDITO</t>
        </is>
      </c>
      <c r="E384" s="111" t="n">
        <v>14168</v>
      </c>
      <c r="F384" s="110" t="inlineStr">
        <is>
          <t>Empréstimos</t>
        </is>
      </c>
      <c r="G384" s="110" t="inlineStr">
        <is>
          <t>A PAGAR</t>
        </is>
      </c>
    </row>
    <row r="385">
      <c r="B385" s="110" t="inlineStr">
        <is>
          <t>BANCO ITAU/PESSOA FISICA</t>
        </is>
      </c>
      <c r="C385" s="109" t="n">
        <v>46195</v>
      </c>
      <c r="D385" s="110" t="inlineStr">
        <is>
          <t>TRANSFERÊNCIA</t>
        </is>
      </c>
      <c r="E385" s="111" t="n">
        <v>12013.66</v>
      </c>
      <c r="F385" s="110" t="inlineStr">
        <is>
          <t>Títulos de Capitalização</t>
        </is>
      </c>
      <c r="G385" s="110" t="inlineStr">
        <is>
          <t>A PAGAR</t>
        </is>
      </c>
    </row>
    <row r="386">
      <c r="B386" s="110" t="inlineStr">
        <is>
          <t>CAPITAL GIRO SANTANDER ALV PJ</t>
        </is>
      </c>
      <c r="C386" s="109" t="n">
        <v>46195</v>
      </c>
      <c r="D386" s="110" t="inlineStr">
        <is>
          <t>TRANSFERÊNCIA</t>
        </is>
      </c>
      <c r="E386" s="111" t="n">
        <v>3127.85</v>
      </c>
      <c r="F386" s="110" t="inlineStr">
        <is>
          <t>Empréstimos</t>
        </is>
      </c>
      <c r="G386" s="110" t="inlineStr">
        <is>
          <t>A PAGAR</t>
        </is>
      </c>
    </row>
    <row r="387">
      <c r="B387" s="110" t="inlineStr">
        <is>
          <t>CAPITAL GIRO ITAU PF CLEITON</t>
        </is>
      </c>
      <c r="C387" s="109" t="n">
        <v>46196</v>
      </c>
      <c r="D387" s="110" t="inlineStr">
        <is>
          <t>TRANSFERÊNCIA</t>
        </is>
      </c>
      <c r="E387" s="111" t="n">
        <v>12445.02</v>
      </c>
      <c r="F387" s="110" t="inlineStr">
        <is>
          <t>Títulos de Capitalização</t>
        </is>
      </c>
      <c r="G387" s="110" t="inlineStr">
        <is>
          <t>A PAGAR</t>
        </is>
      </c>
    </row>
    <row r="388">
      <c r="B388" s="110" t="inlineStr">
        <is>
          <t>CAPITAL GIRO ITAU CODI.COM PJ</t>
        </is>
      </c>
      <c r="C388" s="109" t="n">
        <v>46197</v>
      </c>
      <c r="D388" s="110" t="inlineStr">
        <is>
          <t>TRANSFERÊNCIA</t>
        </is>
      </c>
      <c r="E388" s="111" t="n">
        <v>6000</v>
      </c>
      <c r="F388" s="110" t="inlineStr">
        <is>
          <t>Empréstimos</t>
        </is>
      </c>
      <c r="G388" s="110" t="inlineStr">
        <is>
          <t>A PAGAR</t>
        </is>
      </c>
    </row>
    <row r="389">
      <c r="B389" s="110" t="inlineStr">
        <is>
          <t>EQUATORIAL ENERGIA</t>
        </is>
      </c>
      <c r="C389" s="109" t="n">
        <v>46200</v>
      </c>
      <c r="D389" s="110" t="inlineStr">
        <is>
          <t>BOLETO BANCÁRIO</t>
        </is>
      </c>
      <c r="E389" s="111" t="n">
        <v>450</v>
      </c>
      <c r="F389" s="110" t="inlineStr">
        <is>
          <t>Energia Elétrica</t>
        </is>
      </c>
      <c r="G389" s="110" t="inlineStr">
        <is>
          <t>A PAGAR</t>
        </is>
      </c>
    </row>
    <row r="390">
      <c r="B390" s="110" t="inlineStr">
        <is>
          <t>SANEAGO</t>
        </is>
      </c>
      <c r="C390" s="109" t="n">
        <v>46201</v>
      </c>
      <c r="D390" s="110" t="inlineStr">
        <is>
          <t>BOLETO BANCÁRIO</t>
        </is>
      </c>
      <c r="E390" s="111" t="n">
        <v>280</v>
      </c>
      <c r="F390" s="110" t="inlineStr">
        <is>
          <t>Água</t>
        </is>
      </c>
      <c r="G390" s="110" t="inlineStr">
        <is>
          <t>A PAGAR</t>
        </is>
      </c>
    </row>
    <row r="391">
      <c r="B391" s="110" t="inlineStr">
        <is>
          <t>IMPOSTO ALV</t>
        </is>
      </c>
      <c r="C391" s="109" t="n">
        <v>46201</v>
      </c>
      <c r="D391" s="110" t="inlineStr">
        <is>
          <t>BOLETO BANCÁRIO</t>
        </is>
      </c>
      <c r="E391" s="111" t="n">
        <v>1272</v>
      </c>
      <c r="F391" s="110" t="inlineStr">
        <is>
          <t>Simples Nacional</t>
        </is>
      </c>
      <c r="G391" s="110" t="inlineStr">
        <is>
          <t>A PAGAR</t>
        </is>
      </c>
    </row>
    <row r="392">
      <c r="B392" s="110" t="inlineStr">
        <is>
          <t>BANCO SANTANDER</t>
        </is>
      </c>
      <c r="C392" s="109" t="n">
        <v>46201</v>
      </c>
      <c r="D392" s="110" t="inlineStr">
        <is>
          <t>TRANSFERÊNCIA</t>
        </is>
      </c>
      <c r="E392" s="111" t="n">
        <v>15436.91</v>
      </c>
      <c r="F392" s="110" t="inlineStr">
        <is>
          <t>Empréstimos</t>
        </is>
      </c>
      <c r="G392" s="110" t="inlineStr">
        <is>
          <t>A PAGAR</t>
        </is>
      </c>
    </row>
    <row r="393">
      <c r="B393" s="110" t="inlineStr">
        <is>
          <t>CEDRO TEXTIL</t>
        </is>
      </c>
      <c r="C393" s="109" t="n">
        <v>46202</v>
      </c>
      <c r="D393" s="110" t="inlineStr">
        <is>
          <t>BOLETO BANCÁRIO</t>
        </is>
      </c>
      <c r="E393" s="111" t="n">
        <v>7763.26</v>
      </c>
      <c r="F393" s="110" t="inlineStr">
        <is>
          <t>Tecidos</t>
        </is>
      </c>
      <c r="G393" s="110" t="inlineStr">
        <is>
          <t>A PAGAR</t>
        </is>
      </c>
    </row>
    <row r="394">
      <c r="B394" s="110" t="inlineStr">
        <is>
          <t>WESLEY WK TEXTIL</t>
        </is>
      </c>
      <c r="C394" s="109" t="n">
        <v>46203</v>
      </c>
      <c r="D394" s="110" t="inlineStr">
        <is>
          <t>CHEQUE - EMPRESA</t>
        </is>
      </c>
      <c r="E394" s="111" t="n">
        <v>2546</v>
      </c>
      <c r="F394" s="110" t="inlineStr">
        <is>
          <t>Tecidos</t>
        </is>
      </c>
      <c r="G394" s="110" t="inlineStr">
        <is>
          <t>A PAGAR</t>
        </is>
      </c>
    </row>
    <row r="395">
      <c r="B395" s="110" t="inlineStr">
        <is>
          <t>CAPITAL GIRO BRADESCO ALV PJ</t>
        </is>
      </c>
      <c r="C395" s="109" t="n">
        <v>46204</v>
      </c>
      <c r="D395" s="110" t="inlineStr">
        <is>
          <t>TRANSFERÊNCIA</t>
        </is>
      </c>
      <c r="E395" s="111" t="n">
        <v>20101.44</v>
      </c>
      <c r="F395" s="110" t="inlineStr">
        <is>
          <t>Empréstimos</t>
        </is>
      </c>
      <c r="G395" s="110" t="inlineStr">
        <is>
          <t>A PAGAR</t>
        </is>
      </c>
    </row>
    <row r="396">
      <c r="B396" s="110" t="inlineStr">
        <is>
          <t>RECARGA CELULARES VENDAS</t>
        </is>
      </c>
      <c r="C396" s="109" t="n">
        <v>46208</v>
      </c>
      <c r="D396" s="110" t="inlineStr">
        <is>
          <t>PIX CODI BANCO BRASIL</t>
        </is>
      </c>
      <c r="E396" s="111" t="n">
        <v>90</v>
      </c>
      <c r="F396" s="110" t="inlineStr">
        <is>
          <t>Telefonia Móvel</t>
        </is>
      </c>
      <c r="G396" s="110" t="inlineStr">
        <is>
          <t>A PAGAR</t>
        </is>
      </c>
    </row>
    <row r="397">
      <c r="B397" s="110" t="inlineStr">
        <is>
          <t>AILTON TORRES FERREIRA - CORTADOR</t>
        </is>
      </c>
      <c r="C397" s="109" t="n">
        <v>46209</v>
      </c>
      <c r="D397" s="110" t="inlineStr">
        <is>
          <t>PIX CODI BANCO BRASIL</t>
        </is>
      </c>
      <c r="E397" s="111" t="n">
        <v>2542</v>
      </c>
      <c r="F397" s="110" t="inlineStr">
        <is>
          <t>Salário e Ordenados</t>
        </is>
      </c>
      <c r="G397" s="110" t="inlineStr">
        <is>
          <t>A PAGAR</t>
        </is>
      </c>
    </row>
    <row r="398">
      <c r="B398" s="110" t="inlineStr">
        <is>
          <t>EDIMAR GERENTE DE PRODUÇÃO</t>
        </is>
      </c>
      <c r="C398" s="109" t="n">
        <v>46209</v>
      </c>
      <c r="D398" s="110" t="inlineStr">
        <is>
          <t>PIX CODI BANCO BRASIL</t>
        </is>
      </c>
      <c r="E398" s="111" t="n">
        <v>6484</v>
      </c>
      <c r="F398" s="110" t="inlineStr">
        <is>
          <t>Salário e Ordenados</t>
        </is>
      </c>
      <c r="G398" s="110" t="inlineStr">
        <is>
          <t>A PAGAR</t>
        </is>
      </c>
    </row>
    <row r="399">
      <c r="B399" s="110" t="inlineStr">
        <is>
          <t>AJUDA DE CUSTO - SEMANA</t>
        </is>
      </c>
      <c r="C399" s="109" t="n">
        <v>46209</v>
      </c>
      <c r="D399" s="110" t="inlineStr">
        <is>
          <t>PIX CODI BANCO BRASIL</t>
        </is>
      </c>
      <c r="E399" s="111" t="n">
        <v>600</v>
      </c>
      <c r="F399" s="110" t="inlineStr">
        <is>
          <t>Vale Transporte</t>
        </is>
      </c>
      <c r="G399" s="110" t="inlineStr">
        <is>
          <t>A PAGAR</t>
        </is>
      </c>
    </row>
    <row r="400">
      <c r="B400" s="110" t="inlineStr">
        <is>
          <t>JOSÉ HAMILTON FERREIRA - CORTADOR</t>
        </is>
      </c>
      <c r="C400" s="109" t="n">
        <v>46209</v>
      </c>
      <c r="D400" s="110" t="inlineStr">
        <is>
          <t>PIX CODI BANCO BRASIL</t>
        </is>
      </c>
      <c r="E400" s="111" t="n">
        <v>1781.5</v>
      </c>
      <c r="F400" s="110" t="inlineStr">
        <is>
          <t>Salário e Ordenados</t>
        </is>
      </c>
      <c r="G400" s="110" t="inlineStr">
        <is>
          <t>A PAGAR</t>
        </is>
      </c>
    </row>
    <row r="401">
      <c r="B401" s="110" t="inlineStr">
        <is>
          <t>WALLYSON HENRIQUE BARBOSA SOUZA</t>
        </is>
      </c>
      <c r="C401" s="109" t="n">
        <v>46209</v>
      </c>
      <c r="D401" s="110" t="inlineStr">
        <is>
          <t>PIX CODI BANCO BRASIL</t>
        </is>
      </c>
      <c r="E401" s="111" t="n">
        <v>4200</v>
      </c>
      <c r="F401" s="110" t="inlineStr">
        <is>
          <t>Salário e Ordenados</t>
        </is>
      </c>
      <c r="G401" s="110" t="inlineStr">
        <is>
          <t>A PAGAR</t>
        </is>
      </c>
    </row>
    <row r="402">
      <c r="B402" s="110" t="inlineStr">
        <is>
          <t>LUIZ GUSTAVO SANTANA</t>
        </is>
      </c>
      <c r="C402" s="109" t="n">
        <v>46209</v>
      </c>
      <c r="D402" s="110" t="inlineStr">
        <is>
          <t>PIX CODI BANCO BRASIL</t>
        </is>
      </c>
      <c r="E402" s="111" t="n">
        <v>2300</v>
      </c>
      <c r="F402" s="110" t="inlineStr">
        <is>
          <t>Salário e Ordenados</t>
        </is>
      </c>
      <c r="G402" s="110" t="inlineStr">
        <is>
          <t>A PAGAR</t>
        </is>
      </c>
    </row>
    <row r="403">
      <c r="B403" s="110" t="inlineStr">
        <is>
          <t>ADRIANA CARDOSO DA SILVA - VENDAS</t>
        </is>
      </c>
      <c r="C403" s="109" t="n">
        <v>46209</v>
      </c>
      <c r="D403" s="110" t="inlineStr">
        <is>
          <t>PIX CODI BANCO BRASIL</t>
        </is>
      </c>
      <c r="E403" s="111" t="n">
        <v>1612.82</v>
      </c>
      <c r="F403" s="110" t="inlineStr">
        <is>
          <t>Salário e Ordenados</t>
        </is>
      </c>
      <c r="G403" s="110" t="inlineStr">
        <is>
          <t>A PAGAR</t>
        </is>
      </c>
    </row>
    <row r="404">
      <c r="B404" s="110" t="inlineStr">
        <is>
          <t>CONSÓRCIO BANCO DO BRASIL</t>
        </is>
      </c>
      <c r="C404" s="109" t="n">
        <v>46213</v>
      </c>
      <c r="D404" s="110" t="inlineStr">
        <is>
          <t>TRANSFERÊNCIA</t>
        </is>
      </c>
      <c r="E404" s="111" t="n">
        <v>2055.6</v>
      </c>
      <c r="F404" s="110" t="inlineStr">
        <is>
          <t>Consórcio</t>
        </is>
      </c>
      <c r="G404" s="110" t="inlineStr">
        <is>
          <t>A PAGAR</t>
        </is>
      </c>
    </row>
    <row r="405">
      <c r="B405" s="110" t="inlineStr">
        <is>
          <t>WIKI SISTEMAS</t>
        </is>
      </c>
      <c r="C405" s="109" t="n">
        <v>46213</v>
      </c>
      <c r="D405" s="110" t="inlineStr">
        <is>
          <t>BOLETO BANCÁRIO</t>
        </is>
      </c>
      <c r="E405" s="111" t="n">
        <v>957</v>
      </c>
      <c r="F405" s="110" t="inlineStr">
        <is>
          <t>Web Site e Sistema ERP</t>
        </is>
      </c>
      <c r="G405" s="110" t="inlineStr">
        <is>
          <t>A PAGAR</t>
        </is>
      </c>
    </row>
    <row r="406">
      <c r="B406" s="110" t="inlineStr">
        <is>
          <t>AJUDA DE CUSTO - SEMANA</t>
        </is>
      </c>
      <c r="C406" s="109" t="n">
        <v>46216</v>
      </c>
      <c r="D406" s="110" t="inlineStr">
        <is>
          <t>PIX CODI BANCO BRASIL</t>
        </is>
      </c>
      <c r="E406" s="111" t="n">
        <v>600</v>
      </c>
      <c r="F406" s="110" t="inlineStr">
        <is>
          <t>Vale Transporte</t>
        </is>
      </c>
      <c r="G406" s="110" t="inlineStr">
        <is>
          <t>A PAGAR</t>
        </is>
      </c>
    </row>
    <row r="407">
      <c r="B407" s="110" t="inlineStr">
        <is>
          <t>SERASA</t>
        </is>
      </c>
      <c r="C407" s="109" t="n">
        <v>46218</v>
      </c>
      <c r="D407" s="110" t="inlineStr">
        <is>
          <t>BOLETO BANCÁRIO</t>
        </is>
      </c>
      <c r="E407" s="111" t="n">
        <v>350</v>
      </c>
      <c r="F407" s="110" t="inlineStr">
        <is>
          <t>Consulta de Crédito Cliente</t>
        </is>
      </c>
      <c r="G407" s="110" t="inlineStr">
        <is>
          <t>A PAGAR</t>
        </is>
      </c>
    </row>
    <row r="408">
      <c r="B408" s="110" t="inlineStr">
        <is>
          <t>TOP BRASIL SEGURADORA</t>
        </is>
      </c>
      <c r="C408" s="109" t="n">
        <v>46223</v>
      </c>
      <c r="D408" s="110" t="inlineStr">
        <is>
          <t>BOLETO BANCÁRIO</t>
        </is>
      </c>
      <c r="E408" s="111" t="n">
        <v>270</v>
      </c>
      <c r="F408" s="110" t="inlineStr">
        <is>
          <t>Seguros</t>
        </is>
      </c>
      <c r="G408" s="110" t="inlineStr">
        <is>
          <t>A PAGAR</t>
        </is>
      </c>
    </row>
    <row r="409">
      <c r="B409" s="110" t="inlineStr">
        <is>
          <t>CAPITAL GIRO SANTANDER ALV PJ</t>
        </is>
      </c>
      <c r="C409" s="109" t="n">
        <v>46223</v>
      </c>
      <c r="D409" s="110" t="inlineStr">
        <is>
          <t>TRANSFERÊNCIA</t>
        </is>
      </c>
      <c r="E409" s="111" t="n">
        <v>2088</v>
      </c>
      <c r="F409" s="110" t="inlineStr">
        <is>
          <t>Empréstimos</t>
        </is>
      </c>
      <c r="G409" s="110" t="inlineStr">
        <is>
          <t>A PAGAR</t>
        </is>
      </c>
    </row>
    <row r="410">
      <c r="B410" s="110" t="inlineStr">
        <is>
          <t>ADRIANA CARDOSO DA SILVA - VENDAS</t>
        </is>
      </c>
      <c r="C410" s="109" t="n">
        <v>46223</v>
      </c>
      <c r="D410" s="110" t="inlineStr">
        <is>
          <t>PIX CODI BANCO BRASIL</t>
        </is>
      </c>
      <c r="E410" s="111" t="n">
        <v>200</v>
      </c>
      <c r="F410" s="110" t="inlineStr">
        <is>
          <t>Vales e Adiantamentos</t>
        </is>
      </c>
      <c r="G410" s="110" t="inlineStr">
        <is>
          <t>A PAGAR</t>
        </is>
      </c>
    </row>
    <row r="411">
      <c r="B411" s="110" t="inlineStr">
        <is>
          <t>JHULLYA STEFANLY SOUZA REZENDE</t>
        </is>
      </c>
      <c r="C411" s="109" t="n">
        <v>46223</v>
      </c>
      <c r="D411" s="110" t="inlineStr">
        <is>
          <t>PIX CODI BANCO BRASIL</t>
        </is>
      </c>
      <c r="E411" s="111" t="n">
        <v>500</v>
      </c>
      <c r="F411" s="110" t="inlineStr">
        <is>
          <t>Vales e Adiantamentos</t>
        </is>
      </c>
      <c r="G411" s="110" t="inlineStr">
        <is>
          <t>A PAGAR</t>
        </is>
      </c>
    </row>
    <row r="412">
      <c r="B412" s="110" t="inlineStr">
        <is>
          <t>AJUDA DE CUSTO - SEMANA</t>
        </is>
      </c>
      <c r="C412" s="109" t="n">
        <v>46223</v>
      </c>
      <c r="D412" s="110" t="inlineStr">
        <is>
          <t>PIX CODI BANCO BRASIL</t>
        </is>
      </c>
      <c r="E412" s="111" t="n">
        <v>600</v>
      </c>
      <c r="F412" s="110" t="inlineStr">
        <is>
          <t>Vale Transporte</t>
        </is>
      </c>
      <c r="G412" s="110" t="inlineStr">
        <is>
          <t>A PAGAR</t>
        </is>
      </c>
    </row>
    <row r="413">
      <c r="B413" s="110" t="inlineStr">
        <is>
          <t>BANCO ITAU</t>
        </is>
      </c>
      <c r="C413" s="109" t="n">
        <v>46224</v>
      </c>
      <c r="D413" s="110" t="inlineStr">
        <is>
          <t>TRANSFERÊNCIA</t>
        </is>
      </c>
      <c r="E413" s="111" t="n">
        <v>42329</v>
      </c>
      <c r="F413" s="110" t="inlineStr">
        <is>
          <t>Empréstimos</t>
        </is>
      </c>
      <c r="G413" s="110" t="inlineStr">
        <is>
          <t>A PAGAR</t>
        </is>
      </c>
    </row>
    <row r="414">
      <c r="B414" s="110" t="inlineStr">
        <is>
          <t>CAPITAL GIRO SANTANDER ALV PJ</t>
        </is>
      </c>
      <c r="C414" s="109" t="n">
        <v>46225</v>
      </c>
      <c r="D414" s="110" t="inlineStr">
        <is>
          <t>TRANSFERÊNCIA</t>
        </is>
      </c>
      <c r="E414" s="111" t="n">
        <v>3127.85</v>
      </c>
      <c r="F414" s="110" t="inlineStr">
        <is>
          <t>Empréstimos</t>
        </is>
      </c>
      <c r="G414" s="110" t="inlineStr">
        <is>
          <t>A PAGAR</t>
        </is>
      </c>
    </row>
    <row r="415">
      <c r="B415" s="110" t="inlineStr">
        <is>
          <t>BANCO ITAU/PESSOA FISICA</t>
        </is>
      </c>
      <c r="C415" s="109" t="n">
        <v>46225</v>
      </c>
      <c r="D415" s="110" t="inlineStr">
        <is>
          <t>TRANSFERÊNCIA</t>
        </is>
      </c>
      <c r="E415" s="111" t="n">
        <v>12013.66</v>
      </c>
      <c r="F415" s="110" t="inlineStr">
        <is>
          <t>Títulos de Capitalização</t>
        </is>
      </c>
      <c r="G415" s="110" t="inlineStr">
        <is>
          <t>A PAGAR</t>
        </is>
      </c>
    </row>
    <row r="416">
      <c r="B416" s="110" t="inlineStr">
        <is>
          <t>CAPITAL GIRO ITAU PF CLEITON</t>
        </is>
      </c>
      <c r="C416" s="109" t="n">
        <v>46226</v>
      </c>
      <c r="D416" s="110" t="inlineStr">
        <is>
          <t>TRANSFERÊNCIA</t>
        </is>
      </c>
      <c r="E416" s="111" t="n">
        <v>12445.02</v>
      </c>
      <c r="F416" s="110" t="inlineStr">
        <is>
          <t>Títulos de Capitalização</t>
        </is>
      </c>
      <c r="G416" s="110" t="inlineStr">
        <is>
          <t>A PAGAR</t>
        </is>
      </c>
    </row>
    <row r="417">
      <c r="B417" s="110" t="inlineStr">
        <is>
          <t>CAPITAL GIRO ITAU CODI.COM PJ</t>
        </is>
      </c>
      <c r="C417" s="109" t="n">
        <v>46227</v>
      </c>
      <c r="D417" s="110" t="inlineStr">
        <is>
          <t>TRANSFERÊNCIA</t>
        </is>
      </c>
      <c r="E417" s="111" t="n">
        <v>6000</v>
      </c>
      <c r="F417" s="110" t="inlineStr">
        <is>
          <t>Empréstimos</t>
        </is>
      </c>
      <c r="G417" s="110" t="inlineStr">
        <is>
          <t>A PAGAR</t>
        </is>
      </c>
    </row>
    <row r="418">
      <c r="B418" s="110" t="inlineStr">
        <is>
          <t>SHEILA ETIQUETAS</t>
        </is>
      </c>
      <c r="C418" s="109" t="n">
        <v>46228</v>
      </c>
      <c r="D418" s="110" t="inlineStr">
        <is>
          <t>CHEQUE CLIENTE</t>
        </is>
      </c>
      <c r="E418" s="111" t="n">
        <v>1471</v>
      </c>
      <c r="F418" s="110" t="inlineStr">
        <is>
          <t>Etiquetas</t>
        </is>
      </c>
      <c r="G418" s="110" t="inlineStr">
        <is>
          <t>A PAGAR</t>
        </is>
      </c>
    </row>
    <row r="419">
      <c r="B419" s="110" t="inlineStr">
        <is>
          <t>LIDER TECIDOS LIDERANCA COMERCIO LTDA</t>
        </is>
      </c>
      <c r="C419" s="109" t="n">
        <v>46228</v>
      </c>
      <c r="D419" s="110" t="inlineStr">
        <is>
          <t>CHEQUE CLIENTE</t>
        </is>
      </c>
      <c r="E419" s="111" t="n">
        <v>475.7</v>
      </c>
      <c r="F419" s="110" t="inlineStr">
        <is>
          <t>Tecidos</t>
        </is>
      </c>
      <c r="G419" s="110" t="inlineStr">
        <is>
          <t>A PAGAR</t>
        </is>
      </c>
    </row>
    <row r="420">
      <c r="B420" s="110" t="inlineStr">
        <is>
          <t>VINNTAGE LAVANDERIA - PABLO</t>
        </is>
      </c>
      <c r="C420" s="109" t="n">
        <v>46228</v>
      </c>
      <c r="D420" s="110" t="inlineStr">
        <is>
          <t>CHEQUE CLIENTE</t>
        </is>
      </c>
      <c r="E420" s="111" t="n">
        <v>457.4</v>
      </c>
      <c r="F420" s="110" t="inlineStr">
        <is>
          <t>Lavanderia</t>
        </is>
      </c>
      <c r="G420" s="110" t="inlineStr">
        <is>
          <t>A PAGAR</t>
        </is>
      </c>
    </row>
    <row r="421">
      <c r="B421" s="110" t="inlineStr">
        <is>
          <t>AJUDA DE CUSTO - SEMANA</t>
        </is>
      </c>
      <c r="C421" s="109" t="n">
        <v>46230</v>
      </c>
      <c r="D421" s="110" t="inlineStr">
        <is>
          <t>PIX CODI BANCO BRASIL</t>
        </is>
      </c>
      <c r="E421" s="111" t="n">
        <v>600</v>
      </c>
      <c r="F421" s="110" t="inlineStr">
        <is>
          <t>Vale Transporte</t>
        </is>
      </c>
      <c r="G421" s="110" t="inlineStr">
        <is>
          <t>A PAGAR</t>
        </is>
      </c>
    </row>
    <row r="422">
      <c r="B422" s="110" t="inlineStr">
        <is>
          <t>EQUATORIAL ENERGIA</t>
        </is>
      </c>
      <c r="C422" s="109" t="n">
        <v>46230</v>
      </c>
      <c r="D422" s="110" t="inlineStr">
        <is>
          <t>BOLETO BANCÁRIO</t>
        </is>
      </c>
      <c r="E422" s="111" t="n">
        <v>450</v>
      </c>
      <c r="F422" s="110" t="inlineStr">
        <is>
          <t>Energia Elétrica</t>
        </is>
      </c>
      <c r="G422" s="110" t="inlineStr">
        <is>
          <t>A PAGAR</t>
        </is>
      </c>
    </row>
    <row r="423">
      <c r="B423" s="110" t="inlineStr">
        <is>
          <t>SHEILA ETIQUETAS</t>
        </is>
      </c>
      <c r="C423" s="109" t="n">
        <v>46231</v>
      </c>
      <c r="D423" s="110" t="inlineStr">
        <is>
          <t>CHEQUE - EMPRESA</t>
        </is>
      </c>
      <c r="E423" s="111" t="n">
        <v>520</v>
      </c>
      <c r="F423" s="110" t="inlineStr">
        <is>
          <t>Etiquetas</t>
        </is>
      </c>
      <c r="G423" s="110" t="inlineStr">
        <is>
          <t>A PAGAR</t>
        </is>
      </c>
    </row>
    <row r="424">
      <c r="B424" s="110" t="inlineStr">
        <is>
          <t>PABLO - LAVANDERIA</t>
        </is>
      </c>
      <c r="C424" s="109" t="n">
        <v>46231</v>
      </c>
      <c r="D424" s="110" t="inlineStr">
        <is>
          <t>PIX CODI BANCO BRASIL</t>
        </is>
      </c>
      <c r="E424" s="111" t="n">
        <v>1500</v>
      </c>
      <c r="F424" s="110" t="inlineStr">
        <is>
          <t>Lavanderia</t>
        </is>
      </c>
      <c r="G424" s="110" t="inlineStr">
        <is>
          <t>A PAGAR</t>
        </is>
      </c>
    </row>
    <row r="425">
      <c r="B425" s="110" t="inlineStr">
        <is>
          <t>PABLO - LAVANDERIA</t>
        </is>
      </c>
      <c r="C425" s="109" t="n">
        <v>46231</v>
      </c>
      <c r="D425" s="110" t="inlineStr">
        <is>
          <t>PIX CODI BANCO BRASIL</t>
        </is>
      </c>
      <c r="E425" s="111" t="n">
        <v>975</v>
      </c>
      <c r="F425" s="110" t="inlineStr">
        <is>
          <t>Lavanderia</t>
        </is>
      </c>
      <c r="G425" s="110" t="inlineStr">
        <is>
          <t>A PAGAR</t>
        </is>
      </c>
    </row>
    <row r="426">
      <c r="B426" s="110" t="inlineStr">
        <is>
          <t>PABLO - LAVANDERIA</t>
        </is>
      </c>
      <c r="C426" s="109" t="n">
        <v>46231</v>
      </c>
      <c r="D426" s="110" t="inlineStr">
        <is>
          <t>PIX CODI BANCO BRASIL</t>
        </is>
      </c>
      <c r="E426" s="111" t="n">
        <v>1085</v>
      </c>
      <c r="F426" s="110" t="inlineStr">
        <is>
          <t>Lavanderia</t>
        </is>
      </c>
      <c r="G426" s="110" t="inlineStr">
        <is>
          <t>A PAGAR</t>
        </is>
      </c>
    </row>
    <row r="427">
      <c r="B427" s="110" t="inlineStr">
        <is>
          <t>SANEAGO</t>
        </is>
      </c>
      <c r="C427" s="109" t="n">
        <v>46231</v>
      </c>
      <c r="D427" s="110" t="inlineStr">
        <is>
          <t>BOLETO BANCÁRIO</t>
        </is>
      </c>
      <c r="E427" s="111" t="n">
        <v>280</v>
      </c>
      <c r="F427" s="110" t="inlineStr">
        <is>
          <t>Água</t>
        </is>
      </c>
      <c r="G427" s="110" t="inlineStr">
        <is>
          <t>A PAGAR</t>
        </is>
      </c>
    </row>
    <row r="428">
      <c r="B428" s="110" t="inlineStr">
        <is>
          <t>PABLO - LAVANDERIA</t>
        </is>
      </c>
      <c r="C428" s="109" t="n">
        <v>46231</v>
      </c>
      <c r="D428" s="110" t="inlineStr">
        <is>
          <t>PIX CODI BANCO BRASIL</t>
        </is>
      </c>
      <c r="E428" s="111" t="n">
        <v>775</v>
      </c>
      <c r="F428" s="110" t="inlineStr">
        <is>
          <t>Lavanderia</t>
        </is>
      </c>
      <c r="G428" s="110" t="inlineStr">
        <is>
          <t>A PAGAR</t>
        </is>
      </c>
    </row>
    <row r="429">
      <c r="B429" s="110" t="inlineStr">
        <is>
          <t>PABLO - LAVANDERIA</t>
        </is>
      </c>
      <c r="C429" s="109" t="n">
        <v>46231</v>
      </c>
      <c r="D429" s="110" t="inlineStr">
        <is>
          <t>PIX CODI BANCO BRASIL</t>
        </is>
      </c>
      <c r="E429" s="111" t="n">
        <v>765</v>
      </c>
      <c r="F429" s="110" t="inlineStr">
        <is>
          <t>Lavanderia</t>
        </is>
      </c>
      <c r="G429" s="110" t="inlineStr">
        <is>
          <t>A PAGAR</t>
        </is>
      </c>
    </row>
    <row r="430">
      <c r="B430" s="110" t="inlineStr">
        <is>
          <t>PABLO - LAVANDERIA</t>
        </is>
      </c>
      <c r="C430" s="109" t="n">
        <v>46231</v>
      </c>
      <c r="D430" s="110" t="inlineStr">
        <is>
          <t>PIX CODI BANCO BRASIL</t>
        </is>
      </c>
      <c r="E430" s="111" t="n">
        <v>210</v>
      </c>
      <c r="F430" s="110" t="inlineStr">
        <is>
          <t>Lavanderia</t>
        </is>
      </c>
      <c r="G430" s="110" t="inlineStr">
        <is>
          <t>A PAGAR</t>
        </is>
      </c>
    </row>
    <row r="431">
      <c r="B431" s="110" t="inlineStr">
        <is>
          <t>IMPOSTO ALV</t>
        </is>
      </c>
      <c r="C431" s="109" t="n">
        <v>46231</v>
      </c>
      <c r="D431" s="110" t="inlineStr">
        <is>
          <t>BOLETO BANCÁRIO</t>
        </is>
      </c>
      <c r="E431" s="111" t="n">
        <v>1272</v>
      </c>
      <c r="F431" s="110" t="inlineStr">
        <is>
          <t>Simples Nacional</t>
        </is>
      </c>
      <c r="G431" s="110" t="inlineStr">
        <is>
          <t>A PAGAR</t>
        </is>
      </c>
    </row>
    <row r="432">
      <c r="B432" s="110" t="inlineStr">
        <is>
          <t>PABLO - LAVANDERIA</t>
        </is>
      </c>
      <c r="C432" s="109" t="n">
        <v>46231</v>
      </c>
      <c r="D432" s="110" t="inlineStr">
        <is>
          <t>PIX CODI BANCO BRASIL</t>
        </is>
      </c>
      <c r="E432" s="111" t="n">
        <v>150</v>
      </c>
      <c r="F432" s="110" t="inlineStr">
        <is>
          <t>Lavanderia</t>
        </is>
      </c>
      <c r="G432" s="110" t="inlineStr">
        <is>
          <t>A PAGAR</t>
        </is>
      </c>
    </row>
    <row r="433">
      <c r="B433" s="110" t="inlineStr">
        <is>
          <t>PABLO - LAVANDERIA</t>
        </is>
      </c>
      <c r="C433" s="109" t="n">
        <v>46231</v>
      </c>
      <c r="D433" s="110" t="inlineStr">
        <is>
          <t>PIX CODI BANCO BRASIL</t>
        </is>
      </c>
      <c r="E433" s="111" t="n">
        <v>234</v>
      </c>
      <c r="F433" s="110" t="inlineStr">
        <is>
          <t>Lavanderia</t>
        </is>
      </c>
      <c r="G433" s="110" t="inlineStr">
        <is>
          <t>A PAGAR</t>
        </is>
      </c>
    </row>
    <row r="434">
      <c r="B434" s="110" t="inlineStr">
        <is>
          <t>BANCO SANTANDER</t>
        </is>
      </c>
      <c r="C434" s="109" t="n">
        <v>46231</v>
      </c>
      <c r="D434" s="110" t="inlineStr">
        <is>
          <t>TRANSFERÊNCIA</t>
        </is>
      </c>
      <c r="E434" s="111" t="n">
        <v>15436.91</v>
      </c>
      <c r="F434" s="110" t="inlineStr">
        <is>
          <t>Empréstimos</t>
        </is>
      </c>
      <c r="G434" s="110" t="inlineStr">
        <is>
          <t>A PAGAR</t>
        </is>
      </c>
    </row>
    <row r="435">
      <c r="B435" s="110" t="inlineStr">
        <is>
          <t>WESLEY WK TEXTIL</t>
        </is>
      </c>
      <c r="C435" s="109" t="n">
        <v>46232</v>
      </c>
      <c r="D435" s="110" t="inlineStr">
        <is>
          <t>CHEQUE - EMPRESA</t>
        </is>
      </c>
      <c r="E435" s="111" t="n">
        <v>4700</v>
      </c>
      <c r="F435" s="110" t="inlineStr">
        <is>
          <t>Tecidos</t>
        </is>
      </c>
      <c r="G435" s="110" t="inlineStr">
        <is>
          <t>A PAGAR</t>
        </is>
      </c>
    </row>
    <row r="436">
      <c r="B436" s="110" t="inlineStr">
        <is>
          <t>CAPRICORNIO TEXTIL</t>
        </is>
      </c>
      <c r="C436" s="109" t="n">
        <v>46232</v>
      </c>
      <c r="D436" s="110" t="inlineStr">
        <is>
          <t>BOLETO BANCÁRIO</t>
        </is>
      </c>
      <c r="E436" s="111" t="n">
        <v>2241.45</v>
      </c>
      <c r="F436" s="110" t="inlineStr">
        <is>
          <t>Tecidos</t>
        </is>
      </c>
      <c r="G436" s="110" t="inlineStr">
        <is>
          <t>A PAGAR</t>
        </is>
      </c>
    </row>
    <row r="437">
      <c r="B437" s="110" t="inlineStr">
        <is>
          <t>ALVO TEXTIL LTDA</t>
        </is>
      </c>
      <c r="C437" s="109" t="n">
        <v>46233</v>
      </c>
      <c r="D437" s="110" t="inlineStr">
        <is>
          <t>CHEQUE - EMPRESA</t>
        </is>
      </c>
      <c r="E437" s="111" t="n">
        <v>4945</v>
      </c>
      <c r="F437" s="110" t="inlineStr">
        <is>
          <t>Tecidos</t>
        </is>
      </c>
      <c r="G437" s="110" t="inlineStr">
        <is>
          <t>A PAGAR</t>
        </is>
      </c>
    </row>
    <row r="438">
      <c r="B438" s="110" t="inlineStr">
        <is>
          <t>VINNTAGE LAVANDERIA - PABLO</t>
        </is>
      </c>
      <c r="C438" s="109" t="n">
        <v>46233</v>
      </c>
      <c r="D438" s="110" t="inlineStr">
        <is>
          <t>CHEQUE CLIENTE</t>
        </is>
      </c>
      <c r="E438" s="111" t="n">
        <v>452</v>
      </c>
      <c r="F438" s="110" t="inlineStr">
        <is>
          <t>Lavanderia</t>
        </is>
      </c>
      <c r="G438" s="110" t="inlineStr">
        <is>
          <t>A PAGAR</t>
        </is>
      </c>
    </row>
    <row r="439">
      <c r="B439" s="110" t="inlineStr">
        <is>
          <t>WESLEY WK TEXTIL</t>
        </is>
      </c>
      <c r="C439" s="109" t="n">
        <v>46233</v>
      </c>
      <c r="D439" s="110" t="inlineStr">
        <is>
          <t>CHEQUE CLIENTE</t>
        </is>
      </c>
      <c r="E439" s="111" t="n">
        <v>1066</v>
      </c>
      <c r="F439" s="110" t="inlineStr">
        <is>
          <t>Tecidos</t>
        </is>
      </c>
      <c r="G439" s="110" t="inlineStr">
        <is>
          <t>A PAGAR</t>
        </is>
      </c>
    </row>
    <row r="440">
      <c r="B440" s="110" t="inlineStr">
        <is>
          <t>CAPRICORNIO TEXTIL</t>
        </is>
      </c>
      <c r="C440" s="109" t="n">
        <v>46233</v>
      </c>
      <c r="D440" s="110" t="inlineStr">
        <is>
          <t>BOLETO BANCÁRIO</t>
        </is>
      </c>
      <c r="E440" s="111" t="n">
        <v>2527.87</v>
      </c>
      <c r="F440" s="110" t="inlineStr">
        <is>
          <t>Tecidos</t>
        </is>
      </c>
      <c r="G440" s="110" t="inlineStr">
        <is>
          <t>A PAGAR</t>
        </is>
      </c>
    </row>
    <row r="441">
      <c r="B441" s="110" t="inlineStr">
        <is>
          <t>LIDER TECIDOS LIDERANCA COMERCIO LTDA</t>
        </is>
      </c>
      <c r="C441" s="109" t="n">
        <v>46233</v>
      </c>
      <c r="D441" s="110" t="inlineStr">
        <is>
          <t>CHEQUE CLIENTE</t>
        </is>
      </c>
      <c r="E441" s="111" t="n">
        <v>255</v>
      </c>
      <c r="F441" s="110" t="inlineStr">
        <is>
          <t>Tecidos</t>
        </is>
      </c>
      <c r="G441" s="110" t="inlineStr">
        <is>
          <t>A PAGAR</t>
        </is>
      </c>
    </row>
    <row r="442">
      <c r="B442" s="110" t="inlineStr">
        <is>
          <t>WESLEY WK TEXTIL</t>
        </is>
      </c>
      <c r="C442" s="109" t="n">
        <v>46233</v>
      </c>
      <c r="D442" s="110" t="inlineStr">
        <is>
          <t>CHEQUE - EMPRESA</t>
        </is>
      </c>
      <c r="E442" s="111" t="n">
        <v>4500</v>
      </c>
      <c r="F442" s="110" t="inlineStr">
        <is>
          <t>Tecidos</t>
        </is>
      </c>
      <c r="G442" s="110" t="inlineStr">
        <is>
          <t>A PAGAR</t>
        </is>
      </c>
    </row>
    <row r="443">
      <c r="B443" s="110" t="inlineStr">
        <is>
          <t>ALVO TEXTIL LTDA</t>
        </is>
      </c>
      <c r="C443" s="109" t="n">
        <v>46233</v>
      </c>
      <c r="D443" s="110" t="inlineStr">
        <is>
          <t>CHEQUE CLIENTE</t>
        </is>
      </c>
      <c r="E443" s="111" t="n">
        <v>1999.4</v>
      </c>
      <c r="F443" s="110" t="inlineStr">
        <is>
          <t>Tecidos</t>
        </is>
      </c>
      <c r="G443" s="110" t="inlineStr">
        <is>
          <t>A PAGAR</t>
        </is>
      </c>
    </row>
    <row r="444">
      <c r="B444" s="110" t="inlineStr">
        <is>
          <t>LIDER TECIDOS LIDERANCA COMERCIO LTDA</t>
        </is>
      </c>
      <c r="C444" s="109" t="n">
        <v>46233</v>
      </c>
      <c r="D444" s="110" t="inlineStr">
        <is>
          <t>CHEQUE - EMPRESA</t>
        </is>
      </c>
      <c r="E444" s="111" t="n">
        <v>4220</v>
      </c>
      <c r="F444" s="110" t="inlineStr">
        <is>
          <t>Tecidos</t>
        </is>
      </c>
      <c r="G444" s="110" t="inlineStr">
        <is>
          <t>A PAGAR</t>
        </is>
      </c>
    </row>
    <row r="445">
      <c r="B445" s="110" t="inlineStr">
        <is>
          <t>SANEAGO</t>
        </is>
      </c>
      <c r="C445" s="109" t="n">
        <v>46233</v>
      </c>
      <c r="D445" s="110" t="inlineStr">
        <is>
          <t>PIX CODI BANCO BRASIL</t>
        </is>
      </c>
      <c r="E445" s="111" t="n">
        <v>399</v>
      </c>
      <c r="F445" s="110" t="inlineStr">
        <is>
          <t>Água</t>
        </is>
      </c>
      <c r="G445" s="110" t="inlineStr">
        <is>
          <t>A PAGAR</t>
        </is>
      </c>
    </row>
    <row r="446">
      <c r="B446" s="110" t="inlineStr">
        <is>
          <t>ROMERONDES - LAVANDERIA</t>
        </is>
      </c>
      <c r="C446" s="109" t="n">
        <v>46233</v>
      </c>
      <c r="D446" s="110" t="inlineStr">
        <is>
          <t>CHEQUE CLIENTE</t>
        </is>
      </c>
      <c r="E446" s="111" t="n">
        <v>3000</v>
      </c>
      <c r="F446" s="110" t="inlineStr">
        <is>
          <t>Lavanderia</t>
        </is>
      </c>
      <c r="G446" s="110" t="inlineStr">
        <is>
          <t>A PAGAR</t>
        </is>
      </c>
    </row>
    <row r="447">
      <c r="B447" s="110" t="inlineStr">
        <is>
          <t>PRIMOS LAVANDERIA LTDA</t>
        </is>
      </c>
      <c r="C447" s="109" t="n">
        <v>46233</v>
      </c>
      <c r="D447" s="110" t="inlineStr">
        <is>
          <t>CHEQUE - EMPRESA</t>
        </is>
      </c>
      <c r="E447" s="111" t="n">
        <v>2873</v>
      </c>
      <c r="F447" s="110" t="inlineStr">
        <is>
          <t>Lavanderia</t>
        </is>
      </c>
      <c r="G447" s="110" t="inlineStr">
        <is>
          <t>A PAGAR</t>
        </is>
      </c>
    </row>
    <row r="448">
      <c r="B448" s="110" t="inlineStr">
        <is>
          <t>WESLEY WK TEXTIL</t>
        </is>
      </c>
      <c r="C448" s="109" t="n">
        <v>46233</v>
      </c>
      <c r="D448" s="110" t="inlineStr">
        <is>
          <t>CHEQUE - EMPRESA</t>
        </is>
      </c>
      <c r="E448" s="111" t="n">
        <v>2546</v>
      </c>
      <c r="F448" s="110" t="inlineStr">
        <is>
          <t>Tecidos</t>
        </is>
      </c>
      <c r="G448" s="110" t="inlineStr">
        <is>
          <t>A PAGAR</t>
        </is>
      </c>
    </row>
    <row r="449">
      <c r="B449" s="110" t="inlineStr">
        <is>
          <t>IMPOSTO ALV</t>
        </is>
      </c>
      <c r="C449" s="109" t="n">
        <v>46234</v>
      </c>
      <c r="D449" s="110" t="inlineStr">
        <is>
          <t>BOLETO BANCÁRIO</t>
        </is>
      </c>
      <c r="E449" s="111" t="n">
        <v>1354.24</v>
      </c>
      <c r="F449" s="110" t="inlineStr">
        <is>
          <t>Simples Nacional</t>
        </is>
      </c>
      <c r="G449" s="110" t="inlineStr">
        <is>
          <t>A PAGAR</t>
        </is>
      </c>
    </row>
    <row r="450">
      <c r="B450" s="110" t="inlineStr">
        <is>
          <t>WOZ COMUNICAÇÃO</t>
        </is>
      </c>
      <c r="C450" s="109" t="n">
        <v>46235</v>
      </c>
      <c r="D450" s="110" t="inlineStr">
        <is>
          <t>PIX CODI BANCO BRASIL</t>
        </is>
      </c>
      <c r="E450" s="111" t="n">
        <v>1397</v>
      </c>
      <c r="F450" s="110" t="inlineStr">
        <is>
          <t>TRÁFEGO META</t>
        </is>
      </c>
      <c r="G450" s="110" t="inlineStr">
        <is>
          <t>A PAGAR</t>
        </is>
      </c>
    </row>
    <row r="451">
      <c r="B451" s="110" t="inlineStr">
        <is>
          <t>VINNTAGE LAVANDERIA - PABLO</t>
        </is>
      </c>
      <c r="C451" s="109" t="n">
        <v>46236</v>
      </c>
      <c r="D451" s="110" t="inlineStr">
        <is>
          <t>CHEQUE CLIENTE</t>
        </is>
      </c>
      <c r="E451" s="111" t="n">
        <v>835</v>
      </c>
      <c r="F451" s="110" t="inlineStr">
        <is>
          <t>Lavanderia</t>
        </is>
      </c>
      <c r="G451" s="110" t="inlineStr">
        <is>
          <t>A PAGAR</t>
        </is>
      </c>
    </row>
    <row r="452">
      <c r="B452" s="110" t="inlineStr">
        <is>
          <t>AJUDA DE CUSTO - SEMANA</t>
        </is>
      </c>
      <c r="C452" s="109" t="n">
        <v>46237</v>
      </c>
      <c r="D452" s="110" t="inlineStr">
        <is>
          <t>PIX CODI BANCO BRASIL</t>
        </is>
      </c>
      <c r="E452" s="111" t="n">
        <v>600</v>
      </c>
      <c r="F452" s="110" t="inlineStr">
        <is>
          <t>Vale Transporte</t>
        </is>
      </c>
      <c r="G452" s="110" t="inlineStr">
        <is>
          <t>A PAGAR</t>
        </is>
      </c>
    </row>
    <row r="453">
      <c r="B453" s="110" t="inlineStr">
        <is>
          <t>LUIZ GUSTAVO SANTANA</t>
        </is>
      </c>
      <c r="C453" s="109" t="n">
        <v>46237</v>
      </c>
      <c r="D453" s="110" t="inlineStr">
        <is>
          <t>PIX CODI BANCO BRASIL</t>
        </is>
      </c>
      <c r="E453" s="111" t="n">
        <v>100</v>
      </c>
      <c r="F453" s="110" t="inlineStr">
        <is>
          <t>Vales e Adiantamentos</t>
        </is>
      </c>
      <c r="G453" s="110" t="inlineStr">
        <is>
          <t>A PAGAR</t>
        </is>
      </c>
    </row>
    <row r="454">
      <c r="B454" s="110" t="inlineStr">
        <is>
          <t>CAPITAL GIRO BRADESCO ALV PJ</t>
        </is>
      </c>
      <c r="C454" s="109" t="n">
        <v>46237</v>
      </c>
      <c r="D454" s="110" t="inlineStr">
        <is>
          <t>TRANSFERÊNCIA</t>
        </is>
      </c>
      <c r="E454" s="111" t="n">
        <v>20101.44</v>
      </c>
      <c r="F454" s="110" t="inlineStr">
        <is>
          <t>Empréstimos</t>
        </is>
      </c>
      <c r="G454" s="110" t="inlineStr">
        <is>
          <t>A PAGAR</t>
        </is>
      </c>
    </row>
    <row r="455">
      <c r="B455" s="110" t="inlineStr">
        <is>
          <t>SPIN SUPER LACRE IND E COM LTDA</t>
        </is>
      </c>
      <c r="C455" s="109" t="n">
        <v>46238</v>
      </c>
      <c r="D455" s="110" t="inlineStr">
        <is>
          <t>BOLETO BANCÁRIO</t>
        </is>
      </c>
      <c r="E455" s="111" t="n">
        <v>560</v>
      </c>
      <c r="F455" s="110" t="inlineStr">
        <is>
          <t>Aviamento</t>
        </is>
      </c>
      <c r="G455" s="110" t="inlineStr">
        <is>
          <t>A PAGAR</t>
        </is>
      </c>
    </row>
    <row r="456">
      <c r="B456" s="110" t="inlineStr">
        <is>
          <t>ROGERIO - TRAVETE</t>
        </is>
      </c>
      <c r="C456" s="109" t="n">
        <v>46239</v>
      </c>
      <c r="D456" s="110" t="inlineStr">
        <is>
          <t>PIX CODI BANCO BRASIL</t>
        </is>
      </c>
      <c r="E456" s="111" t="n">
        <v>82</v>
      </c>
      <c r="F456" s="110" t="inlineStr">
        <is>
          <t>Travete</t>
        </is>
      </c>
      <c r="G456" s="110" t="inlineStr">
        <is>
          <t>A PAGAR</t>
        </is>
      </c>
    </row>
    <row r="457">
      <c r="B457" s="110" t="inlineStr">
        <is>
          <t>ROGERIO - TRAVETE</t>
        </is>
      </c>
      <c r="C457" s="109" t="n">
        <v>46239</v>
      </c>
      <c r="D457" s="110" t="inlineStr">
        <is>
          <t>PIX CODI BANCO BRASIL</t>
        </is>
      </c>
      <c r="E457" s="111" t="n">
        <v>194</v>
      </c>
      <c r="F457" s="110" t="inlineStr">
        <is>
          <t>Travete</t>
        </is>
      </c>
      <c r="G457" s="110" t="inlineStr">
        <is>
          <t>A PAGAR</t>
        </is>
      </c>
    </row>
    <row r="458">
      <c r="B458" s="110" t="inlineStr">
        <is>
          <t>ROGERIO - TRAVETE</t>
        </is>
      </c>
      <c r="C458" s="109" t="n">
        <v>46239</v>
      </c>
      <c r="D458" s="110" t="inlineStr">
        <is>
          <t>PIX CODI BANCO BRASIL</t>
        </is>
      </c>
      <c r="E458" s="111" t="n">
        <v>160</v>
      </c>
      <c r="F458" s="110" t="inlineStr">
        <is>
          <t>Travete</t>
        </is>
      </c>
      <c r="G458" s="110" t="inlineStr">
        <is>
          <t>A PAGAR</t>
        </is>
      </c>
    </row>
    <row r="459">
      <c r="B459" s="110" t="inlineStr">
        <is>
          <t>WESLEY WK TEXTIL</t>
        </is>
      </c>
      <c r="C459" s="109" t="n">
        <v>46239</v>
      </c>
      <c r="D459" s="110" t="inlineStr">
        <is>
          <t>CHEQUE CLIENTE</t>
        </is>
      </c>
      <c r="E459" s="111" t="n">
        <v>553.75</v>
      </c>
      <c r="F459" s="110" t="inlineStr">
        <is>
          <t>Tecidos</t>
        </is>
      </c>
      <c r="G459" s="110" t="inlineStr">
        <is>
          <t>A PAGAR</t>
        </is>
      </c>
    </row>
    <row r="460">
      <c r="B460" s="110" t="inlineStr">
        <is>
          <t>NEOBRAND INDUSTRIA TEXTIL LTDA</t>
        </is>
      </c>
      <c r="C460" s="109" t="n">
        <v>46239</v>
      </c>
      <c r="D460" s="110" t="inlineStr">
        <is>
          <t>BOLETO BANCÁRIO</t>
        </is>
      </c>
      <c r="E460" s="111" t="n">
        <v>657.8099999999999</v>
      </c>
      <c r="F460" s="110" t="inlineStr">
        <is>
          <t>Aviamento</t>
        </is>
      </c>
      <c r="G460" s="110" t="inlineStr">
        <is>
          <t>A PAGAR</t>
        </is>
      </c>
    </row>
    <row r="461">
      <c r="B461" s="110" t="inlineStr">
        <is>
          <t>JOSÉ HAMILTON FERREIRA - CORTADOR</t>
        </is>
      </c>
      <c r="C461" s="109" t="n">
        <v>46240</v>
      </c>
      <c r="D461" s="110" t="inlineStr">
        <is>
          <t>PIX CODI BANCO BRASIL</t>
        </is>
      </c>
      <c r="E461" s="111" t="n">
        <v>1781.5</v>
      </c>
      <c r="F461" s="110" t="inlineStr">
        <is>
          <t>Salário e Ordenados</t>
        </is>
      </c>
      <c r="G461" s="110" t="inlineStr">
        <is>
          <t>A PAGAR</t>
        </is>
      </c>
    </row>
    <row r="462">
      <c r="B462" s="110" t="inlineStr">
        <is>
          <t>AILTON TORRES FERREIRA - CORTADOR</t>
        </is>
      </c>
      <c r="C462" s="109" t="n">
        <v>46240</v>
      </c>
      <c r="D462" s="110" t="inlineStr">
        <is>
          <t>PIX CODI BANCO BRASIL</t>
        </is>
      </c>
      <c r="E462" s="111" t="n">
        <v>2542</v>
      </c>
      <c r="F462" s="110" t="inlineStr">
        <is>
          <t>Salário e Ordenados</t>
        </is>
      </c>
      <c r="G462" s="110" t="inlineStr">
        <is>
          <t>A PAGAR</t>
        </is>
      </c>
    </row>
    <row r="463">
      <c r="B463" s="110" t="inlineStr">
        <is>
          <t>EDIMAR GERENTE DE PRODUÇÃO</t>
        </is>
      </c>
      <c r="C463" s="109" t="n">
        <v>46240</v>
      </c>
      <c r="D463" s="110" t="inlineStr">
        <is>
          <t>PIX CODI BANCO BRASIL</t>
        </is>
      </c>
      <c r="E463" s="111" t="n">
        <v>6484</v>
      </c>
      <c r="F463" s="110" t="inlineStr">
        <is>
          <t>Salário e Ordenados</t>
        </is>
      </c>
      <c r="G463" s="110" t="inlineStr">
        <is>
          <t>A PAGAR</t>
        </is>
      </c>
    </row>
    <row r="464">
      <c r="B464" s="110" t="inlineStr">
        <is>
          <t>DANIEL ENNOS</t>
        </is>
      </c>
      <c r="C464" s="109" t="n">
        <v>46240</v>
      </c>
      <c r="D464" s="110" t="inlineStr">
        <is>
          <t>PIX CODI BANCO BRASIL</t>
        </is>
      </c>
      <c r="E464" s="111" t="n">
        <v>4500</v>
      </c>
      <c r="F464" s="110" t="inlineStr">
        <is>
          <t>Salário e Ordenados</t>
        </is>
      </c>
      <c r="G464" s="110" t="inlineStr">
        <is>
          <t>A PAGAR</t>
        </is>
      </c>
    </row>
    <row r="465">
      <c r="B465" s="110" t="inlineStr">
        <is>
          <t>ADRIANA CARDOSO DA SILVA - VENDAS</t>
        </is>
      </c>
      <c r="C465" s="109" t="n">
        <v>46240</v>
      </c>
      <c r="D465" s="110" t="inlineStr">
        <is>
          <t>PIX CODI BANCO BRASIL</t>
        </is>
      </c>
      <c r="E465" s="111" t="n">
        <v>1612.82</v>
      </c>
      <c r="F465" s="110" t="inlineStr">
        <is>
          <t>Salário e Ordenados</t>
        </is>
      </c>
      <c r="G465" s="110" t="inlineStr">
        <is>
          <t>A PAGAR</t>
        </is>
      </c>
    </row>
    <row r="466">
      <c r="B466" s="110" t="inlineStr">
        <is>
          <t>GABY FERREIRA - VENDAS</t>
        </is>
      </c>
      <c r="C466" s="109" t="n">
        <v>46240</v>
      </c>
      <c r="D466" s="110" t="inlineStr">
        <is>
          <t>PIX CODI BANCO BRASIL</t>
        </is>
      </c>
      <c r="E466" s="111" t="n">
        <v>1518</v>
      </c>
      <c r="F466" s="110" t="inlineStr">
        <is>
          <t>Salário e Ordenados</t>
        </is>
      </c>
      <c r="G466" s="110" t="inlineStr">
        <is>
          <t>A PAGAR</t>
        </is>
      </c>
    </row>
    <row r="467">
      <c r="B467" s="110" t="inlineStr">
        <is>
          <t>JHULLYA STEFANLY SOUZA REZENDE</t>
        </is>
      </c>
      <c r="C467" s="109" t="n">
        <v>46240</v>
      </c>
      <c r="D467" s="110" t="inlineStr">
        <is>
          <t>PIX CODI BANCO BRASIL</t>
        </is>
      </c>
      <c r="E467" s="111" t="n">
        <v>1518</v>
      </c>
      <c r="F467" s="110" t="inlineStr">
        <is>
          <t>Salário e Ordenados</t>
        </is>
      </c>
      <c r="G467" s="110" t="inlineStr">
        <is>
          <t>A PAGAR</t>
        </is>
      </c>
    </row>
    <row r="468">
      <c r="B468" s="110" t="inlineStr">
        <is>
          <t>LUIZ GUSTAVO SANTANA</t>
        </is>
      </c>
      <c r="C468" s="109" t="n">
        <v>46240</v>
      </c>
      <c r="D468" s="110" t="inlineStr">
        <is>
          <t>PIX CODI BANCO BRASIL</t>
        </is>
      </c>
      <c r="E468" s="111" t="n">
        <v>2300</v>
      </c>
      <c r="F468" s="110" t="inlineStr">
        <is>
          <t>Salário e Ordenados</t>
        </is>
      </c>
      <c r="G468" s="110" t="inlineStr">
        <is>
          <t>A PAGAR</t>
        </is>
      </c>
    </row>
    <row r="469">
      <c r="B469" s="110" t="inlineStr">
        <is>
          <t>WALLYSON HENRIQUE BARBOSA SOUZA</t>
        </is>
      </c>
      <c r="C469" s="109" t="n">
        <v>46240</v>
      </c>
      <c r="D469" s="110" t="inlineStr">
        <is>
          <t>PIX CODI BANCO BRASIL</t>
        </is>
      </c>
      <c r="E469" s="111" t="n">
        <v>4200</v>
      </c>
      <c r="F469" s="110" t="inlineStr">
        <is>
          <t>Salário e Ordenados</t>
        </is>
      </c>
      <c r="G469" s="110" t="inlineStr">
        <is>
          <t>A PAGAR</t>
        </is>
      </c>
    </row>
    <row r="470">
      <c r="B470" s="110" t="inlineStr">
        <is>
          <t>CRISLANDIA DA SILVA SOUSA - ESTOQUE</t>
        </is>
      </c>
      <c r="C470" s="109" t="n">
        <v>46240</v>
      </c>
      <c r="D470" s="110" t="inlineStr">
        <is>
          <t>PIX CODI BANCO BRASIL</t>
        </is>
      </c>
      <c r="E470" s="111" t="n">
        <v>1312.82</v>
      </c>
      <c r="F470" s="110" t="inlineStr">
        <is>
          <t>Salário e Ordenados</t>
        </is>
      </c>
      <c r="G470" s="110" t="inlineStr">
        <is>
          <t>A PAGAR</t>
        </is>
      </c>
    </row>
    <row r="471">
      <c r="B471" s="110" t="inlineStr">
        <is>
          <t>DELVACY PEREIRA SILVA - G ESTOQUE</t>
        </is>
      </c>
      <c r="C471" s="109" t="n">
        <v>46240</v>
      </c>
      <c r="D471" s="110" t="inlineStr">
        <is>
          <t>PIX CODI BANCO BRASIL</t>
        </is>
      </c>
      <c r="E471" s="111" t="n">
        <v>2000</v>
      </c>
      <c r="F471" s="110" t="inlineStr">
        <is>
          <t>Salário e Ordenados</t>
        </is>
      </c>
      <c r="G471" s="110" t="inlineStr">
        <is>
          <t>A PAGAR</t>
        </is>
      </c>
    </row>
    <row r="472">
      <c r="B472" s="110" t="inlineStr">
        <is>
          <t>CAPRICORNIO TEXTIL</t>
        </is>
      </c>
      <c r="C472" s="109" t="n">
        <v>46240</v>
      </c>
      <c r="D472" s="110" t="inlineStr">
        <is>
          <t>BOLETO BANCÁRIO</t>
        </is>
      </c>
      <c r="E472" s="111" t="n">
        <v>1198.29</v>
      </c>
      <c r="F472" s="110" t="inlineStr">
        <is>
          <t>Tecidos</t>
        </is>
      </c>
      <c r="G472" s="110" t="inlineStr">
        <is>
          <t>A PAGAR</t>
        </is>
      </c>
    </row>
    <row r="473">
      <c r="B473" s="110" t="inlineStr">
        <is>
          <t>NEOBRAND INDUSTRIA TEXTIL LTDA</t>
        </is>
      </c>
      <c r="C473" s="109" t="n">
        <v>46240</v>
      </c>
      <c r="D473" s="110" t="inlineStr">
        <is>
          <t>BOLETO BANCÁRIO</t>
        </is>
      </c>
      <c r="E473" s="111" t="n">
        <v>1034</v>
      </c>
      <c r="F473" s="110" t="inlineStr">
        <is>
          <t>Aviamento</t>
        </is>
      </c>
      <c r="G473" s="110" t="inlineStr">
        <is>
          <t>A PAGAR</t>
        </is>
      </c>
    </row>
    <row r="474">
      <c r="B474" s="110" t="inlineStr">
        <is>
          <t>CAPRICORNIO TEXTIL</t>
        </is>
      </c>
      <c r="C474" s="109" t="n">
        <v>46241</v>
      </c>
      <c r="D474" s="110" t="inlineStr">
        <is>
          <t>BOLETO BANCÁRIO</t>
        </is>
      </c>
      <c r="E474" s="111" t="n">
        <v>1466.86</v>
      </c>
      <c r="F474" s="110" t="inlineStr">
        <is>
          <t>Tecidos</t>
        </is>
      </c>
      <c r="G474" s="110" t="inlineStr">
        <is>
          <t>A PAGAR</t>
        </is>
      </c>
    </row>
    <row r="475">
      <c r="B475" s="110" t="inlineStr">
        <is>
          <t>ROCHA DE MACEDO E FRANCO ADV</t>
        </is>
      </c>
      <c r="C475" s="109" t="n">
        <v>46241</v>
      </c>
      <c r="D475" s="110" t="inlineStr">
        <is>
          <t>PIX CODI BANCO BRASIL</t>
        </is>
      </c>
      <c r="E475" s="111" t="n">
        <v>2500</v>
      </c>
      <c r="F475" s="110" t="inlineStr">
        <is>
          <t>Advogados - Honorários</t>
        </is>
      </c>
      <c r="G475" s="110" t="inlineStr">
        <is>
          <t>A PAGAR</t>
        </is>
      </c>
    </row>
    <row r="476">
      <c r="B476" s="110" t="inlineStr">
        <is>
          <t>THAYS CAROLINE FINANCEIRO</t>
        </is>
      </c>
      <c r="C476" s="109" t="n">
        <v>46241</v>
      </c>
      <c r="D476" s="110" t="inlineStr">
        <is>
          <t>PIX CODI BANCO BRASIL</t>
        </is>
      </c>
      <c r="E476" s="111" t="n">
        <v>3500</v>
      </c>
      <c r="F476" s="110" t="inlineStr">
        <is>
          <t>Assessoria Técnica Profissional</t>
        </is>
      </c>
      <c r="G476" s="110" t="inlineStr">
        <is>
          <t>A PAGAR</t>
        </is>
      </c>
    </row>
    <row r="477">
      <c r="B477" s="110" t="inlineStr">
        <is>
          <t>NEOBRAND INDUSTRIA TEXTIL LTDA</t>
        </is>
      </c>
      <c r="C477" s="109" t="n">
        <v>46243</v>
      </c>
      <c r="D477" s="110" t="inlineStr">
        <is>
          <t>BOLETO BANCÁRIO</t>
        </is>
      </c>
      <c r="E477" s="111" t="n">
        <v>964</v>
      </c>
      <c r="F477" s="110" t="inlineStr">
        <is>
          <t>Aviamento</t>
        </is>
      </c>
      <c r="G477" s="110" t="inlineStr">
        <is>
          <t>A PAGAR</t>
        </is>
      </c>
    </row>
    <row r="478">
      <c r="B478" s="110" t="inlineStr">
        <is>
          <t>WESLEY WK TEXTIL</t>
        </is>
      </c>
      <c r="C478" s="109" t="n">
        <v>46244</v>
      </c>
      <c r="D478" s="110" t="inlineStr">
        <is>
          <t>CHEQUE CLIENTE</t>
        </is>
      </c>
      <c r="E478" s="111" t="n">
        <v>1066</v>
      </c>
      <c r="F478" s="110" t="inlineStr">
        <is>
          <t>Tecidos</t>
        </is>
      </c>
      <c r="G478" s="110" t="inlineStr">
        <is>
          <t>A PAGAR</t>
        </is>
      </c>
    </row>
    <row r="479">
      <c r="B479" s="110" t="inlineStr">
        <is>
          <t>ALMIR - PL</t>
        </is>
      </c>
      <c r="C479" s="109" t="n">
        <v>46244</v>
      </c>
      <c r="D479" s="110" t="inlineStr">
        <is>
          <t>PIX CODI BANCO BRASIL</t>
        </is>
      </c>
      <c r="E479" s="111" t="n">
        <v>33120</v>
      </c>
      <c r="F479" s="110" t="inlineStr">
        <is>
          <t>Produção Externa</t>
        </is>
      </c>
      <c r="G479" s="110" t="inlineStr">
        <is>
          <t>A PAGAR</t>
        </is>
      </c>
    </row>
    <row r="480">
      <c r="B480" s="110" t="inlineStr">
        <is>
          <t>LUCAS/ CONTADOR</t>
        </is>
      </c>
      <c r="C480" s="109" t="n">
        <v>46244</v>
      </c>
      <c r="D480" s="110" t="inlineStr">
        <is>
          <t>PIX CODI BANCO BRASIL</t>
        </is>
      </c>
      <c r="E480" s="111" t="n">
        <v>1100</v>
      </c>
      <c r="F480" s="110" t="inlineStr">
        <is>
          <t>Honorários Contábeis (Contabilidade)</t>
        </is>
      </c>
      <c r="G480" s="110" t="inlineStr">
        <is>
          <t>A PAGAR</t>
        </is>
      </c>
    </row>
    <row r="481">
      <c r="B481" s="110" t="inlineStr">
        <is>
          <t>ALUGUEL LORIVALDO</t>
        </is>
      </c>
      <c r="C481" s="109" t="n">
        <v>46244</v>
      </c>
      <c r="D481" s="110" t="inlineStr">
        <is>
          <t>PIX CODI BANCO BRASIL</t>
        </is>
      </c>
      <c r="E481" s="111" t="n">
        <v>6484</v>
      </c>
      <c r="F481" s="110" t="inlineStr">
        <is>
          <t>Aluguéis e Condomínios</t>
        </is>
      </c>
      <c r="G481" s="110" t="inlineStr">
        <is>
          <t>A PAGAR</t>
        </is>
      </c>
    </row>
    <row r="482">
      <c r="B482" s="110" t="inlineStr">
        <is>
          <t>LIDER TECIDOS LIDERANCA COMERCIO LTDA</t>
        </is>
      </c>
      <c r="C482" s="109" t="n">
        <v>46244</v>
      </c>
      <c r="D482" s="110" t="inlineStr">
        <is>
          <t>CARTÃO DE CRÉDITO</t>
        </is>
      </c>
      <c r="E482" s="111" t="n">
        <v>3000</v>
      </c>
      <c r="F482" s="110" t="inlineStr">
        <is>
          <t>Tecidos</t>
        </is>
      </c>
      <c r="G482" s="110" t="inlineStr">
        <is>
          <t>A PAGAR</t>
        </is>
      </c>
    </row>
    <row r="483">
      <c r="B483" s="110" t="inlineStr">
        <is>
          <t>CONSÓRCIO BANCO DO BRASIL</t>
        </is>
      </c>
      <c r="C483" s="109" t="n">
        <v>46244</v>
      </c>
      <c r="D483" s="110" t="inlineStr">
        <is>
          <t>TRANSFERÊNCIA</t>
        </is>
      </c>
      <c r="E483" s="111" t="n">
        <v>2055.6</v>
      </c>
      <c r="F483" s="110" t="inlineStr">
        <is>
          <t>Consórcio</t>
        </is>
      </c>
      <c r="G483" s="110" t="inlineStr">
        <is>
          <t>A PAGAR</t>
        </is>
      </c>
    </row>
    <row r="484">
      <c r="B484" s="110" t="inlineStr">
        <is>
          <t>CAPRICORNIO TEXTIL</t>
        </is>
      </c>
      <c r="C484" s="109" t="n">
        <v>46244</v>
      </c>
      <c r="D484" s="110" t="inlineStr">
        <is>
          <t>BOLETO BANCÁRIO</t>
        </is>
      </c>
      <c r="E484" s="111" t="n">
        <v>2366.53</v>
      </c>
      <c r="F484" s="110" t="inlineStr">
        <is>
          <t>Tecidos</t>
        </is>
      </c>
      <c r="G484" s="110" t="inlineStr">
        <is>
          <t>A PAGAR</t>
        </is>
      </c>
    </row>
    <row r="485">
      <c r="B485" s="110" t="inlineStr">
        <is>
          <t>AJUDA DE CUSTO - SEMANA</t>
        </is>
      </c>
      <c r="C485" s="109" t="n">
        <v>46244</v>
      </c>
      <c r="D485" s="110" t="inlineStr">
        <is>
          <t>CHEQUE - EMPRESA</t>
        </is>
      </c>
      <c r="E485" s="111" t="n">
        <v>600</v>
      </c>
      <c r="F485" s="110" t="inlineStr">
        <is>
          <t>Vale Transporte</t>
        </is>
      </c>
      <c r="G485" s="110" t="inlineStr">
        <is>
          <t>A PAGAR</t>
        </is>
      </c>
    </row>
    <row r="486">
      <c r="B486" s="110" t="inlineStr">
        <is>
          <t>NEOBRAND INDUSTRIA TEXTIL LTDA</t>
        </is>
      </c>
      <c r="C486" s="109" t="n">
        <v>46245</v>
      </c>
      <c r="D486" s="110" t="inlineStr">
        <is>
          <t>BOLETO BANCÁRIO</t>
        </is>
      </c>
      <c r="E486" s="111" t="n">
        <v>900.76</v>
      </c>
      <c r="F486" s="110" t="inlineStr">
        <is>
          <t>Aviamento</t>
        </is>
      </c>
      <c r="G486" s="110" t="inlineStr">
        <is>
          <t>A PAGAR</t>
        </is>
      </c>
    </row>
    <row r="487">
      <c r="B487" s="110" t="inlineStr">
        <is>
          <t>LIDER TECIDOS LIDERANCA COMERCIO LTDA</t>
        </is>
      </c>
      <c r="C487" s="109" t="n">
        <v>46245</v>
      </c>
      <c r="D487" s="110" t="inlineStr">
        <is>
          <t>CHEQUE CLIENTE</t>
        </is>
      </c>
      <c r="E487" s="111" t="n">
        <v>1320</v>
      </c>
      <c r="F487" s="110" t="inlineStr">
        <is>
          <t>Tecidos</t>
        </is>
      </c>
      <c r="G487" s="110" t="inlineStr">
        <is>
          <t>A PAGAR</t>
        </is>
      </c>
    </row>
    <row r="488">
      <c r="B488" s="110" t="inlineStr">
        <is>
          <t>LIDER TECIDOS LIDERANCA COMERCIO LTDA</t>
        </is>
      </c>
      <c r="C488" s="109" t="n">
        <v>46246</v>
      </c>
      <c r="D488" s="110" t="inlineStr">
        <is>
          <t>CHEQUE CLIENTE</t>
        </is>
      </c>
      <c r="E488" s="111" t="n">
        <v>1360</v>
      </c>
      <c r="F488" s="110" t="inlineStr">
        <is>
          <t>Tecidos</t>
        </is>
      </c>
      <c r="G488" s="110" t="inlineStr">
        <is>
          <t>A PAGAR</t>
        </is>
      </c>
    </row>
    <row r="489">
      <c r="B489" s="110" t="inlineStr">
        <is>
          <t>WESLEY WK TEXTIL</t>
        </is>
      </c>
      <c r="C489" s="109" t="n">
        <v>46246</v>
      </c>
      <c r="D489" s="110" t="inlineStr">
        <is>
          <t>CHEQUE CLIENTE</t>
        </is>
      </c>
      <c r="E489" s="111" t="n">
        <v>2511.64</v>
      </c>
      <c r="F489" s="110" t="inlineStr">
        <is>
          <t>Tecidos</t>
        </is>
      </c>
      <c r="G489" s="110" t="inlineStr">
        <is>
          <t>A PAGAR</t>
        </is>
      </c>
    </row>
    <row r="490">
      <c r="B490" s="110" t="inlineStr">
        <is>
          <t>JOAO - CAPITAL DE GIRO</t>
        </is>
      </c>
      <c r="C490" s="109" t="n">
        <v>46246</v>
      </c>
      <c r="D490" s="110" t="inlineStr">
        <is>
          <t>CHEQUE - EMPRESA</t>
        </is>
      </c>
      <c r="E490" s="111" t="n">
        <v>4500</v>
      </c>
      <c r="F490" s="110" t="inlineStr">
        <is>
          <t>Tecidos</t>
        </is>
      </c>
      <c r="G490" s="110" t="inlineStr">
        <is>
          <t>A PAGAR</t>
        </is>
      </c>
    </row>
    <row r="491">
      <c r="B491" s="110" t="inlineStr">
        <is>
          <t>LIDER TECIDOS LIDERANCA COMERCIO LTDA</t>
        </is>
      </c>
      <c r="C491" s="109" t="n">
        <v>46246</v>
      </c>
      <c r="D491" s="110" t="inlineStr">
        <is>
          <t>CHEQUE CLIENTE</t>
        </is>
      </c>
      <c r="E491" s="111" t="n">
        <v>663</v>
      </c>
      <c r="F491" s="110" t="inlineStr">
        <is>
          <t>Tecidos</t>
        </is>
      </c>
      <c r="G491" s="110" t="inlineStr">
        <is>
          <t>A PAGAR</t>
        </is>
      </c>
    </row>
    <row r="492">
      <c r="B492" s="110" t="inlineStr">
        <is>
          <t>JOAO - CAPITAL DE GIRO</t>
        </is>
      </c>
      <c r="C492" s="109" t="n">
        <v>46246</v>
      </c>
      <c r="D492" s="110" t="inlineStr">
        <is>
          <t>CHEQUE - EMPRESA</t>
        </is>
      </c>
      <c r="E492" s="111" t="n">
        <v>4670</v>
      </c>
      <c r="F492" s="110" t="inlineStr">
        <is>
          <t>Tecidos</t>
        </is>
      </c>
      <c r="G492" s="110" t="inlineStr">
        <is>
          <t>A PAGAR</t>
        </is>
      </c>
    </row>
    <row r="493">
      <c r="B493" s="110" t="inlineStr">
        <is>
          <t>CIDA - FACÇÃO</t>
        </is>
      </c>
      <c r="C493" s="109" t="n">
        <v>46247</v>
      </c>
      <c r="D493" s="110" t="inlineStr">
        <is>
          <t>PIX CODI BANCO BRASIL</t>
        </is>
      </c>
      <c r="E493" s="111" t="n">
        <v>1127</v>
      </c>
      <c r="F493" s="110" t="inlineStr">
        <is>
          <t>Facção</t>
        </is>
      </c>
      <c r="G493" s="110" t="inlineStr">
        <is>
          <t>A PAGAR</t>
        </is>
      </c>
    </row>
    <row r="494">
      <c r="B494" s="110" t="inlineStr">
        <is>
          <t>HERON - FACÇÃO</t>
        </is>
      </c>
      <c r="C494" s="109" t="n">
        <v>46247</v>
      </c>
      <c r="D494" s="110" t="inlineStr">
        <is>
          <t>PIX CODI BANCO BRASIL</t>
        </is>
      </c>
      <c r="E494" s="111" t="n">
        <v>2592</v>
      </c>
      <c r="F494" s="110" t="inlineStr">
        <is>
          <t>Facção</t>
        </is>
      </c>
      <c r="G494" s="110" t="inlineStr">
        <is>
          <t>A PAGAR</t>
        </is>
      </c>
    </row>
    <row r="495">
      <c r="B495" s="110" t="inlineStr">
        <is>
          <t>ADRIANO-FACÇÃO</t>
        </is>
      </c>
      <c r="C495" s="109" t="n">
        <v>46247</v>
      </c>
      <c r="D495" s="110" t="inlineStr">
        <is>
          <t>PIX CODI BANCO BRASIL</t>
        </is>
      </c>
      <c r="E495" s="111" t="n">
        <v>172.5</v>
      </c>
      <c r="F495" s="110" t="inlineStr">
        <is>
          <t>Facção</t>
        </is>
      </c>
      <c r="G495" s="110" t="inlineStr">
        <is>
          <t>A PAGAR</t>
        </is>
      </c>
    </row>
    <row r="496">
      <c r="B496" s="110" t="inlineStr">
        <is>
          <t>HERON - FACÇÃO</t>
        </is>
      </c>
      <c r="C496" s="109" t="n">
        <v>46247</v>
      </c>
      <c r="D496" s="110" t="inlineStr">
        <is>
          <t>PIX CODI BANCO BRASIL</t>
        </is>
      </c>
      <c r="E496" s="111" t="n">
        <v>396</v>
      </c>
      <c r="F496" s="110" t="inlineStr">
        <is>
          <t>Facção</t>
        </is>
      </c>
      <c r="G496" s="110" t="inlineStr">
        <is>
          <t>A PAGAR</t>
        </is>
      </c>
    </row>
    <row r="497">
      <c r="B497" s="110" t="inlineStr">
        <is>
          <t>HERON - FACÇÃO</t>
        </is>
      </c>
      <c r="C497" s="109" t="n">
        <v>46247</v>
      </c>
      <c r="D497" s="110" t="inlineStr">
        <is>
          <t>PIX CODI BANCO BRASIL</t>
        </is>
      </c>
      <c r="E497" s="111" t="n">
        <v>180</v>
      </c>
      <c r="F497" s="110" t="inlineStr">
        <is>
          <t>Facção</t>
        </is>
      </c>
      <c r="G497" s="110" t="inlineStr">
        <is>
          <t>A PAGAR</t>
        </is>
      </c>
    </row>
    <row r="498">
      <c r="B498" s="110" t="inlineStr">
        <is>
          <t>WESLEY WK TEXTIL</t>
        </is>
      </c>
      <c r="C498" s="109" t="n">
        <v>46247</v>
      </c>
      <c r="D498" s="110" t="inlineStr">
        <is>
          <t>CHEQUE - EMPRESA</t>
        </is>
      </c>
      <c r="E498" s="111" t="n">
        <v>3600</v>
      </c>
      <c r="F498" s="110" t="inlineStr">
        <is>
          <t>Tecidos</t>
        </is>
      </c>
      <c r="G498" s="110" t="inlineStr">
        <is>
          <t>A PAGAR</t>
        </is>
      </c>
    </row>
    <row r="499">
      <c r="B499" s="110" t="inlineStr">
        <is>
          <t>LIDER TECIDOS LIDERANCA COMERCIO LTDA</t>
        </is>
      </c>
      <c r="C499" s="109" t="n">
        <v>46248</v>
      </c>
      <c r="D499" s="110" t="inlineStr">
        <is>
          <t xml:space="preserve">CHEQUE CLIENTE </t>
        </is>
      </c>
      <c r="E499" s="111" t="n">
        <v>1750</v>
      </c>
      <c r="F499" s="110" t="inlineStr">
        <is>
          <t>Tecidos</t>
        </is>
      </c>
      <c r="G499" s="110" t="inlineStr">
        <is>
          <t>A PAGAR</t>
        </is>
      </c>
    </row>
    <row r="500">
      <c r="B500" s="110" t="inlineStr">
        <is>
          <t>NEOBRAND INDUSTRIA TEXTIL LTDA</t>
        </is>
      </c>
      <c r="C500" s="109" t="n">
        <v>46248</v>
      </c>
      <c r="D500" s="110" t="inlineStr">
        <is>
          <t>BOLETO BANCÁRIO</t>
        </is>
      </c>
      <c r="E500" s="111" t="n">
        <v>748.66</v>
      </c>
      <c r="F500" s="110" t="inlineStr">
        <is>
          <t>Aviamento</t>
        </is>
      </c>
      <c r="G500" s="110" t="inlineStr">
        <is>
          <t>A PAGAR</t>
        </is>
      </c>
    </row>
    <row r="501">
      <c r="B501" s="110" t="inlineStr">
        <is>
          <t>ALVO TEXTIL LTDA</t>
        </is>
      </c>
      <c r="C501" s="109" t="n">
        <v>46249</v>
      </c>
      <c r="D501" s="110" t="inlineStr">
        <is>
          <t>CHEQUE - EMPRESA</t>
        </is>
      </c>
      <c r="E501" s="111" t="n">
        <v>3750</v>
      </c>
      <c r="F501" s="110" t="inlineStr">
        <is>
          <t>Tecidos</t>
        </is>
      </c>
      <c r="G501" s="110" t="inlineStr">
        <is>
          <t>A PAGAR</t>
        </is>
      </c>
    </row>
    <row r="502">
      <c r="B502" s="110" t="inlineStr">
        <is>
          <t>SERASA</t>
        </is>
      </c>
      <c r="C502" s="109" t="n">
        <v>46249</v>
      </c>
      <c r="D502" s="110" t="inlineStr">
        <is>
          <t>BOLETO BANCÁRIO</t>
        </is>
      </c>
      <c r="E502" s="111" t="n">
        <v>350</v>
      </c>
      <c r="F502" s="110" t="inlineStr">
        <is>
          <t>Consulta de Crédito Cliente</t>
        </is>
      </c>
      <c r="G502" s="110" t="inlineStr">
        <is>
          <t>A PAGAR</t>
        </is>
      </c>
    </row>
    <row r="503">
      <c r="B503" s="110" t="inlineStr">
        <is>
          <t>PORTO SEGURO CIA DE SEGUROS GERAIS</t>
        </is>
      </c>
      <c r="C503" s="109" t="n">
        <v>46250</v>
      </c>
      <c r="D503" s="110" t="inlineStr">
        <is>
          <t>CARTÃO DE CRÉDITO</t>
        </is>
      </c>
      <c r="E503" s="111" t="n">
        <v>928.14</v>
      </c>
      <c r="F503" s="110" t="inlineStr">
        <is>
          <t>Seguros</t>
        </is>
      </c>
      <c r="G503" s="110" t="inlineStr">
        <is>
          <t>A PAGAR</t>
        </is>
      </c>
    </row>
    <row r="504">
      <c r="B504" s="110" t="inlineStr">
        <is>
          <t>LUIZ GUSTAVO SANTANA</t>
        </is>
      </c>
      <c r="C504" s="109" t="n">
        <v>46251</v>
      </c>
      <c r="D504" s="110" t="inlineStr">
        <is>
          <t>PIX CODI BANCO BRASIL</t>
        </is>
      </c>
      <c r="E504" s="111" t="n">
        <v>100</v>
      </c>
      <c r="F504" s="110" t="inlineStr">
        <is>
          <t>Vales e Adiantamentos</t>
        </is>
      </c>
      <c r="G504" s="110" t="inlineStr">
        <is>
          <t>A PAGAR</t>
        </is>
      </c>
    </row>
    <row r="505">
      <c r="B505" s="110" t="inlineStr">
        <is>
          <t>CAPRICORNIO TEXTIL</t>
        </is>
      </c>
      <c r="C505" s="109" t="n">
        <v>46251</v>
      </c>
      <c r="D505" s="110" t="inlineStr">
        <is>
          <t>BOLETO BANCÁRIO</t>
        </is>
      </c>
      <c r="E505" s="111" t="n">
        <v>978.2</v>
      </c>
      <c r="F505" s="110" t="inlineStr">
        <is>
          <t>Tecidos</t>
        </is>
      </c>
      <c r="G505" s="110" t="inlineStr">
        <is>
          <t>A PAGAR</t>
        </is>
      </c>
    </row>
    <row r="506">
      <c r="B506" s="110" t="inlineStr">
        <is>
          <t>AJUDA DE CUSTO - SEMANA</t>
        </is>
      </c>
      <c r="C506" s="109" t="n">
        <v>46251</v>
      </c>
      <c r="D506" s="110" t="inlineStr">
        <is>
          <t>CHEQUE - EMPRESA</t>
        </is>
      </c>
      <c r="E506" s="111" t="n">
        <v>600</v>
      </c>
      <c r="F506" s="110" t="inlineStr">
        <is>
          <t>Vale Transporte</t>
        </is>
      </c>
      <c r="G506" s="110" t="inlineStr">
        <is>
          <t>A PAGAR</t>
        </is>
      </c>
    </row>
    <row r="507">
      <c r="B507" s="110" t="inlineStr">
        <is>
          <t>LIDER TECIDOS LIDERANCA COMERCIO LTDA</t>
        </is>
      </c>
      <c r="C507" s="109" t="n">
        <v>46252</v>
      </c>
      <c r="D507" s="110" t="inlineStr">
        <is>
          <t>CHEQUE - EMPRESA</t>
        </is>
      </c>
      <c r="E507" s="111" t="n">
        <v>4220</v>
      </c>
      <c r="F507" s="110" t="inlineStr">
        <is>
          <t>Tecidos</t>
        </is>
      </c>
      <c r="G507" s="110" t="inlineStr">
        <is>
          <t>A PAGAR</t>
        </is>
      </c>
    </row>
    <row r="508">
      <c r="B508" s="110" t="inlineStr">
        <is>
          <t>WESLEY WK TEXTIL</t>
        </is>
      </c>
      <c r="C508" s="109" t="n">
        <v>46252</v>
      </c>
      <c r="D508" s="110" t="inlineStr">
        <is>
          <t>CHEQUE CLIENTE</t>
        </is>
      </c>
      <c r="E508" s="111" t="n">
        <v>2975</v>
      </c>
      <c r="F508" s="110" t="inlineStr">
        <is>
          <t>Tecidos</t>
        </is>
      </c>
      <c r="G508" s="110" t="inlineStr">
        <is>
          <t>A PAGAR</t>
        </is>
      </c>
    </row>
    <row r="509">
      <c r="B509" s="110" t="inlineStr">
        <is>
          <t>ALVO TEXTIL LTDA</t>
        </is>
      </c>
      <c r="C509" s="109" t="n">
        <v>46252</v>
      </c>
      <c r="D509" s="110" t="inlineStr">
        <is>
          <t>CHEQUE - EMPRESA</t>
        </is>
      </c>
      <c r="E509" s="111" t="n">
        <v>4980</v>
      </c>
      <c r="F509" s="110" t="inlineStr">
        <is>
          <t>Tecidos</t>
        </is>
      </c>
      <c r="G509" s="110" t="inlineStr">
        <is>
          <t>A PAGAR</t>
        </is>
      </c>
    </row>
    <row r="510">
      <c r="B510" s="110" t="inlineStr">
        <is>
          <t>CAPRICORNIO TEXTIL</t>
        </is>
      </c>
      <c r="C510" s="109" t="n">
        <v>46253</v>
      </c>
      <c r="D510" s="110" t="inlineStr">
        <is>
          <t>BOLETO BANCÁRIO</t>
        </is>
      </c>
      <c r="E510" s="111" t="n">
        <v>2444.75</v>
      </c>
      <c r="F510" s="110" t="inlineStr">
        <is>
          <t>Tecidos</t>
        </is>
      </c>
      <c r="G510" s="110" t="inlineStr">
        <is>
          <t>A PAGAR</t>
        </is>
      </c>
    </row>
    <row r="511">
      <c r="B511" s="110" t="inlineStr">
        <is>
          <t>TOP IND. C. IMP. EXP. DE ART. TEXTEIS UNIPESSOAL LTDA</t>
        </is>
      </c>
      <c r="C511" s="109" t="n">
        <v>46253</v>
      </c>
      <c r="D511" s="110" t="inlineStr">
        <is>
          <t>BOLETO BANCÁRIO</t>
        </is>
      </c>
      <c r="E511" s="111" t="n">
        <v>947.64</v>
      </c>
      <c r="F511" s="110" t="inlineStr">
        <is>
          <t>Aviamento</t>
        </is>
      </c>
      <c r="G511" s="110" t="inlineStr">
        <is>
          <t>A PAGAR</t>
        </is>
      </c>
    </row>
    <row r="512">
      <c r="B512" s="110" t="inlineStr">
        <is>
          <t>WESLEY WK TEXTIL</t>
        </is>
      </c>
      <c r="C512" s="109" t="n">
        <v>46253</v>
      </c>
      <c r="D512" s="110" t="inlineStr">
        <is>
          <t>CHEQUE - EMPRESA</t>
        </is>
      </c>
      <c r="E512" s="111" t="n">
        <v>4700</v>
      </c>
      <c r="F512" s="110" t="inlineStr">
        <is>
          <t>Tecidos</t>
        </is>
      </c>
      <c r="G512" s="110" t="inlineStr">
        <is>
          <t>A PAGAR</t>
        </is>
      </c>
    </row>
    <row r="513">
      <c r="B513" s="110" t="inlineStr">
        <is>
          <t>FGTS</t>
        </is>
      </c>
      <c r="C513" s="109" t="n">
        <v>46254</v>
      </c>
      <c r="D513" s="110" t="inlineStr">
        <is>
          <t>BOLETO BANCÁRIO</t>
        </is>
      </c>
      <c r="E513" s="111" t="n">
        <v>2011.8</v>
      </c>
      <c r="F513" s="110" t="inlineStr">
        <is>
          <t>Fgts, Gps e Pis</t>
        </is>
      </c>
      <c r="G513" s="110" t="inlineStr">
        <is>
          <t>A PAGAR</t>
        </is>
      </c>
    </row>
    <row r="514">
      <c r="B514" s="110" t="inlineStr">
        <is>
          <t>FGTS</t>
        </is>
      </c>
      <c r="C514" s="109" t="n">
        <v>46254</v>
      </c>
      <c r="D514" s="110" t="inlineStr">
        <is>
          <t>BOLETO BANCÁRIO</t>
        </is>
      </c>
      <c r="E514" s="111" t="n">
        <v>1641.04</v>
      </c>
      <c r="F514" s="110" t="inlineStr">
        <is>
          <t>Fgts, Gps e Pis</t>
        </is>
      </c>
      <c r="G514" s="110" t="inlineStr">
        <is>
          <t>A PAGAR</t>
        </is>
      </c>
    </row>
    <row r="515">
      <c r="B515" s="110" t="inlineStr">
        <is>
          <t xml:space="preserve">AILTON TORRES FERREIRA - CORTADOR </t>
        </is>
      </c>
      <c r="C515" s="109" t="n">
        <v>46254</v>
      </c>
      <c r="D515" s="110" t="inlineStr">
        <is>
          <t>PIX CODI BANCO BRASIL</t>
        </is>
      </c>
      <c r="E515" s="111" t="n">
        <v>550</v>
      </c>
      <c r="F515" s="110" t="inlineStr">
        <is>
          <t>Acertos e Recisões</t>
        </is>
      </c>
      <c r="G515" s="110" t="inlineStr">
        <is>
          <t>A PAGAR</t>
        </is>
      </c>
    </row>
    <row r="516">
      <c r="B516" s="110" t="inlineStr">
        <is>
          <t xml:space="preserve">JOSÉ HAMILTON FERREIRA - CORTADOR  </t>
        </is>
      </c>
      <c r="C516" s="109" t="n">
        <v>46254</v>
      </c>
      <c r="D516" s="110" t="inlineStr">
        <is>
          <t>PIX CODI BANCO BRASIL</t>
        </is>
      </c>
      <c r="E516" s="111" t="n">
        <v>500</v>
      </c>
      <c r="F516" s="110" t="inlineStr">
        <is>
          <t>Acertos e Recisões</t>
        </is>
      </c>
      <c r="G516" s="110" t="inlineStr">
        <is>
          <t>A PAGAR</t>
        </is>
      </c>
    </row>
    <row r="517">
      <c r="B517" s="110" t="inlineStr">
        <is>
          <t>RECEITA FEDERAL - CODI.COM</t>
        </is>
      </c>
      <c r="C517" s="109" t="n">
        <v>46254</v>
      </c>
      <c r="D517" s="110" t="inlineStr">
        <is>
          <t>BOLETO BANCÁRIO</t>
        </is>
      </c>
      <c r="E517" s="111" t="n">
        <v>1535.49</v>
      </c>
      <c r="F517" s="110" t="inlineStr">
        <is>
          <t>Darf</t>
        </is>
      </c>
      <c r="G517" s="110" t="inlineStr">
        <is>
          <t>A PAGAR</t>
        </is>
      </c>
    </row>
    <row r="518">
      <c r="B518" s="110" t="inlineStr">
        <is>
          <t>RECEITA FEDERAL - ALV</t>
        </is>
      </c>
      <c r="C518" s="109" t="n">
        <v>46254</v>
      </c>
      <c r="D518" s="110" t="inlineStr">
        <is>
          <t>PIX CODI BANCO BRASIL</t>
        </is>
      </c>
      <c r="E518" s="111" t="n">
        <v>1834.04</v>
      </c>
      <c r="F518" s="110" t="inlineStr">
        <is>
          <t>Darf</t>
        </is>
      </c>
      <c r="G518" s="110" t="inlineStr">
        <is>
          <t>A PAGAR</t>
        </is>
      </c>
    </row>
    <row r="519">
      <c r="B519" s="110" t="inlineStr">
        <is>
          <t>IMPOSTO CODI</t>
        </is>
      </c>
      <c r="C519" s="109" t="n">
        <v>46254</v>
      </c>
      <c r="D519" s="110" t="inlineStr">
        <is>
          <t>BOLETO BANCÁRIO</t>
        </is>
      </c>
      <c r="E519" s="111" t="n">
        <v>18982.52</v>
      </c>
      <c r="F519" s="110" t="inlineStr">
        <is>
          <t>Simples Nacional</t>
        </is>
      </c>
      <c r="G519" s="110" t="inlineStr">
        <is>
          <t>A PAGAR</t>
        </is>
      </c>
    </row>
    <row r="520">
      <c r="B520" s="110" t="inlineStr">
        <is>
          <t>CAPITAL GIRO SANTANDER ALV PJ</t>
        </is>
      </c>
      <c r="C520" s="109" t="n">
        <v>46254</v>
      </c>
      <c r="D520" s="110" t="inlineStr">
        <is>
          <t>TRANSFERÊNCIA</t>
        </is>
      </c>
      <c r="E520" s="111" t="n">
        <v>2088</v>
      </c>
      <c r="F520" s="110" t="inlineStr">
        <is>
          <t>Empréstimos</t>
        </is>
      </c>
      <c r="G520" s="110" t="inlineStr">
        <is>
          <t>A PAGAR</t>
        </is>
      </c>
    </row>
    <row r="521">
      <c r="B521" s="110" t="inlineStr">
        <is>
          <t>JOSÉ HAMILTON FERREIRA - CORTADOR</t>
        </is>
      </c>
      <c r="C521" s="109" t="n">
        <v>46254</v>
      </c>
      <c r="D521" s="110" t="inlineStr">
        <is>
          <t>PIX CODI BANCO BRASIL</t>
        </is>
      </c>
      <c r="E521" s="111" t="n">
        <v>500</v>
      </c>
      <c r="F521" s="110" t="inlineStr">
        <is>
          <t>Vales e Adiantamentos</t>
        </is>
      </c>
      <c r="G521" s="110" t="inlineStr">
        <is>
          <t>A PAGAR</t>
        </is>
      </c>
    </row>
    <row r="522">
      <c r="B522" s="110" t="inlineStr">
        <is>
          <t>ALVO TEXTIL LTDA</t>
        </is>
      </c>
      <c r="C522" s="109" t="n">
        <v>46254</v>
      </c>
      <c r="D522" s="110" t="inlineStr">
        <is>
          <t>CHEQUE - EMPRESA</t>
        </is>
      </c>
      <c r="E522" s="111" t="n">
        <v>3750</v>
      </c>
      <c r="F522" s="110" t="inlineStr">
        <is>
          <t>Tecidos</t>
        </is>
      </c>
      <c r="G522" s="110" t="inlineStr">
        <is>
          <t>A PAGAR</t>
        </is>
      </c>
    </row>
    <row r="523">
      <c r="B523" s="110" t="inlineStr">
        <is>
          <t>WOZ COMUNICAÇÃO</t>
        </is>
      </c>
      <c r="C523" s="109" t="n">
        <v>46254</v>
      </c>
      <c r="D523" s="110" t="inlineStr">
        <is>
          <t>PIX CODI BANCO BRASIL</t>
        </is>
      </c>
      <c r="E523" s="111" t="n">
        <v>2147</v>
      </c>
      <c r="F523" s="110" t="inlineStr">
        <is>
          <t>SOCIAL MIDIA</t>
        </is>
      </c>
      <c r="G523" s="110" t="inlineStr">
        <is>
          <t>A PAGAR</t>
        </is>
      </c>
    </row>
    <row r="524">
      <c r="B524" s="110" t="inlineStr">
        <is>
          <t>OI INTERNET</t>
        </is>
      </c>
      <c r="C524" s="109" t="n">
        <v>46254</v>
      </c>
      <c r="D524" s="110" t="inlineStr">
        <is>
          <t>BOLETO BANCÁRIO</t>
        </is>
      </c>
      <c r="E524" s="111" t="n">
        <v>130</v>
      </c>
      <c r="F524" s="110" t="inlineStr">
        <is>
          <t>Telefonia Fixa e Internet</t>
        </is>
      </c>
      <c r="G524" s="110" t="inlineStr">
        <is>
          <t>A PAGAR</t>
        </is>
      </c>
    </row>
    <row r="525">
      <c r="B525" s="110" t="inlineStr">
        <is>
          <t>CRISLANDIA DA SILVA SOUSA - ESTOQUE</t>
        </is>
      </c>
      <c r="C525" s="109" t="n">
        <v>46254</v>
      </c>
      <c r="D525" s="110" t="inlineStr">
        <is>
          <t>PIX CODI BANCO BRASIL</t>
        </is>
      </c>
      <c r="E525" s="111" t="n">
        <v>300</v>
      </c>
      <c r="F525" s="110" t="inlineStr">
        <is>
          <t>Vales e Adiantamentos</t>
        </is>
      </c>
      <c r="G525" s="110" t="inlineStr">
        <is>
          <t>A PAGAR</t>
        </is>
      </c>
    </row>
    <row r="526">
      <c r="B526" s="110" t="inlineStr">
        <is>
          <t>WOZ COMUNICAÇÃO</t>
        </is>
      </c>
      <c r="C526" s="109" t="n">
        <v>46254</v>
      </c>
      <c r="D526" s="110" t="inlineStr">
        <is>
          <t>PIX CODI BANCO BRASIL</t>
        </is>
      </c>
      <c r="E526" s="111" t="n">
        <v>499.4</v>
      </c>
      <c r="F526" s="110" t="inlineStr">
        <is>
          <t>SITE</t>
        </is>
      </c>
      <c r="G526" s="110" t="inlineStr">
        <is>
          <t>A PAGAR</t>
        </is>
      </c>
    </row>
    <row r="527">
      <c r="B527" s="110" t="inlineStr">
        <is>
          <t>JHULLYA STEFANLY SOUZA REZENDE</t>
        </is>
      </c>
      <c r="C527" s="109" t="n">
        <v>46254</v>
      </c>
      <c r="D527" s="110" t="inlineStr">
        <is>
          <t>PIX CODI BANCO BRASIL</t>
        </is>
      </c>
      <c r="E527" s="111" t="n">
        <v>500</v>
      </c>
      <c r="F527" s="110" t="inlineStr">
        <is>
          <t>Vales e Adiantamentos</t>
        </is>
      </c>
      <c r="G527" s="110" t="inlineStr">
        <is>
          <t>A PAGAR</t>
        </is>
      </c>
    </row>
    <row r="528">
      <c r="B528" s="110" t="inlineStr">
        <is>
          <t>ADRIANA CARDOSO DA SILVA - VENDAS</t>
        </is>
      </c>
      <c r="C528" s="109" t="n">
        <v>46254</v>
      </c>
      <c r="D528" s="110" t="inlineStr">
        <is>
          <t>PIX CODI BANCO BRASIL</t>
        </is>
      </c>
      <c r="E528" s="111" t="n">
        <v>200</v>
      </c>
      <c r="F528" s="110" t="inlineStr">
        <is>
          <t>Vales e Adiantamentos</t>
        </is>
      </c>
      <c r="G528" s="110" t="inlineStr">
        <is>
          <t>A PAGAR</t>
        </is>
      </c>
    </row>
    <row r="529">
      <c r="B529" s="110" t="inlineStr">
        <is>
          <t>AILTON TORRES FERREIRA - CORTADOR</t>
        </is>
      </c>
      <c r="C529" s="109" t="n">
        <v>46254</v>
      </c>
      <c r="D529" s="110" t="inlineStr">
        <is>
          <t>PIX CODI BANCO BRASIL</t>
        </is>
      </c>
      <c r="E529" s="111" t="n">
        <v>550</v>
      </c>
      <c r="F529" s="110" t="inlineStr">
        <is>
          <t>Vales e Adiantamentos</t>
        </is>
      </c>
      <c r="G529" s="110" t="inlineStr">
        <is>
          <t>A PAGAR</t>
        </is>
      </c>
    </row>
    <row r="530">
      <c r="B530" s="110" t="inlineStr">
        <is>
          <t>DELVACY PEREIRA SILVA - G ESTOQUE</t>
        </is>
      </c>
      <c r="C530" s="109" t="n">
        <v>46254</v>
      </c>
      <c r="D530" s="110" t="inlineStr">
        <is>
          <t>PIX CODI BANCO BRASIL</t>
        </is>
      </c>
      <c r="E530" s="111" t="n">
        <v>300</v>
      </c>
      <c r="F530" s="110" t="inlineStr">
        <is>
          <t>Vales e Adiantamentos</t>
        </is>
      </c>
      <c r="G530" s="110" t="inlineStr">
        <is>
          <t>A PAGAR</t>
        </is>
      </c>
    </row>
    <row r="531">
      <c r="B531" s="110" t="inlineStr">
        <is>
          <t>LIDER TECIDOS LIDERANCA COMERCIO LTDA</t>
        </is>
      </c>
      <c r="C531" s="109" t="n">
        <v>46254</v>
      </c>
      <c r="D531" s="110" t="inlineStr">
        <is>
          <t>CHEQUE CLIENTE</t>
        </is>
      </c>
      <c r="E531" s="111" t="n">
        <v>1980</v>
      </c>
      <c r="F531" s="110" t="inlineStr">
        <is>
          <t>Tecidos</t>
        </is>
      </c>
      <c r="G531" s="110" t="inlineStr">
        <is>
          <t>A PAGAR</t>
        </is>
      </c>
    </row>
    <row r="532">
      <c r="B532" s="110" t="inlineStr">
        <is>
          <t>IMPOSTO CODI</t>
        </is>
      </c>
      <c r="C532" s="109" t="n">
        <v>46254</v>
      </c>
      <c r="D532" s="110" t="inlineStr">
        <is>
          <t>BOLETO BANCÁRIO</t>
        </is>
      </c>
      <c r="E532" s="111" t="n">
        <v>15000</v>
      </c>
      <c r="F532" s="110" t="inlineStr">
        <is>
          <t>PFROVISÃO CODI JEANS</t>
        </is>
      </c>
      <c r="G532" s="110" t="inlineStr">
        <is>
          <t>A PAGAR</t>
        </is>
      </c>
    </row>
    <row r="533">
      <c r="B533" s="110" t="inlineStr">
        <is>
          <t>TOP BRASIL SEGURADORA</t>
        </is>
      </c>
      <c r="C533" s="109" t="n">
        <v>46254</v>
      </c>
      <c r="D533" s="110" t="inlineStr">
        <is>
          <t>BOLETO BANCÁRIO</t>
        </is>
      </c>
      <c r="E533" s="111" t="n">
        <v>270</v>
      </c>
      <c r="F533" s="110" t="inlineStr">
        <is>
          <t>Seguros</t>
        </is>
      </c>
      <c r="G533" s="110" t="inlineStr">
        <is>
          <t>A PAGAR</t>
        </is>
      </c>
    </row>
    <row r="534">
      <c r="B534" s="110" t="inlineStr">
        <is>
          <t>GABY FERREIRA - VENDAS</t>
        </is>
      </c>
      <c r="C534" s="109" t="n">
        <v>46254</v>
      </c>
      <c r="D534" s="110" t="inlineStr">
        <is>
          <t>PIX CODI BANCO BRASIL</t>
        </is>
      </c>
      <c r="E534" s="111" t="n">
        <v>400</v>
      </c>
      <c r="F534" s="110" t="inlineStr">
        <is>
          <t>Vales e Adiantamentos</t>
        </is>
      </c>
      <c r="G534" s="110" t="inlineStr">
        <is>
          <t>A PAGAR</t>
        </is>
      </c>
    </row>
    <row r="535">
      <c r="B535" s="110" t="inlineStr">
        <is>
          <t>GUARD SERVICE LTDA</t>
        </is>
      </c>
      <c r="C535" s="109" t="n">
        <v>46254</v>
      </c>
      <c r="D535" s="110" t="inlineStr">
        <is>
          <t>BOLETO BANCÁRIO</t>
        </is>
      </c>
      <c r="E535" s="111" t="n">
        <v>248</v>
      </c>
      <c r="F535" s="110" t="inlineStr">
        <is>
          <t>Segurança e Monitoramento</t>
        </is>
      </c>
      <c r="G535" s="110" t="inlineStr">
        <is>
          <t>A PAGAR</t>
        </is>
      </c>
    </row>
    <row r="536">
      <c r="B536" s="110" t="inlineStr">
        <is>
          <t>BANCO ITAU</t>
        </is>
      </c>
      <c r="C536" s="109" t="n">
        <v>46255</v>
      </c>
      <c r="D536" s="110" t="inlineStr">
        <is>
          <t>TRANSFERÊNCIA</t>
        </is>
      </c>
      <c r="E536" s="111" t="n">
        <v>42329</v>
      </c>
      <c r="F536" s="110" t="inlineStr">
        <is>
          <t>Empréstimos</t>
        </is>
      </c>
      <c r="G536" s="110" t="inlineStr">
        <is>
          <t>A PAGAR</t>
        </is>
      </c>
    </row>
    <row r="537">
      <c r="B537" s="110" t="inlineStr">
        <is>
          <t>WESLEY WK TEXTIL</t>
        </is>
      </c>
      <c r="C537" s="109" t="n">
        <v>46255</v>
      </c>
      <c r="D537" s="110" t="inlineStr">
        <is>
          <t>CHEQUE - EMPRESA</t>
        </is>
      </c>
      <c r="E537" s="111" t="n">
        <v>3600</v>
      </c>
      <c r="F537" s="110" t="inlineStr">
        <is>
          <t>Tecidos</t>
        </is>
      </c>
      <c r="G537" s="110" t="inlineStr">
        <is>
          <t>A PAGAR</t>
        </is>
      </c>
    </row>
    <row r="538">
      <c r="B538" s="110" t="inlineStr">
        <is>
          <t>LIDER TECIDOS LIDERANCA COMERCIO LTDA</t>
        </is>
      </c>
      <c r="C538" s="109" t="n">
        <v>46256</v>
      </c>
      <c r="D538" s="110" t="inlineStr">
        <is>
          <t xml:space="preserve">CHEQUE CLIENTE </t>
        </is>
      </c>
      <c r="E538" s="111" t="n">
        <v>1679</v>
      </c>
      <c r="F538" s="110" t="inlineStr">
        <is>
          <t>Tecidos</t>
        </is>
      </c>
      <c r="G538" s="110" t="inlineStr">
        <is>
          <t>A PAGAR</t>
        </is>
      </c>
    </row>
    <row r="539">
      <c r="B539" s="110" t="inlineStr">
        <is>
          <t>WESLEY WK TEXTIL</t>
        </is>
      </c>
      <c r="C539" s="109" t="n">
        <v>46256</v>
      </c>
      <c r="D539" s="110" t="inlineStr">
        <is>
          <t>CHEQUE - EMPRESA</t>
        </is>
      </c>
      <c r="E539" s="111" t="n">
        <v>4500</v>
      </c>
      <c r="F539" s="110" t="inlineStr">
        <is>
          <t>Tecidos</t>
        </is>
      </c>
      <c r="G539" s="110" t="inlineStr">
        <is>
          <t>A PAGAR</t>
        </is>
      </c>
    </row>
    <row r="540">
      <c r="B540" s="110" t="inlineStr">
        <is>
          <t>BANCO ITAU/PESSOA FISICA</t>
        </is>
      </c>
      <c r="C540" s="109" t="n">
        <v>46256</v>
      </c>
      <c r="D540" s="110" t="inlineStr">
        <is>
          <t>TRANSFERÊNCIA</t>
        </is>
      </c>
      <c r="E540" s="111" t="n">
        <v>12013.66</v>
      </c>
      <c r="F540" s="110" t="inlineStr">
        <is>
          <t>Títulos de Capitalização</t>
        </is>
      </c>
      <c r="G540" s="110" t="inlineStr">
        <is>
          <t>A PAGAR</t>
        </is>
      </c>
    </row>
    <row r="541">
      <c r="B541" s="110" t="inlineStr">
        <is>
          <t>CAPITAL GIRO SANTANDER ALV PJ</t>
        </is>
      </c>
      <c r="C541" s="109" t="n">
        <v>46256</v>
      </c>
      <c r="D541" s="110" t="inlineStr">
        <is>
          <t>TRANSFERÊNCIA</t>
        </is>
      </c>
      <c r="E541" s="111" t="n">
        <v>3127.85</v>
      </c>
      <c r="F541" s="110" t="inlineStr">
        <is>
          <t>Empréstimos</t>
        </is>
      </c>
      <c r="G541" s="110" t="inlineStr">
        <is>
          <t>A PAGAR</t>
        </is>
      </c>
    </row>
    <row r="542">
      <c r="B542" s="110" t="inlineStr">
        <is>
          <t>ALVO TEXTIL LTDA</t>
        </is>
      </c>
      <c r="C542" s="109" t="n">
        <v>46256</v>
      </c>
      <c r="D542" s="110" t="inlineStr">
        <is>
          <t>CHEQUE - EMPRESA</t>
        </is>
      </c>
      <c r="E542" s="111" t="n">
        <v>4980</v>
      </c>
      <c r="F542" s="110" t="inlineStr">
        <is>
          <t>Tecidos</t>
        </is>
      </c>
      <c r="G542" s="110" t="inlineStr">
        <is>
          <t>A PAGAR</t>
        </is>
      </c>
    </row>
    <row r="543">
      <c r="B543" s="110" t="inlineStr">
        <is>
          <t>LIDER TECIDOS LIDERANCA COMERCIO LTDA</t>
        </is>
      </c>
      <c r="C543" s="109" t="n">
        <v>46256</v>
      </c>
      <c r="D543" s="110" t="inlineStr">
        <is>
          <t>CHEQUE CLIENTE</t>
        </is>
      </c>
      <c r="E543" s="111" t="n">
        <v>2695.54</v>
      </c>
      <c r="F543" s="110" t="inlineStr">
        <is>
          <t>Tecidos</t>
        </is>
      </c>
      <c r="G543" s="110" t="inlineStr">
        <is>
          <t>A PAGAR</t>
        </is>
      </c>
    </row>
    <row r="544">
      <c r="B544" s="110" t="inlineStr">
        <is>
          <t>BLESSED LAVANDERIA</t>
        </is>
      </c>
      <c r="C544" s="109" t="n">
        <v>46257</v>
      </c>
      <c r="D544" s="110" t="inlineStr">
        <is>
          <t>CHEQUE - EMPRESA</t>
        </is>
      </c>
      <c r="E544" s="111" t="n">
        <v>2992</v>
      </c>
      <c r="F544" s="110" t="inlineStr">
        <is>
          <t>Lavanderia</t>
        </is>
      </c>
      <c r="G544" s="110" t="inlineStr">
        <is>
          <t>A PAGAR</t>
        </is>
      </c>
    </row>
    <row r="545">
      <c r="B545" s="110" t="inlineStr">
        <is>
          <t>SHEILA ETIQUETAS</t>
        </is>
      </c>
      <c r="C545" s="109" t="n">
        <v>46257</v>
      </c>
      <c r="D545" s="110" t="inlineStr">
        <is>
          <t>CHEQUE - EMPRESA</t>
        </is>
      </c>
      <c r="E545" s="111" t="n">
        <v>2100</v>
      </c>
      <c r="F545" s="110" t="inlineStr">
        <is>
          <t>Etiquetas</t>
        </is>
      </c>
      <c r="G545" s="110" t="inlineStr">
        <is>
          <t>A PAGAR</t>
        </is>
      </c>
    </row>
    <row r="546">
      <c r="B546" s="110" t="inlineStr">
        <is>
          <t>CAPITAL GIRO ITAU PF CLEITON</t>
        </is>
      </c>
      <c r="C546" s="109" t="n">
        <v>46257</v>
      </c>
      <c r="D546" s="110" t="inlineStr">
        <is>
          <t>TRANSFERÊNCIA</t>
        </is>
      </c>
      <c r="E546" s="111" t="n">
        <v>12445.02</v>
      </c>
      <c r="F546" s="110" t="inlineStr">
        <is>
          <t>Títulos de Capitalização</t>
        </is>
      </c>
      <c r="G546" s="110" t="inlineStr">
        <is>
          <t>A PAGAR</t>
        </is>
      </c>
    </row>
    <row r="547">
      <c r="B547" s="110" t="inlineStr">
        <is>
          <t>CAPRICORNIO TEXTIL</t>
        </is>
      </c>
      <c r="C547" s="109" t="n">
        <v>46258</v>
      </c>
      <c r="D547" s="110" t="inlineStr">
        <is>
          <t>BOLETO BANCÁRIO</t>
        </is>
      </c>
      <c r="E547" s="111" t="n">
        <v>977.9</v>
      </c>
      <c r="F547" s="110" t="inlineStr">
        <is>
          <t>Tecidos</t>
        </is>
      </c>
      <c r="G547" s="110" t="inlineStr">
        <is>
          <t>A PAGAR</t>
        </is>
      </c>
    </row>
    <row r="548">
      <c r="B548" s="110" t="inlineStr">
        <is>
          <t xml:space="preserve">PABLO - LAVANDERIA </t>
        </is>
      </c>
      <c r="C548" s="109" t="n">
        <v>46258</v>
      </c>
      <c r="D548" s="110" t="inlineStr">
        <is>
          <t>CHEQUE - EMPRESA</t>
        </is>
      </c>
      <c r="E548" s="111" t="n">
        <v>2000</v>
      </c>
      <c r="F548" s="110" t="inlineStr">
        <is>
          <t>Lavanderia</t>
        </is>
      </c>
      <c r="G548" s="110" t="inlineStr">
        <is>
          <t>A PAGAR</t>
        </is>
      </c>
    </row>
    <row r="549">
      <c r="B549" s="110" t="inlineStr">
        <is>
          <t>LUIZ GUSTAVO SANTANA</t>
        </is>
      </c>
      <c r="C549" s="109" t="n">
        <v>46258</v>
      </c>
      <c r="D549" s="110" t="inlineStr">
        <is>
          <t>PIX CODI BANCO BRASIL</t>
        </is>
      </c>
      <c r="E549" s="111" t="n">
        <v>100</v>
      </c>
      <c r="F549" s="110" t="inlineStr">
        <is>
          <t>Vales e Adiantamentos</t>
        </is>
      </c>
      <c r="G549" s="110" t="inlineStr">
        <is>
          <t>A PAGAR</t>
        </is>
      </c>
    </row>
    <row r="550">
      <c r="B550" s="110" t="inlineStr">
        <is>
          <t>LIDER TECIDOS LIDERANCA COMERCIO LTDA</t>
        </is>
      </c>
      <c r="C550" s="109" t="n">
        <v>46258</v>
      </c>
      <c r="D550" s="110" t="inlineStr">
        <is>
          <t>CHEQUE - EMPRESA</t>
        </is>
      </c>
      <c r="E550" s="111" t="n">
        <v>4220</v>
      </c>
      <c r="F550" s="110" t="inlineStr">
        <is>
          <t>Tecidos</t>
        </is>
      </c>
      <c r="G550" s="110" t="inlineStr">
        <is>
          <t>A PAGAR</t>
        </is>
      </c>
    </row>
    <row r="551">
      <c r="B551" s="110" t="inlineStr">
        <is>
          <t>CAPITAL GIRO ITAU CODI.COM PJ</t>
        </is>
      </c>
      <c r="C551" s="109" t="n">
        <v>46258</v>
      </c>
      <c r="D551" s="110" t="inlineStr">
        <is>
          <t>TRANSFERÊNCIA</t>
        </is>
      </c>
      <c r="E551" s="111" t="n">
        <v>6000</v>
      </c>
      <c r="F551" s="110" t="inlineStr">
        <is>
          <t>Empréstimos</t>
        </is>
      </c>
      <c r="G551" s="110" t="inlineStr">
        <is>
          <t>A PAGAR</t>
        </is>
      </c>
    </row>
    <row r="552">
      <c r="B552" s="110" t="inlineStr">
        <is>
          <t>AJUDA DE CUSTO - SEMANA</t>
        </is>
      </c>
      <c r="C552" s="109" t="n">
        <v>46258</v>
      </c>
      <c r="D552" s="110" t="inlineStr">
        <is>
          <t>CHEQUE - EMPRESA</t>
        </is>
      </c>
      <c r="E552" s="111" t="n">
        <v>600</v>
      </c>
      <c r="F552" s="110" t="inlineStr">
        <is>
          <t>Vale Transporte</t>
        </is>
      </c>
      <c r="G552" s="110" t="inlineStr">
        <is>
          <t>A PAGAR</t>
        </is>
      </c>
    </row>
    <row r="553">
      <c r="B553" s="110" t="inlineStr">
        <is>
          <t>LIDER TECIDOS LIDERANCA COMERCIO LTDA</t>
        </is>
      </c>
      <c r="C553" s="109" t="n">
        <v>46259</v>
      </c>
      <c r="D553" s="110" t="inlineStr">
        <is>
          <t xml:space="preserve">CHEQUE CLIENTE </t>
        </is>
      </c>
      <c r="E553" s="111" t="n">
        <v>475.7</v>
      </c>
      <c r="F553" s="110" t="inlineStr">
        <is>
          <t>Tecidos</t>
        </is>
      </c>
      <c r="G553" s="110" t="inlineStr">
        <is>
          <t>A PAGAR</t>
        </is>
      </c>
    </row>
    <row r="554">
      <c r="B554" s="110" t="inlineStr">
        <is>
          <t>SHEILA ETIQUETAS</t>
        </is>
      </c>
      <c r="C554" s="109" t="n">
        <v>46259</v>
      </c>
      <c r="D554" s="110" t="inlineStr">
        <is>
          <t>CHEQUE CLIENTE</t>
        </is>
      </c>
      <c r="E554" s="111" t="n">
        <v>1471</v>
      </c>
      <c r="F554" s="110" t="inlineStr">
        <is>
          <t>Etiquetas</t>
        </is>
      </c>
      <c r="G554" s="110" t="inlineStr">
        <is>
          <t>A PAGAR</t>
        </is>
      </c>
    </row>
    <row r="555">
      <c r="B555" s="110" t="inlineStr">
        <is>
          <t>ALVO TEXTIL LTDA</t>
        </is>
      </c>
      <c r="C555" s="109" t="n">
        <v>46260</v>
      </c>
      <c r="D555" s="110" t="inlineStr">
        <is>
          <t>CHEQUE - EMPRESA</t>
        </is>
      </c>
      <c r="E555" s="111" t="n">
        <v>4720</v>
      </c>
      <c r="F555" s="110" t="inlineStr">
        <is>
          <t>Tecidos</t>
        </is>
      </c>
      <c r="G555" s="110" t="inlineStr">
        <is>
          <t>A PAGAR</t>
        </is>
      </c>
    </row>
    <row r="556">
      <c r="B556" s="110" t="inlineStr">
        <is>
          <t>CAPRICORNIO TEXTIL</t>
        </is>
      </c>
      <c r="C556" s="109" t="n">
        <v>46260</v>
      </c>
      <c r="D556" s="110" t="inlineStr">
        <is>
          <t>BOLETO BANCÁRIO</t>
        </is>
      </c>
      <c r="E556" s="111" t="n">
        <v>3315.09</v>
      </c>
      <c r="F556" s="110" t="inlineStr">
        <is>
          <t>Tecidos</t>
        </is>
      </c>
      <c r="G556" s="110" t="inlineStr">
        <is>
          <t>A PAGAR</t>
        </is>
      </c>
    </row>
    <row r="557">
      <c r="B557" s="110" t="inlineStr">
        <is>
          <t>CAPRICORNIO TEXTIL</t>
        </is>
      </c>
      <c r="C557" s="109" t="n">
        <v>46260</v>
      </c>
      <c r="D557" s="110" t="inlineStr">
        <is>
          <t>BOLETO BANCÁRIO</t>
        </is>
      </c>
      <c r="E557" s="111" t="n">
        <v>1457.08</v>
      </c>
      <c r="F557" s="110" t="inlineStr">
        <is>
          <t>Tecidos</t>
        </is>
      </c>
      <c r="G557" s="110" t="inlineStr">
        <is>
          <t>A PAGAR</t>
        </is>
      </c>
    </row>
    <row r="558">
      <c r="B558" s="110" t="inlineStr">
        <is>
          <t>BLESSED LAVANDERIA</t>
        </is>
      </c>
      <c r="C558" s="109" t="n">
        <v>46260</v>
      </c>
      <c r="D558" s="110" t="inlineStr">
        <is>
          <t>CHEQUE - EMPRESA</t>
        </is>
      </c>
      <c r="E558" s="111" t="n">
        <v>2760</v>
      </c>
      <c r="F558" s="110" t="inlineStr">
        <is>
          <t>Lavanderia</t>
        </is>
      </c>
      <c r="G558" s="110" t="inlineStr">
        <is>
          <t>A PAGAR</t>
        </is>
      </c>
    </row>
    <row r="559">
      <c r="B559" s="110" t="inlineStr">
        <is>
          <t>VINNTAGE LAVANDERIA - PABLO</t>
        </is>
      </c>
      <c r="C559" s="109" t="n">
        <v>46260</v>
      </c>
      <c r="D559" s="110" t="inlineStr">
        <is>
          <t>CHEQUE - EMPRESA</t>
        </is>
      </c>
      <c r="E559" s="111" t="n">
        <v>1700</v>
      </c>
      <c r="F559" s="110" t="inlineStr">
        <is>
          <t>Lavanderia</t>
        </is>
      </c>
      <c r="G559" s="110" t="inlineStr">
        <is>
          <t>A PAGAR</t>
        </is>
      </c>
    </row>
    <row r="560">
      <c r="B560" s="110" t="inlineStr">
        <is>
          <t>WESLEY WK TEXTIL</t>
        </is>
      </c>
      <c r="C560" s="109" t="n">
        <v>46260</v>
      </c>
      <c r="D560" s="110" t="inlineStr">
        <is>
          <t>CHEQUE - EMPRESA</t>
        </is>
      </c>
      <c r="E560" s="111" t="n">
        <v>4500</v>
      </c>
      <c r="F560" s="110" t="inlineStr">
        <is>
          <t>Tecidos</t>
        </is>
      </c>
      <c r="G560" s="110" t="inlineStr">
        <is>
          <t>A PAGAR</t>
        </is>
      </c>
    </row>
    <row r="561">
      <c r="B561" s="110" t="inlineStr">
        <is>
          <t>SHEILA ETIQUETAS</t>
        </is>
      </c>
      <c r="C561" s="109" t="n">
        <v>46261</v>
      </c>
      <c r="D561" s="110" t="inlineStr">
        <is>
          <t>BOLETO BANCÁRIO</t>
        </is>
      </c>
      <c r="E561" s="111" t="n">
        <v>349.57</v>
      </c>
      <c r="F561" s="110" t="inlineStr">
        <is>
          <t>Aviamento</t>
        </is>
      </c>
      <c r="G561" s="110" t="inlineStr">
        <is>
          <t>A PAGAR</t>
        </is>
      </c>
    </row>
    <row r="562">
      <c r="B562" s="110" t="inlineStr">
        <is>
          <t>EQUATORIAL ENERGIA</t>
        </is>
      </c>
      <c r="C562" s="109" t="n">
        <v>46261</v>
      </c>
      <c r="D562" s="110" t="inlineStr">
        <is>
          <t>BOLETO BANCÁRIO</t>
        </is>
      </c>
      <c r="E562" s="111" t="n">
        <v>450</v>
      </c>
      <c r="F562" s="110" t="inlineStr">
        <is>
          <t>Energia Elétrica</t>
        </is>
      </c>
      <c r="G562" s="110" t="inlineStr">
        <is>
          <t>A PAGAR</t>
        </is>
      </c>
    </row>
    <row r="563">
      <c r="B563" s="110" t="inlineStr">
        <is>
          <t>IMPOSTO ALV</t>
        </is>
      </c>
      <c r="C563" s="109" t="n">
        <v>46262</v>
      </c>
      <c r="D563" s="110" t="inlineStr">
        <is>
          <t>BOLETO BANCÁRIO</t>
        </is>
      </c>
      <c r="E563" s="111" t="n">
        <v>1272</v>
      </c>
      <c r="F563" s="110" t="inlineStr">
        <is>
          <t>Simples Nacional</t>
        </is>
      </c>
      <c r="G563" s="110" t="inlineStr">
        <is>
          <t>A PAGAR</t>
        </is>
      </c>
    </row>
    <row r="564">
      <c r="B564" s="110" t="inlineStr">
        <is>
          <t>BANCO SANTANDER</t>
        </is>
      </c>
      <c r="C564" s="109" t="n">
        <v>46262</v>
      </c>
      <c r="D564" s="110" t="inlineStr">
        <is>
          <t>TRANSFERÊNCIA</t>
        </is>
      </c>
      <c r="E564" s="111" t="n">
        <v>15436.91</v>
      </c>
      <c r="F564" s="110" t="inlineStr">
        <is>
          <t>Empréstimos</t>
        </is>
      </c>
      <c r="G564" s="110" t="inlineStr">
        <is>
          <t>A PAGAR</t>
        </is>
      </c>
    </row>
    <row r="565">
      <c r="B565" s="110" t="inlineStr">
        <is>
          <t>SANEAGO</t>
        </is>
      </c>
      <c r="C565" s="109" t="n">
        <v>46262</v>
      </c>
      <c r="D565" s="110" t="inlineStr">
        <is>
          <t>BOLETO BANCÁRIO</t>
        </is>
      </c>
      <c r="E565" s="111" t="n">
        <v>280</v>
      </c>
      <c r="F565" s="110" t="inlineStr">
        <is>
          <t>Água</t>
        </is>
      </c>
      <c r="G565" s="110" t="inlineStr">
        <is>
          <t>A PAGAR</t>
        </is>
      </c>
    </row>
    <row r="566">
      <c r="B566" s="110" t="inlineStr">
        <is>
          <t>WESLEY WK TEXTIL</t>
        </is>
      </c>
      <c r="C566" s="109" t="n">
        <v>46263</v>
      </c>
      <c r="D566" s="110" t="inlineStr">
        <is>
          <t>CHEQUE - EMPRESA</t>
        </is>
      </c>
      <c r="E566" s="111" t="n">
        <v>4847</v>
      </c>
      <c r="F566" s="110" t="inlineStr">
        <is>
          <t>Tecidos</t>
        </is>
      </c>
      <c r="G566" s="110" t="inlineStr">
        <is>
          <t>A PAGAR</t>
        </is>
      </c>
    </row>
    <row r="567">
      <c r="B567" s="110" t="inlineStr">
        <is>
          <t xml:space="preserve">SANEAGO </t>
        </is>
      </c>
      <c r="C567" s="109" t="n">
        <v>46264</v>
      </c>
      <c r="D567" s="110" t="inlineStr">
        <is>
          <t>BOLETO BANCÁRIO</t>
        </is>
      </c>
      <c r="E567" s="111" t="n">
        <v>286.52</v>
      </c>
      <c r="F567" s="110" t="inlineStr">
        <is>
          <t>Água</t>
        </is>
      </c>
      <c r="G567" s="110" t="inlineStr">
        <is>
          <t>A PAGAR</t>
        </is>
      </c>
    </row>
    <row r="568">
      <c r="B568" s="110" t="inlineStr">
        <is>
          <t>LIDER TECIDOS LIDERANCA COMERCIO LTDA</t>
        </is>
      </c>
      <c r="C568" s="109" t="n">
        <v>46264</v>
      </c>
      <c r="D568" s="110" t="inlineStr">
        <is>
          <t>CHEQUE - EMPRESA</t>
        </is>
      </c>
      <c r="E568" s="111" t="n">
        <v>4220</v>
      </c>
      <c r="F568" s="110" t="inlineStr">
        <is>
          <t>Tecidos</t>
        </is>
      </c>
      <c r="G568" s="110" t="inlineStr">
        <is>
          <t>A PAGAR</t>
        </is>
      </c>
    </row>
    <row r="569">
      <c r="B569" s="110" t="inlineStr">
        <is>
          <t>ROMERONDES - LAVANDERIA</t>
        </is>
      </c>
      <c r="C569" s="109" t="n">
        <v>46264</v>
      </c>
      <c r="D569" s="110" t="inlineStr">
        <is>
          <t>CHEQUE CLIENTE</t>
        </is>
      </c>
      <c r="E569" s="111" t="n">
        <v>3000</v>
      </c>
      <c r="F569" s="110" t="inlineStr">
        <is>
          <t>Lavanderia</t>
        </is>
      </c>
      <c r="G569" s="110" t="inlineStr">
        <is>
          <t>A PAGAR</t>
        </is>
      </c>
    </row>
    <row r="570">
      <c r="B570" s="110" t="inlineStr">
        <is>
          <t>VINNTAGE LAVANDERIA - PABLO</t>
        </is>
      </c>
      <c r="C570" s="109" t="n">
        <v>46264</v>
      </c>
      <c r="D570" s="110" t="inlineStr">
        <is>
          <t>CHEQUE - EMPRESA</t>
        </is>
      </c>
      <c r="E570" s="111" t="n">
        <v>1679.4</v>
      </c>
      <c r="F570" s="110" t="inlineStr">
        <is>
          <t>Lavanderia</t>
        </is>
      </c>
      <c r="G570" s="110" t="inlineStr">
        <is>
          <t>A PAGAR</t>
        </is>
      </c>
    </row>
    <row r="571">
      <c r="B571" s="110" t="inlineStr">
        <is>
          <t>WESLEY WK TEXTIL</t>
        </is>
      </c>
      <c r="C571" s="109" t="n">
        <v>46264</v>
      </c>
      <c r="D571" s="110" t="inlineStr">
        <is>
          <t>CHEQUE - EMPRESA</t>
        </is>
      </c>
      <c r="E571" s="111" t="n">
        <v>4500</v>
      </c>
      <c r="F571" s="110" t="inlineStr">
        <is>
          <t>Tecidos</t>
        </is>
      </c>
      <c r="G571" s="110" t="inlineStr">
        <is>
          <t>A PAGAR</t>
        </is>
      </c>
    </row>
    <row r="572">
      <c r="B572" s="110" t="inlineStr">
        <is>
          <t>CAPRICORNIO TEXTIL</t>
        </is>
      </c>
      <c r="C572" s="109" t="n">
        <v>46265</v>
      </c>
      <c r="D572" s="110" t="inlineStr">
        <is>
          <t>BOLETO BANCÁRIO</t>
        </is>
      </c>
      <c r="E572" s="111" t="n">
        <v>2527.88</v>
      </c>
      <c r="F572" s="110" t="inlineStr">
        <is>
          <t>Tecidos</t>
        </is>
      </c>
      <c r="G572" s="110" t="inlineStr">
        <is>
          <t>A PAGAR</t>
        </is>
      </c>
    </row>
    <row r="573">
      <c r="B573" s="110" t="inlineStr">
        <is>
          <t>LUIZ GUSTAVO SANTANA</t>
        </is>
      </c>
      <c r="C573" s="109" t="n">
        <v>46265</v>
      </c>
      <c r="D573" s="110" t="inlineStr">
        <is>
          <t>PIX CODI BANCO BRASIL</t>
        </is>
      </c>
      <c r="E573" s="111" t="n">
        <v>100</v>
      </c>
      <c r="F573" s="110" t="inlineStr">
        <is>
          <t>Vales e Adiantamentos</t>
        </is>
      </c>
      <c r="G573" s="110" t="inlineStr">
        <is>
          <t>A PAGAR</t>
        </is>
      </c>
    </row>
    <row r="574">
      <c r="B574" s="110" t="inlineStr">
        <is>
          <t>IMPOSTO ALV</t>
        </is>
      </c>
      <c r="C574" s="109" t="n">
        <v>46265</v>
      </c>
      <c r="D574" s="110" t="inlineStr">
        <is>
          <t>BOLETO BANCÁRIO</t>
        </is>
      </c>
      <c r="E574" s="111" t="n">
        <v>1369.75</v>
      </c>
      <c r="F574" s="110" t="inlineStr">
        <is>
          <t>Simples Nacional</t>
        </is>
      </c>
      <c r="G574" s="110" t="inlineStr">
        <is>
          <t>A PAGAR</t>
        </is>
      </c>
    </row>
    <row r="575">
      <c r="B575" s="110" t="inlineStr">
        <is>
          <t>AJUDA DE CUSTO - SEMANA</t>
        </is>
      </c>
      <c r="C575" s="109" t="n">
        <v>46265</v>
      </c>
      <c r="D575" s="110" t="inlineStr">
        <is>
          <t>CHEQUE - EMPRESA</t>
        </is>
      </c>
      <c r="E575" s="111" t="n">
        <v>600</v>
      </c>
      <c r="F575" s="110" t="inlineStr">
        <is>
          <t>Vale Transporte</t>
        </is>
      </c>
      <c r="G575" s="110" t="inlineStr">
        <is>
          <t>A PAGAR</t>
        </is>
      </c>
    </row>
    <row r="576">
      <c r="B576" s="110" t="inlineStr">
        <is>
          <t>CAPITAL GIRO BRADESCO ALV PJ</t>
        </is>
      </c>
      <c r="C576" s="109" t="n">
        <v>46266</v>
      </c>
      <c r="D576" s="110" t="inlineStr">
        <is>
          <t>TRANSFERÊNCIA</t>
        </is>
      </c>
      <c r="E576" s="111" t="n">
        <v>20101.44</v>
      </c>
      <c r="F576" s="110" t="inlineStr">
        <is>
          <t>Empréstimos</t>
        </is>
      </c>
      <c r="G576" s="110" t="inlineStr">
        <is>
          <t>A PAGAR</t>
        </is>
      </c>
    </row>
    <row r="577">
      <c r="B577" s="110" t="inlineStr">
        <is>
          <t>WOZ COMUNICAÇÃO</t>
        </is>
      </c>
      <c r="C577" s="109" t="n">
        <v>46266</v>
      </c>
      <c r="D577" s="110" t="inlineStr">
        <is>
          <t>PIX CODI BANCO BRASIL</t>
        </is>
      </c>
      <c r="E577" s="111" t="n">
        <v>1397</v>
      </c>
      <c r="F577" s="110" t="inlineStr">
        <is>
          <t>TRÁFEGO META</t>
        </is>
      </c>
      <c r="G577" s="110" t="inlineStr">
        <is>
          <t>A PAGAR</t>
        </is>
      </c>
    </row>
    <row r="578">
      <c r="B578" s="110" t="inlineStr">
        <is>
          <t>NEOBRAND INDUSTRIA TEXTIL LTDA</t>
        </is>
      </c>
      <c r="C578" s="109" t="n">
        <v>46269</v>
      </c>
      <c r="D578" s="110" t="inlineStr">
        <is>
          <t>BOLETO BANCÁRIO</t>
        </is>
      </c>
      <c r="E578" s="111" t="n">
        <v>657.8099999999999</v>
      </c>
      <c r="F578" s="110" t="inlineStr">
        <is>
          <t>Aviamento</t>
        </is>
      </c>
      <c r="G578" s="110" t="inlineStr">
        <is>
          <t>A PAGAR</t>
        </is>
      </c>
    </row>
    <row r="579">
      <c r="B579" s="110" t="inlineStr">
        <is>
          <t>NEOBRAND INDUSTRIA TEXTIL LTDA</t>
        </is>
      </c>
      <c r="C579" s="109" t="n">
        <v>46270</v>
      </c>
      <c r="D579" s="110" t="inlineStr">
        <is>
          <t>BOLETO BANCÁRIO</t>
        </is>
      </c>
      <c r="E579" s="111" t="n">
        <v>1034</v>
      </c>
      <c r="F579" s="110" t="inlineStr">
        <is>
          <t>Aviamento</t>
        </is>
      </c>
      <c r="G579" s="110" t="inlineStr">
        <is>
          <t>A PAGAR</t>
        </is>
      </c>
    </row>
    <row r="580">
      <c r="B580" s="110" t="inlineStr">
        <is>
          <t>WESLEY WK TEXTIL</t>
        </is>
      </c>
      <c r="C580" s="109" t="n">
        <v>46270</v>
      </c>
      <c r="D580" s="110" t="inlineStr">
        <is>
          <t>CHEQUE CLIENTE</t>
        </is>
      </c>
      <c r="E580" s="111" t="n">
        <v>553.75</v>
      </c>
      <c r="F580" s="110" t="inlineStr">
        <is>
          <t>Tecidos</t>
        </is>
      </c>
      <c r="G580" s="110" t="inlineStr">
        <is>
          <t>A PAGAR</t>
        </is>
      </c>
    </row>
    <row r="581">
      <c r="B581" s="110" t="inlineStr">
        <is>
          <t>RECARGA CELULARES VENDAS</t>
        </is>
      </c>
      <c r="C581" s="109" t="n">
        <v>46270</v>
      </c>
      <c r="D581" s="110" t="inlineStr">
        <is>
          <t>PIX CODI BANCO BRASIL</t>
        </is>
      </c>
      <c r="E581" s="111" t="n">
        <v>90</v>
      </c>
      <c r="F581" s="110" t="inlineStr">
        <is>
          <t>Telefonia Móvel</t>
        </is>
      </c>
      <c r="G581" s="110" t="inlineStr">
        <is>
          <t>A PAGAR</t>
        </is>
      </c>
    </row>
    <row r="582">
      <c r="B582" s="110" t="inlineStr">
        <is>
          <t>LIDER TECIDOS LIDERANCA COMERCIO LTDA</t>
        </is>
      </c>
      <c r="C582" s="109" t="n">
        <v>46271</v>
      </c>
      <c r="D582" s="110" t="inlineStr">
        <is>
          <t>CHEQUE - EMPRESA</t>
        </is>
      </c>
      <c r="E582" s="111" t="n">
        <v>1650</v>
      </c>
      <c r="F582" s="110" t="inlineStr">
        <is>
          <t xml:space="preserve">PFROVISÃO CODI JEANS </t>
        </is>
      </c>
      <c r="G582" s="110" t="inlineStr">
        <is>
          <t>A PAGAR</t>
        </is>
      </c>
    </row>
    <row r="583">
      <c r="B583" s="110" t="inlineStr">
        <is>
          <t>YASMIN</t>
        </is>
      </c>
      <c r="C583" s="109" t="n">
        <v>46271</v>
      </c>
      <c r="D583" s="110" t="inlineStr">
        <is>
          <t>PIX CODI BANCO BRASIL</t>
        </is>
      </c>
      <c r="E583" s="111" t="n">
        <v>1621</v>
      </c>
      <c r="F583" s="110" t="inlineStr">
        <is>
          <t>Salário e Ordenados</t>
        </is>
      </c>
      <c r="G583" s="110" t="inlineStr">
        <is>
          <t>A PAGAR</t>
        </is>
      </c>
    </row>
    <row r="584">
      <c r="B584" s="110" t="inlineStr">
        <is>
          <t>EDIMAR GERENTE DE PRODUÇÃO</t>
        </is>
      </c>
      <c r="C584" s="109" t="n">
        <v>46271</v>
      </c>
      <c r="D584" s="110" t="inlineStr">
        <is>
          <t>PIX CODI BANCO BRASIL</t>
        </is>
      </c>
      <c r="E584" s="111" t="n">
        <v>6484</v>
      </c>
      <c r="F584" s="110" t="inlineStr">
        <is>
          <t>Salário e Ordenados</t>
        </is>
      </c>
      <c r="G584" s="110" t="inlineStr">
        <is>
          <t>A PAGAR</t>
        </is>
      </c>
    </row>
    <row r="585">
      <c r="B585" s="110" t="inlineStr">
        <is>
          <t>AILTON TORRES FERREIRA - CORTADOR</t>
        </is>
      </c>
      <c r="C585" s="109" t="n">
        <v>46271</v>
      </c>
      <c r="D585" s="110" t="inlineStr">
        <is>
          <t>PIX CODI BANCO BRASIL</t>
        </is>
      </c>
      <c r="E585" s="111" t="n">
        <v>2542</v>
      </c>
      <c r="F585" s="110" t="inlineStr">
        <is>
          <t>Salário e Ordenados</t>
        </is>
      </c>
      <c r="G585" s="110" t="inlineStr">
        <is>
          <t>A PAGAR</t>
        </is>
      </c>
    </row>
    <row r="586">
      <c r="B586" s="110" t="inlineStr">
        <is>
          <t>DANIEL ENNOS</t>
        </is>
      </c>
      <c r="C586" s="109" t="n">
        <v>46271</v>
      </c>
      <c r="D586" s="110" t="inlineStr">
        <is>
          <t>PIX CODI BANCO BRASIL</t>
        </is>
      </c>
      <c r="E586" s="111" t="n">
        <v>4500</v>
      </c>
      <c r="F586" s="110" t="inlineStr">
        <is>
          <t>Salário e Ordenados</t>
        </is>
      </c>
      <c r="G586" s="110" t="inlineStr">
        <is>
          <t>A PAGAR</t>
        </is>
      </c>
    </row>
    <row r="587">
      <c r="B587" s="110" t="inlineStr">
        <is>
          <t>JOSÉ HAMILTON FERREIRA - CORTADOR</t>
        </is>
      </c>
      <c r="C587" s="109" t="n">
        <v>46271</v>
      </c>
      <c r="D587" s="110" t="inlineStr">
        <is>
          <t>PIX CODI BANCO BRASIL</t>
        </is>
      </c>
      <c r="E587" s="111" t="n">
        <v>1781.5</v>
      </c>
      <c r="F587" s="110" t="inlineStr">
        <is>
          <t>Salário e Ordenados</t>
        </is>
      </c>
      <c r="G587" s="110" t="inlineStr">
        <is>
          <t>A PAGAR</t>
        </is>
      </c>
    </row>
    <row r="588">
      <c r="B588" s="110" t="inlineStr">
        <is>
          <t>DELVACY PEREIRA SILVA - G ESTOQUE</t>
        </is>
      </c>
      <c r="C588" s="109" t="n">
        <v>46271</v>
      </c>
      <c r="D588" s="110" t="inlineStr">
        <is>
          <t>PIX CODI BANCO BRASIL</t>
        </is>
      </c>
      <c r="E588" s="111" t="n">
        <v>2000</v>
      </c>
      <c r="F588" s="110" t="inlineStr">
        <is>
          <t>Salário e Ordenados</t>
        </is>
      </c>
      <c r="G588" s="110" t="inlineStr">
        <is>
          <t>A PAGAR</t>
        </is>
      </c>
    </row>
    <row r="589">
      <c r="B589" s="110" t="inlineStr">
        <is>
          <t>CRISLANDIA DA SILVA SOUSA - ESTOQUE</t>
        </is>
      </c>
      <c r="C589" s="109" t="n">
        <v>46271</v>
      </c>
      <c r="D589" s="110" t="inlineStr">
        <is>
          <t>PIX CODI BANCO BRASIL</t>
        </is>
      </c>
      <c r="E589" s="111" t="n">
        <v>1312.82</v>
      </c>
      <c r="F589" s="110" t="inlineStr">
        <is>
          <t>Salário e Ordenados</t>
        </is>
      </c>
      <c r="G589" s="110" t="inlineStr">
        <is>
          <t>A PAGAR</t>
        </is>
      </c>
    </row>
    <row r="590">
      <c r="B590" s="110" t="inlineStr">
        <is>
          <t>LUIZ GUSTAVO SANTANA</t>
        </is>
      </c>
      <c r="C590" s="109" t="n">
        <v>46271</v>
      </c>
      <c r="D590" s="110" t="inlineStr">
        <is>
          <t>PIX CODI BANCO BRASIL</t>
        </is>
      </c>
      <c r="E590" s="111" t="n">
        <v>2300</v>
      </c>
      <c r="F590" s="110" t="inlineStr">
        <is>
          <t>Salário e Ordenados</t>
        </is>
      </c>
      <c r="G590" s="110" t="inlineStr">
        <is>
          <t>A PAGAR</t>
        </is>
      </c>
    </row>
    <row r="591">
      <c r="B591" s="110" t="inlineStr">
        <is>
          <t>GABY FERREIRA - VENDAS</t>
        </is>
      </c>
      <c r="C591" s="109" t="n">
        <v>46271</v>
      </c>
      <c r="D591" s="110" t="inlineStr">
        <is>
          <t>PIX CODI BANCO BRASIL</t>
        </is>
      </c>
      <c r="E591" s="111" t="n">
        <v>1518</v>
      </c>
      <c r="F591" s="110" t="inlineStr">
        <is>
          <t>Salário e Ordenados</t>
        </is>
      </c>
      <c r="G591" s="110" t="inlineStr">
        <is>
          <t>A PAGAR</t>
        </is>
      </c>
    </row>
    <row r="592">
      <c r="B592" s="110" t="inlineStr">
        <is>
          <t>ADRIANA CARDOSO DA SILVA - VENDAS</t>
        </is>
      </c>
      <c r="C592" s="109" t="n">
        <v>46271</v>
      </c>
      <c r="D592" s="110" t="inlineStr">
        <is>
          <t>PIX CODI BANCO BRASIL</t>
        </is>
      </c>
      <c r="E592" s="111" t="n">
        <v>1612.82</v>
      </c>
      <c r="F592" s="110" t="inlineStr">
        <is>
          <t>Salário e Ordenados</t>
        </is>
      </c>
      <c r="G592" s="110" t="inlineStr">
        <is>
          <t>A PAGAR</t>
        </is>
      </c>
    </row>
    <row r="593">
      <c r="B593" s="110" t="inlineStr">
        <is>
          <t>WALLYSON HENRIQUE BARBOSA SOUZA</t>
        </is>
      </c>
      <c r="C593" s="109" t="n">
        <v>46271</v>
      </c>
      <c r="D593" s="110" t="inlineStr">
        <is>
          <t>PIX CODI BANCO BRASIL</t>
        </is>
      </c>
      <c r="E593" s="111" t="n">
        <v>4200</v>
      </c>
      <c r="F593" s="110" t="inlineStr">
        <is>
          <t>Salário e Ordenados</t>
        </is>
      </c>
      <c r="G593" s="110" t="inlineStr">
        <is>
          <t>A PAGAR</t>
        </is>
      </c>
    </row>
    <row r="594">
      <c r="B594" s="110" t="inlineStr">
        <is>
          <t>JHULLYA STEFANLY SOUZA REZENDE</t>
        </is>
      </c>
      <c r="C594" s="109" t="n">
        <v>46271</v>
      </c>
      <c r="D594" s="110" t="inlineStr">
        <is>
          <t>PIX CODI BANCO BRASIL</t>
        </is>
      </c>
      <c r="E594" s="111" t="n">
        <v>1518</v>
      </c>
      <c r="F594" s="110" t="inlineStr">
        <is>
          <t>Salário e Ordenados</t>
        </is>
      </c>
      <c r="G594" s="110" t="inlineStr">
        <is>
          <t>A PAGAR</t>
        </is>
      </c>
    </row>
    <row r="595">
      <c r="B595" s="110" t="inlineStr">
        <is>
          <t>LUIZ GUSTAVO SANTANA</t>
        </is>
      </c>
      <c r="C595" s="109" t="n">
        <v>46272</v>
      </c>
      <c r="D595" s="110" t="inlineStr">
        <is>
          <t>PIX CODI BANCO BRASIL</t>
        </is>
      </c>
      <c r="E595" s="111" t="n">
        <v>100</v>
      </c>
      <c r="F595" s="110" t="inlineStr">
        <is>
          <t>Vales e Adiantamentos</t>
        </is>
      </c>
      <c r="G595" s="110" t="inlineStr">
        <is>
          <t>A PAGAR</t>
        </is>
      </c>
    </row>
    <row r="596">
      <c r="B596" s="110" t="inlineStr">
        <is>
          <t>ROCHA DE MACEDO E FRANCO ADV</t>
        </is>
      </c>
      <c r="C596" s="109" t="n">
        <v>46272</v>
      </c>
      <c r="D596" s="110" t="inlineStr">
        <is>
          <t>PIX CODI BANCO BRASIL</t>
        </is>
      </c>
      <c r="E596" s="111" t="n">
        <v>2500</v>
      </c>
      <c r="F596" s="110" t="inlineStr">
        <is>
          <t>Advogados - Honorários</t>
        </is>
      </c>
      <c r="G596" s="110" t="inlineStr">
        <is>
          <t>A PAGAR</t>
        </is>
      </c>
    </row>
    <row r="597">
      <c r="B597" s="110" t="inlineStr">
        <is>
          <t>THAYS CAROLINE FINANCEIRO</t>
        </is>
      </c>
      <c r="C597" s="109" t="n">
        <v>46272</v>
      </c>
      <c r="D597" s="110" t="inlineStr">
        <is>
          <t>PIX CODI BANCO BRASIL</t>
        </is>
      </c>
      <c r="E597" s="111" t="n">
        <v>3500</v>
      </c>
      <c r="F597" s="110" t="inlineStr">
        <is>
          <t>Assessoria Técnica Profissional</t>
        </is>
      </c>
      <c r="G597" s="110" t="inlineStr">
        <is>
          <t>A PAGAR</t>
        </is>
      </c>
    </row>
    <row r="598">
      <c r="B598" s="110" t="inlineStr">
        <is>
          <t>AJUDA DE CUSTO - SEMANA</t>
        </is>
      </c>
      <c r="C598" s="109" t="n">
        <v>46272</v>
      </c>
      <c r="D598" s="110" t="inlineStr">
        <is>
          <t>CHEQUE - EMPRESA</t>
        </is>
      </c>
      <c r="E598" s="111" t="n">
        <v>600</v>
      </c>
      <c r="F598" s="110" t="inlineStr">
        <is>
          <t>Vale Transporte</t>
        </is>
      </c>
      <c r="G598" s="110" t="inlineStr">
        <is>
          <t>A PAGAR</t>
        </is>
      </c>
    </row>
    <row r="599">
      <c r="B599" s="110" t="inlineStr">
        <is>
          <t>NEOBRAND INDUSTRIA TEXTIL LTDA</t>
        </is>
      </c>
      <c r="C599" s="109" t="n">
        <v>46273</v>
      </c>
      <c r="D599" s="110" t="inlineStr">
        <is>
          <t>BOLETO BANCÁRIO</t>
        </is>
      </c>
      <c r="E599" s="111" t="n">
        <v>964</v>
      </c>
      <c r="F599" s="110" t="inlineStr">
        <is>
          <t>Aviamento</t>
        </is>
      </c>
      <c r="G599" s="110" t="inlineStr">
        <is>
          <t>A PAGAR</t>
        </is>
      </c>
    </row>
    <row r="600">
      <c r="B600" s="110" t="inlineStr">
        <is>
          <t>CAPRICORNIO TEXTIL</t>
        </is>
      </c>
      <c r="C600" s="109" t="n">
        <v>46273</v>
      </c>
      <c r="D600" s="110" t="inlineStr">
        <is>
          <t>BOLETO BANCÁRIO</t>
        </is>
      </c>
      <c r="E600" s="111" t="n">
        <v>2366.52</v>
      </c>
      <c r="F600" s="110" t="inlineStr">
        <is>
          <t>Tecidos</t>
        </is>
      </c>
      <c r="G600" s="110" t="inlineStr">
        <is>
          <t>A PAGAR</t>
        </is>
      </c>
    </row>
    <row r="601">
      <c r="B601" s="110" t="inlineStr">
        <is>
          <t>CAPRICORNIO TEXTIL</t>
        </is>
      </c>
      <c r="C601" s="109" t="n">
        <v>46273</v>
      </c>
      <c r="D601" s="110" t="inlineStr">
        <is>
          <t>BOLETO BANCÁRIO</t>
        </is>
      </c>
      <c r="E601" s="111" t="n">
        <v>14666.85</v>
      </c>
      <c r="F601" s="110" t="inlineStr">
        <is>
          <t>Tecidos</t>
        </is>
      </c>
      <c r="G601" s="110" t="inlineStr">
        <is>
          <t>A PAGAR</t>
        </is>
      </c>
    </row>
    <row r="602">
      <c r="B602" s="110" t="inlineStr">
        <is>
          <t>CAPRICORNIO TEXTIL</t>
        </is>
      </c>
      <c r="C602" s="109" t="n">
        <v>46273</v>
      </c>
      <c r="D602" s="110" t="inlineStr">
        <is>
          <t>BOLETO BANCÁRIO</t>
        </is>
      </c>
      <c r="E602" s="111" t="n">
        <v>2351.86</v>
      </c>
      <c r="F602" s="110" t="inlineStr">
        <is>
          <t>Tecidos</t>
        </is>
      </c>
      <c r="G602" s="110" t="inlineStr">
        <is>
          <t>A PAGAR</t>
        </is>
      </c>
    </row>
    <row r="603">
      <c r="B603" s="110" t="inlineStr">
        <is>
          <t>LIDER TECIDOS LIDERANCA COMERCIO LTDA</t>
        </is>
      </c>
      <c r="C603" s="109" t="n">
        <v>46275</v>
      </c>
      <c r="D603" s="110" t="inlineStr">
        <is>
          <t xml:space="preserve">CARTÃO DE CRÉDITO </t>
        </is>
      </c>
      <c r="E603" s="111" t="n">
        <v>3000</v>
      </c>
      <c r="F603" s="110" t="inlineStr">
        <is>
          <t>Tecidos</t>
        </is>
      </c>
      <c r="G603" s="110" t="inlineStr">
        <is>
          <t>A PAGAR</t>
        </is>
      </c>
    </row>
    <row r="604">
      <c r="B604" s="110" t="inlineStr">
        <is>
          <t>WIKI SISTEMAS</t>
        </is>
      </c>
      <c r="C604" s="109" t="n">
        <v>46275</v>
      </c>
      <c r="D604" s="110" t="inlineStr">
        <is>
          <t>BOLETO BANCÁRIO</t>
        </is>
      </c>
      <c r="E604" s="111" t="n">
        <v>1320</v>
      </c>
      <c r="F604" s="110" t="inlineStr">
        <is>
          <t>Web Site e Sistema ERP</t>
        </is>
      </c>
      <c r="G604" s="110" t="inlineStr">
        <is>
          <t>A PAGAR</t>
        </is>
      </c>
    </row>
    <row r="605">
      <c r="B605" s="110" t="inlineStr">
        <is>
          <t>ALUGUEL LORIVALDO</t>
        </is>
      </c>
      <c r="C605" s="109" t="n">
        <v>46275</v>
      </c>
      <c r="D605" s="110" t="inlineStr">
        <is>
          <t>PIX CODI BANCO BRASIL</t>
        </is>
      </c>
      <c r="E605" s="111" t="n">
        <v>6484</v>
      </c>
      <c r="F605" s="110" t="inlineStr">
        <is>
          <t>Aluguéis e Condomínios</t>
        </is>
      </c>
      <c r="G605" s="110" t="inlineStr">
        <is>
          <t>A PAGAR</t>
        </is>
      </c>
    </row>
    <row r="606">
      <c r="B606" s="110" t="inlineStr">
        <is>
          <t>CONSÓRCIO BANCO DO BRASIL</t>
        </is>
      </c>
      <c r="C606" s="109" t="n">
        <v>46275</v>
      </c>
      <c r="D606" s="110" t="inlineStr">
        <is>
          <t>TRANSFERÊNCIA</t>
        </is>
      </c>
      <c r="E606" s="111" t="n">
        <v>2055.6</v>
      </c>
      <c r="F606" s="110" t="inlineStr">
        <is>
          <t>Consórcio</t>
        </is>
      </c>
      <c r="G606" s="110" t="inlineStr">
        <is>
          <t>A PAGAR</t>
        </is>
      </c>
    </row>
    <row r="607">
      <c r="B607" s="110" t="inlineStr">
        <is>
          <t>LUCAS/ CONTADOR</t>
        </is>
      </c>
      <c r="C607" s="109" t="n">
        <v>46275</v>
      </c>
      <c r="D607" s="110" t="inlineStr">
        <is>
          <t>PIX CODI BANCO BRASIL</t>
        </is>
      </c>
      <c r="E607" s="111" t="n">
        <v>1100</v>
      </c>
      <c r="F607" s="110" t="inlineStr">
        <is>
          <t>Honorários Contábeis (Contabilidade)</t>
        </is>
      </c>
      <c r="G607" s="110" t="inlineStr">
        <is>
          <t>A PAGAR</t>
        </is>
      </c>
    </row>
    <row r="608">
      <c r="B608" s="110" t="inlineStr">
        <is>
          <t>LIDER TECIDOS LIDERANCA COMERCIO LTDA</t>
        </is>
      </c>
      <c r="C608" s="109" t="n">
        <v>46277</v>
      </c>
      <c r="D608" s="110" t="inlineStr">
        <is>
          <t xml:space="preserve">CHEQUE CLIENTE </t>
        </is>
      </c>
      <c r="E608" s="111" t="n">
        <v>1360</v>
      </c>
      <c r="F608" s="110" t="inlineStr">
        <is>
          <t>Tecidos</t>
        </is>
      </c>
      <c r="G608" s="110" t="inlineStr">
        <is>
          <t>A PAGAR</t>
        </is>
      </c>
    </row>
    <row r="609">
      <c r="B609" s="110" t="inlineStr">
        <is>
          <t>LIDER TECIDOS LIDERANCA COMERCIO LTDA</t>
        </is>
      </c>
      <c r="C609" s="109" t="n">
        <v>46277</v>
      </c>
      <c r="D609" s="110" t="inlineStr">
        <is>
          <t xml:space="preserve">CHEQUE CLIENTE </t>
        </is>
      </c>
      <c r="E609" s="111" t="n">
        <v>663</v>
      </c>
      <c r="F609" s="110" t="inlineStr">
        <is>
          <t>Tecidos</t>
        </is>
      </c>
      <c r="G609" s="110" t="inlineStr">
        <is>
          <t>A PAGAR</t>
        </is>
      </c>
    </row>
    <row r="610">
      <c r="B610" s="110" t="inlineStr">
        <is>
          <t>JOAO - CAPITAL DE GIRO</t>
        </is>
      </c>
      <c r="C610" s="109" t="n">
        <v>46277</v>
      </c>
      <c r="D610" s="110" t="inlineStr">
        <is>
          <t>CHEQUE - EMPRESA</t>
        </is>
      </c>
      <c r="E610" s="111" t="n">
        <v>4670</v>
      </c>
      <c r="F610" s="110" t="inlineStr">
        <is>
          <t>Tecidos</t>
        </is>
      </c>
      <c r="G610" s="110" t="inlineStr">
        <is>
          <t>A PAGAR</t>
        </is>
      </c>
    </row>
    <row r="611">
      <c r="B611" s="110" t="inlineStr">
        <is>
          <t>JOAO - CAPITAL DE GIRO</t>
        </is>
      </c>
      <c r="C611" s="109" t="n">
        <v>46277</v>
      </c>
      <c r="D611" s="110" t="inlineStr">
        <is>
          <t>CHEQUE - EMPRESA</t>
        </is>
      </c>
      <c r="E611" s="111" t="n">
        <v>4500</v>
      </c>
      <c r="F611" s="110" t="inlineStr">
        <is>
          <t>Tecidos</t>
        </is>
      </c>
      <c r="G611" s="110" t="inlineStr">
        <is>
          <t>A PAGAR</t>
        </is>
      </c>
    </row>
    <row r="612">
      <c r="B612" s="110" t="inlineStr">
        <is>
          <t>NEOBRAND INDUSTRIA TEXTIL LTDA</t>
        </is>
      </c>
      <c r="C612" s="109" t="n">
        <v>46278</v>
      </c>
      <c r="D612" s="110" t="inlineStr">
        <is>
          <t>BOLETO BANCÁRIO</t>
        </is>
      </c>
      <c r="E612" s="111" t="n">
        <v>748.66</v>
      </c>
      <c r="F612" s="110" t="inlineStr">
        <is>
          <t>Aviamento</t>
        </is>
      </c>
      <c r="G612" s="110" t="inlineStr">
        <is>
          <t>A PAGAR</t>
        </is>
      </c>
    </row>
    <row r="613">
      <c r="B613" s="110" t="inlineStr">
        <is>
          <t>WESLEY WK TEXTIL</t>
        </is>
      </c>
      <c r="C613" s="109" t="n">
        <v>46278</v>
      </c>
      <c r="D613" s="110" t="inlineStr">
        <is>
          <t>CHEQUE - EMPRESA</t>
        </is>
      </c>
      <c r="E613" s="111" t="n">
        <v>3600</v>
      </c>
      <c r="F613" s="110" t="inlineStr">
        <is>
          <t>Tecidos</t>
        </is>
      </c>
      <c r="G613" s="110" t="inlineStr">
        <is>
          <t>A PAGAR</t>
        </is>
      </c>
    </row>
    <row r="614">
      <c r="B614" s="110" t="inlineStr">
        <is>
          <t>LIDER TECIDOS LIDERANCA COMERCIO LTDA</t>
        </is>
      </c>
      <c r="C614" s="109" t="n">
        <v>46279</v>
      </c>
      <c r="D614" s="110" t="inlineStr">
        <is>
          <t xml:space="preserve">CHEQUE CLIENTE </t>
        </is>
      </c>
      <c r="E614" s="111" t="n">
        <v>1750</v>
      </c>
      <c r="F614" s="110" t="inlineStr">
        <is>
          <t>Tecidos</t>
        </is>
      </c>
      <c r="G614" s="110" t="inlineStr">
        <is>
          <t>A PAGAR</t>
        </is>
      </c>
    </row>
    <row r="615">
      <c r="B615" s="110" t="inlineStr">
        <is>
          <t>LUIZ GUSTAVO SANTANA</t>
        </is>
      </c>
      <c r="C615" s="109" t="n">
        <v>46279</v>
      </c>
      <c r="D615" s="110" t="inlineStr">
        <is>
          <t>PIX CODI BANCO BRASIL</t>
        </is>
      </c>
      <c r="E615" s="111" t="n">
        <v>100</v>
      </c>
      <c r="F615" s="110" t="inlineStr">
        <is>
          <t>Vales e Adiantamentos</t>
        </is>
      </c>
      <c r="G615" s="110" t="inlineStr">
        <is>
          <t>A PAGAR</t>
        </is>
      </c>
    </row>
    <row r="616">
      <c r="B616" s="110" t="inlineStr">
        <is>
          <t>AJUDA DE CUSTO - SEMANA</t>
        </is>
      </c>
      <c r="C616" s="109" t="n">
        <v>46279</v>
      </c>
      <c r="D616" s="110" t="inlineStr">
        <is>
          <t>CHEQUE - EMPRESA</t>
        </is>
      </c>
      <c r="E616" s="111" t="n">
        <v>600</v>
      </c>
      <c r="F616" s="110" t="inlineStr">
        <is>
          <t>Vale Transporte</t>
        </is>
      </c>
      <c r="G616" s="110" t="inlineStr">
        <is>
          <t>A PAGAR</t>
        </is>
      </c>
    </row>
    <row r="617">
      <c r="B617" s="110" t="inlineStr">
        <is>
          <t>SERASA</t>
        </is>
      </c>
      <c r="C617" s="109" t="n">
        <v>46280</v>
      </c>
      <c r="D617" s="110" t="inlineStr">
        <is>
          <t>BOLETO BANCÁRIO</t>
        </is>
      </c>
      <c r="E617" s="111" t="n">
        <v>350</v>
      </c>
      <c r="F617" s="110" t="inlineStr">
        <is>
          <t>Consulta de Crédito Cliente</t>
        </is>
      </c>
      <c r="G617" s="110" t="inlineStr">
        <is>
          <t>A PAGAR</t>
        </is>
      </c>
    </row>
    <row r="618">
      <c r="B618" s="110" t="inlineStr">
        <is>
          <t>LAVANDERIA AMAZONAS - LEONARDO</t>
        </is>
      </c>
      <c r="C618" s="109" t="n">
        <v>46281</v>
      </c>
      <c r="D618" s="110" t="inlineStr">
        <is>
          <t xml:space="preserve">CHEQUE CLIENTE </t>
        </is>
      </c>
      <c r="E618" s="111" t="n">
        <v>1320</v>
      </c>
      <c r="F618" s="110" t="inlineStr">
        <is>
          <t>Lavanderia</t>
        </is>
      </c>
      <c r="G618" s="110" t="inlineStr">
        <is>
          <t>A PAGAR</t>
        </is>
      </c>
    </row>
    <row r="619">
      <c r="B619" s="110" t="inlineStr">
        <is>
          <t>PORTO SEGURO CIA DE SEGUROS GERAIS</t>
        </is>
      </c>
      <c r="C619" s="109" t="n">
        <v>46281</v>
      </c>
      <c r="D619" s="110" t="inlineStr">
        <is>
          <t>CARTÃO DE CRÉDITO</t>
        </is>
      </c>
      <c r="E619" s="111" t="n">
        <v>928.14</v>
      </c>
      <c r="F619" s="110" t="inlineStr">
        <is>
          <t>Seguros</t>
        </is>
      </c>
      <c r="G619" s="110" t="inlineStr">
        <is>
          <t>A PAGAR</t>
        </is>
      </c>
    </row>
    <row r="620">
      <c r="B620" s="110" t="inlineStr">
        <is>
          <t>LIDER TECIDOS LIDERANCA COMERCIO LTDA</t>
        </is>
      </c>
      <c r="C620" s="109" t="n">
        <v>46281</v>
      </c>
      <c r="D620" s="110" t="inlineStr">
        <is>
          <t>CHEQUE CLIENTE</t>
        </is>
      </c>
      <c r="E620" s="111" t="n">
        <v>1320</v>
      </c>
      <c r="F620" s="110" t="inlineStr">
        <is>
          <t>Tecidos</t>
        </is>
      </c>
      <c r="G620" s="110" t="inlineStr">
        <is>
          <t>A PAGAR</t>
        </is>
      </c>
    </row>
    <row r="621">
      <c r="B621" s="110" t="inlineStr">
        <is>
          <t>CAPRICORNIO TEXTIL</t>
        </is>
      </c>
      <c r="C621" s="109" t="n">
        <v>46283</v>
      </c>
      <c r="D621" s="110" t="inlineStr">
        <is>
          <t>BOLETO BANCÁRIO</t>
        </is>
      </c>
      <c r="E621" s="111" t="n">
        <v>2444.76</v>
      </c>
      <c r="F621" s="110" t="inlineStr">
        <is>
          <t>Tecidos</t>
        </is>
      </c>
      <c r="G621" s="110" t="inlineStr">
        <is>
          <t>A PAGAR</t>
        </is>
      </c>
    </row>
    <row r="622">
      <c r="B622" s="110" t="inlineStr">
        <is>
          <t xml:space="preserve">MBM LAVANDERIA </t>
        </is>
      </c>
      <c r="C622" s="109" t="n">
        <v>46283</v>
      </c>
      <c r="D622" s="110" t="inlineStr">
        <is>
          <t>CHEQUE - EMPRESA</t>
        </is>
      </c>
      <c r="E622" s="111" t="n">
        <v>2600</v>
      </c>
      <c r="F622" s="110" t="inlineStr">
        <is>
          <t>Lavanderia</t>
        </is>
      </c>
      <c r="G622" s="110" t="inlineStr">
        <is>
          <t>A PAGAR</t>
        </is>
      </c>
    </row>
    <row r="623">
      <c r="B623" s="110" t="inlineStr">
        <is>
          <t>LAVANDERIA AMAZONAS - LEONARDO</t>
        </is>
      </c>
      <c r="C623" s="109" t="n">
        <v>46283</v>
      </c>
      <c r="D623" s="110" t="inlineStr">
        <is>
          <t>CHEQUE - EMPRESA</t>
        </is>
      </c>
      <c r="E623" s="111" t="n">
        <v>554</v>
      </c>
      <c r="F623" s="110" t="inlineStr">
        <is>
          <t>Lavanderia</t>
        </is>
      </c>
      <c r="G623" s="110" t="inlineStr">
        <is>
          <t>A PAGAR</t>
        </is>
      </c>
    </row>
    <row r="624">
      <c r="B624" s="110" t="inlineStr">
        <is>
          <t>ROMERONDES - LAVANDERIA</t>
        </is>
      </c>
      <c r="C624" s="109" t="n">
        <v>46283</v>
      </c>
      <c r="D624" s="110" t="inlineStr">
        <is>
          <t>CHEQUE - EMPRESA</t>
        </is>
      </c>
      <c r="E624" s="111" t="n">
        <v>3600</v>
      </c>
      <c r="F624" s="110" t="inlineStr">
        <is>
          <t>Lavanderia</t>
        </is>
      </c>
      <c r="G624" s="110" t="inlineStr">
        <is>
          <t>A PAGAR</t>
        </is>
      </c>
    </row>
    <row r="625">
      <c r="B625" s="110" t="inlineStr">
        <is>
          <t>ALVO TEXTIL LTDA</t>
        </is>
      </c>
      <c r="C625" s="109" t="n">
        <v>46283</v>
      </c>
      <c r="D625" s="110" t="inlineStr">
        <is>
          <t>CHEQUE - EMPRESA</t>
        </is>
      </c>
      <c r="E625" s="111" t="n">
        <v>4980</v>
      </c>
      <c r="F625" s="110" t="inlineStr">
        <is>
          <t>Tecidos</t>
        </is>
      </c>
      <c r="G625" s="110" t="inlineStr">
        <is>
          <t>A PAGAR</t>
        </is>
      </c>
    </row>
    <row r="626">
      <c r="B626" s="110" t="inlineStr">
        <is>
          <t>VINNTAGE LAVANDERIA - PABLO</t>
        </is>
      </c>
      <c r="C626" s="109" t="n">
        <v>46283</v>
      </c>
      <c r="D626" s="110" t="inlineStr">
        <is>
          <t>CHEQUE - EMPRESA</t>
        </is>
      </c>
      <c r="E626" s="111" t="n">
        <v>1730.1</v>
      </c>
      <c r="F626" s="110" t="inlineStr">
        <is>
          <t>Lavanderia</t>
        </is>
      </c>
      <c r="G626" s="110" t="inlineStr">
        <is>
          <t>A PAGAR</t>
        </is>
      </c>
    </row>
    <row r="627">
      <c r="B627" s="110" t="inlineStr">
        <is>
          <t>WESLEY WK TEXTIL</t>
        </is>
      </c>
      <c r="C627" s="109" t="n">
        <v>46283</v>
      </c>
      <c r="D627" s="110" t="inlineStr">
        <is>
          <t>CHEQUE CLIENTE</t>
        </is>
      </c>
      <c r="E627" s="111" t="n">
        <v>2975</v>
      </c>
      <c r="F627" s="110" t="inlineStr">
        <is>
          <t>Tecidos</t>
        </is>
      </c>
      <c r="G627" s="110" t="inlineStr">
        <is>
          <t>A PAGAR</t>
        </is>
      </c>
    </row>
    <row r="628">
      <c r="B628" s="110" t="inlineStr">
        <is>
          <t>IMPOSTO CODI</t>
        </is>
      </c>
      <c r="C628" s="109" t="n">
        <v>46285</v>
      </c>
      <c r="D628" s="110" t="inlineStr">
        <is>
          <t>BOLETO BANCÁRIO</t>
        </is>
      </c>
      <c r="E628" s="111" t="n">
        <v>15000</v>
      </c>
      <c r="F628" s="110" t="inlineStr">
        <is>
          <t xml:space="preserve">PFROVISÃO CODI JEANS </t>
        </is>
      </c>
      <c r="G628" s="110" t="inlineStr">
        <is>
          <t>A PAGAR</t>
        </is>
      </c>
    </row>
    <row r="629">
      <c r="B629" s="110" t="inlineStr">
        <is>
          <t xml:space="preserve">AILTON TORRES FERREIRA - CORTADOR </t>
        </is>
      </c>
      <c r="C629" s="109" t="n">
        <v>46285</v>
      </c>
      <c r="D629" s="110" t="inlineStr">
        <is>
          <t>PIX CODI BANCO BRASIL</t>
        </is>
      </c>
      <c r="E629" s="111" t="n">
        <v>550</v>
      </c>
      <c r="F629" s="110" t="inlineStr">
        <is>
          <t>Acertos e Recisões</t>
        </is>
      </c>
      <c r="G629" s="110" t="inlineStr">
        <is>
          <t>A PAGAR</t>
        </is>
      </c>
    </row>
    <row r="630">
      <c r="B630" s="110" t="inlineStr">
        <is>
          <t xml:space="preserve">JOSÉ HAMILTON FERREIRA - CORTADOR  </t>
        </is>
      </c>
      <c r="C630" s="109" t="n">
        <v>46285</v>
      </c>
      <c r="D630" s="110" t="inlineStr">
        <is>
          <t>PIX CODI BANCO BRASIL</t>
        </is>
      </c>
      <c r="E630" s="111" t="n">
        <v>500</v>
      </c>
      <c r="F630" s="110" t="inlineStr">
        <is>
          <t>Acertos e Recisões</t>
        </is>
      </c>
      <c r="G630" s="110" t="inlineStr">
        <is>
          <t>A PAGAR</t>
        </is>
      </c>
    </row>
    <row r="631">
      <c r="B631" s="110" t="inlineStr">
        <is>
          <t>ADRIANA CARDOSO DA SILVA - VENDAS</t>
        </is>
      </c>
      <c r="C631" s="109" t="n">
        <v>46285</v>
      </c>
      <c r="D631" s="110" t="inlineStr">
        <is>
          <t>PIX CODI BANCO BRASIL</t>
        </is>
      </c>
      <c r="E631" s="111" t="n">
        <v>200</v>
      </c>
      <c r="F631" s="110" t="inlineStr">
        <is>
          <t>Vales e Adiantamentos</t>
        </is>
      </c>
      <c r="G631" s="110" t="inlineStr">
        <is>
          <t>A PAGAR</t>
        </is>
      </c>
    </row>
    <row r="632">
      <c r="B632" s="110" t="inlineStr">
        <is>
          <t>OI INTERNET</t>
        </is>
      </c>
      <c r="C632" s="109" t="n">
        <v>46285</v>
      </c>
      <c r="D632" s="110" t="inlineStr">
        <is>
          <t>BOLETO BANCÁRIO</t>
        </is>
      </c>
      <c r="E632" s="111" t="n">
        <v>130</v>
      </c>
      <c r="F632" s="110" t="inlineStr">
        <is>
          <t>Telefonia Fixa e Internet</t>
        </is>
      </c>
      <c r="G632" s="110" t="inlineStr">
        <is>
          <t>A PAGAR</t>
        </is>
      </c>
    </row>
    <row r="633">
      <c r="B633" s="110" t="inlineStr">
        <is>
          <t>WOZ COMUNICAÇÃO</t>
        </is>
      </c>
      <c r="C633" s="109" t="n">
        <v>46285</v>
      </c>
      <c r="D633" s="110" t="inlineStr">
        <is>
          <t>PIX CODI BANCO BRASIL</t>
        </is>
      </c>
      <c r="E633" s="111" t="n">
        <v>499.4</v>
      </c>
      <c r="F633" s="110" t="inlineStr">
        <is>
          <t>SITE</t>
        </is>
      </c>
      <c r="G633" s="110" t="inlineStr">
        <is>
          <t>A PAGAR</t>
        </is>
      </c>
    </row>
    <row r="634">
      <c r="B634" s="110" t="inlineStr">
        <is>
          <t>TOP BRASIL SEGURADORA</t>
        </is>
      </c>
      <c r="C634" s="109" t="n">
        <v>46285</v>
      </c>
      <c r="D634" s="110" t="inlineStr">
        <is>
          <t>BOLETO BANCÁRIO</t>
        </is>
      </c>
      <c r="E634" s="111" t="n">
        <v>270</v>
      </c>
      <c r="F634" s="110" t="inlineStr">
        <is>
          <t>Seguros</t>
        </is>
      </c>
      <c r="G634" s="110" t="inlineStr">
        <is>
          <t>A PAGAR</t>
        </is>
      </c>
    </row>
    <row r="635">
      <c r="B635" s="110" t="inlineStr">
        <is>
          <t>CRISLANDIA DA SILVA SOUSA - ESTOQUE</t>
        </is>
      </c>
      <c r="C635" s="109" t="n">
        <v>46285</v>
      </c>
      <c r="D635" s="110" t="inlineStr">
        <is>
          <t>PIX CODI BANCO BRASIL</t>
        </is>
      </c>
      <c r="E635" s="111" t="n">
        <v>300</v>
      </c>
      <c r="F635" s="110" t="inlineStr">
        <is>
          <t>Vales e Adiantamentos</t>
        </is>
      </c>
      <c r="G635" s="110" t="inlineStr">
        <is>
          <t>A PAGAR</t>
        </is>
      </c>
    </row>
    <row r="636">
      <c r="B636" s="110" t="inlineStr">
        <is>
          <t>GABY FERREIRA - VENDAS</t>
        </is>
      </c>
      <c r="C636" s="109" t="n">
        <v>46285</v>
      </c>
      <c r="D636" s="110" t="inlineStr">
        <is>
          <t>PIX CODI BANCO BRASIL</t>
        </is>
      </c>
      <c r="E636" s="111" t="n">
        <v>400</v>
      </c>
      <c r="F636" s="110" t="inlineStr">
        <is>
          <t>Vales e Adiantamentos</t>
        </is>
      </c>
      <c r="G636" s="110" t="inlineStr">
        <is>
          <t>A PAGAR</t>
        </is>
      </c>
    </row>
    <row r="637">
      <c r="B637" s="110" t="inlineStr">
        <is>
          <t>JHULLYA STEFANLY SOUZA REZENDE</t>
        </is>
      </c>
      <c r="C637" s="109" t="n">
        <v>46285</v>
      </c>
      <c r="D637" s="110" t="inlineStr">
        <is>
          <t>PIX CODI BANCO BRASIL</t>
        </is>
      </c>
      <c r="E637" s="111" t="n">
        <v>500</v>
      </c>
      <c r="F637" s="110" t="inlineStr">
        <is>
          <t>Vales e Adiantamentos</t>
        </is>
      </c>
      <c r="G637" s="110" t="inlineStr">
        <is>
          <t>A PAGAR</t>
        </is>
      </c>
    </row>
    <row r="638">
      <c r="B638" s="110" t="inlineStr">
        <is>
          <t>CAPITAL GIRO SANTANDER ALV PJ</t>
        </is>
      </c>
      <c r="C638" s="109" t="n">
        <v>46285</v>
      </c>
      <c r="D638" s="110" t="inlineStr">
        <is>
          <t>TRANSFERÊNCIA</t>
        </is>
      </c>
      <c r="E638" s="111" t="n">
        <v>2088</v>
      </c>
      <c r="F638" s="110" t="inlineStr">
        <is>
          <t>Empréstimos</t>
        </is>
      </c>
      <c r="G638" s="110" t="inlineStr">
        <is>
          <t>A PAGAR</t>
        </is>
      </c>
    </row>
    <row r="639">
      <c r="B639" s="110" t="inlineStr">
        <is>
          <t>AILTON TORRES FERREIRA - CORTADOR</t>
        </is>
      </c>
      <c r="C639" s="109" t="n">
        <v>46285</v>
      </c>
      <c r="D639" s="110" t="inlineStr">
        <is>
          <t>PIX CODI BANCO BRASIL</t>
        </is>
      </c>
      <c r="E639" s="111" t="n">
        <v>550</v>
      </c>
      <c r="F639" s="110" t="inlineStr">
        <is>
          <t>Vales e Adiantamentos</t>
        </is>
      </c>
      <c r="G639" s="110" t="inlineStr">
        <is>
          <t>A PAGAR</t>
        </is>
      </c>
    </row>
    <row r="640">
      <c r="B640" s="110" t="inlineStr">
        <is>
          <t>GUARD SERVICE LTDA</t>
        </is>
      </c>
      <c r="C640" s="109" t="n">
        <v>46285</v>
      </c>
      <c r="D640" s="110" t="inlineStr">
        <is>
          <t>BOLETO BANCÁRIO</t>
        </is>
      </c>
      <c r="E640" s="111" t="n">
        <v>248</v>
      </c>
      <c r="F640" s="110" t="inlineStr">
        <is>
          <t>Segurança e Monitoramento</t>
        </is>
      </c>
      <c r="G640" s="110" t="inlineStr">
        <is>
          <t>A PAGAR</t>
        </is>
      </c>
    </row>
    <row r="641">
      <c r="B641" s="110" t="inlineStr">
        <is>
          <t>WOZ COMUNICAÇÃO</t>
        </is>
      </c>
      <c r="C641" s="109" t="n">
        <v>46285</v>
      </c>
      <c r="D641" s="110" t="inlineStr">
        <is>
          <t>PIX CODI BANCO BRASIL</t>
        </is>
      </c>
      <c r="E641" s="111" t="n">
        <v>2147</v>
      </c>
      <c r="F641" s="110" t="inlineStr">
        <is>
          <t>SOCIAL MIDIA</t>
        </is>
      </c>
      <c r="G641" s="110" t="inlineStr">
        <is>
          <t>A PAGAR</t>
        </is>
      </c>
    </row>
    <row r="642">
      <c r="B642" s="110" t="inlineStr">
        <is>
          <t>WESLEY WK TEXTIL</t>
        </is>
      </c>
      <c r="C642" s="109" t="n">
        <v>46285</v>
      </c>
      <c r="D642" s="110" t="inlineStr">
        <is>
          <t>CHEQUE - EMPRESA</t>
        </is>
      </c>
      <c r="E642" s="111" t="n">
        <v>2700</v>
      </c>
      <c r="F642" s="110" t="inlineStr">
        <is>
          <t>Tecidos</t>
        </is>
      </c>
      <c r="G642" s="110" t="inlineStr">
        <is>
          <t>A PAGAR</t>
        </is>
      </c>
    </row>
    <row r="643">
      <c r="B643" s="110" t="inlineStr">
        <is>
          <t>DELVACY PEREIRA SILVA - G ESTOQUE</t>
        </is>
      </c>
      <c r="C643" s="109" t="n">
        <v>46285</v>
      </c>
      <c r="D643" s="110" t="inlineStr">
        <is>
          <t>PIX CODI BANCO BRASIL</t>
        </is>
      </c>
      <c r="E643" s="111" t="n">
        <v>300</v>
      </c>
      <c r="F643" s="110" t="inlineStr">
        <is>
          <t>Vales e Adiantamentos</t>
        </is>
      </c>
      <c r="G643" s="110" t="inlineStr">
        <is>
          <t>A PAGAR</t>
        </is>
      </c>
    </row>
    <row r="644">
      <c r="B644" s="110" t="inlineStr">
        <is>
          <t>JOSÉ HAMILTON FERREIRA - CORTADOR</t>
        </is>
      </c>
      <c r="C644" s="109" t="n">
        <v>46285</v>
      </c>
      <c r="D644" s="110" t="inlineStr">
        <is>
          <t>PIX CODI BANCO BRASIL</t>
        </is>
      </c>
      <c r="E644" s="111" t="n">
        <v>500</v>
      </c>
      <c r="F644" s="110" t="inlineStr">
        <is>
          <t>Vales e Adiantamentos</t>
        </is>
      </c>
      <c r="G644" s="110" t="inlineStr">
        <is>
          <t>A PAGAR</t>
        </is>
      </c>
    </row>
    <row r="645">
      <c r="B645" s="110" t="inlineStr">
        <is>
          <t>LUIZ GUSTAVO SANTANA</t>
        </is>
      </c>
      <c r="C645" s="109" t="n">
        <v>46286</v>
      </c>
      <c r="D645" s="110" t="inlineStr">
        <is>
          <t>PIX CODI BANCO BRASIL</t>
        </is>
      </c>
      <c r="E645" s="111" t="n">
        <v>100</v>
      </c>
      <c r="F645" s="110" t="inlineStr">
        <is>
          <t>Vales e Adiantamentos</t>
        </is>
      </c>
      <c r="G645" s="110" t="inlineStr">
        <is>
          <t>A PAGAR</t>
        </is>
      </c>
    </row>
    <row r="646">
      <c r="B646" s="110" t="inlineStr">
        <is>
          <t>WESLEY WK TEXTIL</t>
        </is>
      </c>
      <c r="C646" s="109" t="n">
        <v>46286</v>
      </c>
      <c r="D646" s="110" t="inlineStr">
        <is>
          <t>CHEQUE - EMPRESA</t>
        </is>
      </c>
      <c r="E646" s="111" t="n">
        <v>3693</v>
      </c>
      <c r="F646" s="110" t="inlineStr">
        <is>
          <t>Tecidos</t>
        </is>
      </c>
      <c r="G646" s="110" t="inlineStr">
        <is>
          <t>A PAGAR</t>
        </is>
      </c>
    </row>
    <row r="647">
      <c r="B647" s="110" t="inlineStr">
        <is>
          <t>AJUDA DE CUSTO - SEMANA</t>
        </is>
      </c>
      <c r="C647" s="109" t="n">
        <v>46286</v>
      </c>
      <c r="D647" s="110" t="inlineStr">
        <is>
          <t>CHEQUE - EMPRESA</t>
        </is>
      </c>
      <c r="E647" s="111" t="n">
        <v>600</v>
      </c>
      <c r="F647" s="110" t="inlineStr">
        <is>
          <t>Vale Transporte</t>
        </is>
      </c>
      <c r="G647" s="110" t="inlineStr">
        <is>
          <t>A PAGAR</t>
        </is>
      </c>
    </row>
    <row r="648">
      <c r="B648" s="110" t="inlineStr">
        <is>
          <t>BANCO ITAU</t>
        </is>
      </c>
      <c r="C648" s="109" t="n">
        <v>46286</v>
      </c>
      <c r="D648" s="110" t="inlineStr">
        <is>
          <t>TRANSFERÊNCIA</t>
        </is>
      </c>
      <c r="E648" s="111" t="n">
        <v>42329</v>
      </c>
      <c r="F648" s="110" t="inlineStr">
        <is>
          <t>Empréstimos</t>
        </is>
      </c>
      <c r="G648" s="110" t="inlineStr">
        <is>
          <t>A PAGAR</t>
        </is>
      </c>
    </row>
    <row r="649">
      <c r="B649" s="110" t="inlineStr">
        <is>
          <t>CAPRICORNIO TEXTIL</t>
        </is>
      </c>
      <c r="C649" s="109" t="n">
        <v>46287</v>
      </c>
      <c r="D649" s="110" t="inlineStr">
        <is>
          <t>BOLETO BANCÁRIO</t>
        </is>
      </c>
      <c r="E649" s="111" t="n">
        <v>977.9</v>
      </c>
      <c r="F649" s="110" t="inlineStr">
        <is>
          <t>Tecidos</t>
        </is>
      </c>
      <c r="G649" s="110" t="inlineStr">
        <is>
          <t>A PAGAR</t>
        </is>
      </c>
    </row>
    <row r="650">
      <c r="B650" s="110" t="inlineStr">
        <is>
          <t>BANCO ITAU/PESSOA FISICA</t>
        </is>
      </c>
      <c r="C650" s="109" t="n">
        <v>46287</v>
      </c>
      <c r="D650" s="110" t="inlineStr">
        <is>
          <t>TRANSFERÊNCIA</t>
        </is>
      </c>
      <c r="E650" s="111" t="n">
        <v>12013.66</v>
      </c>
      <c r="F650" s="110" t="inlineStr">
        <is>
          <t>Títulos de Capitalização</t>
        </is>
      </c>
      <c r="G650" s="110" t="inlineStr">
        <is>
          <t>A PAGAR</t>
        </is>
      </c>
    </row>
    <row r="651">
      <c r="B651" s="110" t="inlineStr">
        <is>
          <t>ALVO TEXTIL LTDA</t>
        </is>
      </c>
      <c r="C651" s="109" t="n">
        <v>46287</v>
      </c>
      <c r="D651" s="110" t="inlineStr">
        <is>
          <t>CHEQUE - EMPRESA</t>
        </is>
      </c>
      <c r="E651" s="111" t="n">
        <v>4980</v>
      </c>
      <c r="F651" s="110" t="inlineStr">
        <is>
          <t>Tecidos</t>
        </is>
      </c>
      <c r="G651" s="110" t="inlineStr">
        <is>
          <t>A PAGAR</t>
        </is>
      </c>
    </row>
    <row r="652">
      <c r="B652" s="110" t="inlineStr">
        <is>
          <t>BLESSED LAVANDERIA</t>
        </is>
      </c>
      <c r="C652" s="109" t="n">
        <v>46288</v>
      </c>
      <c r="D652" s="110" t="inlineStr">
        <is>
          <t>CHEQUE - EMPRESA</t>
        </is>
      </c>
      <c r="E652" s="111" t="n">
        <v>2992</v>
      </c>
      <c r="F652" s="110" t="inlineStr">
        <is>
          <t>Lavanderia</t>
        </is>
      </c>
      <c r="G652" s="110" t="inlineStr">
        <is>
          <t>A PAGAR</t>
        </is>
      </c>
    </row>
    <row r="653">
      <c r="B653" s="110" t="inlineStr">
        <is>
          <t>SHEILA ETIQUETAS</t>
        </is>
      </c>
      <c r="C653" s="109" t="n">
        <v>46288</v>
      </c>
      <c r="D653" s="110" t="inlineStr">
        <is>
          <t>CHEQUE - EMPRESA</t>
        </is>
      </c>
      <c r="E653" s="111" t="n">
        <v>2100</v>
      </c>
      <c r="F653" s="110" t="inlineStr">
        <is>
          <t>Etiquetas</t>
        </is>
      </c>
      <c r="G653" s="110" t="inlineStr">
        <is>
          <t>A PAGAR</t>
        </is>
      </c>
    </row>
    <row r="654">
      <c r="B654" s="110" t="inlineStr">
        <is>
          <t>CAPITAL GIRO ITAU PF CLEITON</t>
        </is>
      </c>
      <c r="C654" s="109" t="n">
        <v>46288</v>
      </c>
      <c r="D654" s="110" t="inlineStr">
        <is>
          <t>TRANSFERÊNCIA</t>
        </is>
      </c>
      <c r="E654" s="111" t="n">
        <v>12445.02</v>
      </c>
      <c r="F654" s="110" t="inlineStr">
        <is>
          <t>Títulos de Capitalização</t>
        </is>
      </c>
      <c r="G654" s="110" t="inlineStr">
        <is>
          <t>A PAGAR</t>
        </is>
      </c>
    </row>
    <row r="655">
      <c r="B655" s="110" t="inlineStr">
        <is>
          <t>LIDER TECIDOS LIDERANCA COMERCIO LTDA</t>
        </is>
      </c>
      <c r="C655" s="109" t="n">
        <v>46289</v>
      </c>
      <c r="D655" s="110" t="inlineStr">
        <is>
          <t>CHEQUE - EMPRESA</t>
        </is>
      </c>
      <c r="E655" s="111" t="n">
        <v>4669</v>
      </c>
      <c r="F655" s="110" t="inlineStr">
        <is>
          <t>Tecidos</t>
        </is>
      </c>
      <c r="G655" s="110" t="inlineStr">
        <is>
          <t>A PAGAR</t>
        </is>
      </c>
    </row>
    <row r="656">
      <c r="B656" s="110" t="inlineStr">
        <is>
          <t xml:space="preserve">PABLO - LAVANDERIA </t>
        </is>
      </c>
      <c r="C656" s="109" t="n">
        <v>46289</v>
      </c>
      <c r="D656" s="110" t="inlineStr">
        <is>
          <t>CHEQUE - EMPRESA</t>
        </is>
      </c>
      <c r="E656" s="111" t="n">
        <v>2000</v>
      </c>
      <c r="F656" s="110" t="inlineStr">
        <is>
          <t>Lavanderia</t>
        </is>
      </c>
      <c r="G656" s="110" t="inlineStr">
        <is>
          <t>A PAGAR</t>
        </is>
      </c>
    </row>
    <row r="657">
      <c r="B657" s="110" t="inlineStr">
        <is>
          <t>CAPITAL GIRO ITAU CODI.COM PJ</t>
        </is>
      </c>
      <c r="C657" s="109" t="n">
        <v>46289</v>
      </c>
      <c r="D657" s="110" t="inlineStr">
        <is>
          <t>TRANSFERÊNCIA</t>
        </is>
      </c>
      <c r="E657" s="111" t="n">
        <v>6000</v>
      </c>
      <c r="F657" s="110" t="inlineStr">
        <is>
          <t>Empréstimos</t>
        </is>
      </c>
      <c r="G657" s="110" t="inlineStr">
        <is>
          <t>A PAGAR</t>
        </is>
      </c>
    </row>
    <row r="658">
      <c r="B658" s="110" t="inlineStr">
        <is>
          <t>LIDER TECIDOS LIDERANCA COMERCIO LTDA</t>
        </is>
      </c>
      <c r="C658" s="109" t="n">
        <v>46290</v>
      </c>
      <c r="D658" s="110" t="inlineStr">
        <is>
          <t xml:space="preserve">CHEQUE CLIENTE </t>
        </is>
      </c>
      <c r="E658" s="111" t="n">
        <v>475.7</v>
      </c>
      <c r="F658" s="110" t="inlineStr">
        <is>
          <t>Tecidos</t>
        </is>
      </c>
      <c r="G658" s="110" t="inlineStr">
        <is>
          <t>A PAGAR</t>
        </is>
      </c>
    </row>
    <row r="659">
      <c r="B659" s="110" t="inlineStr">
        <is>
          <t>CAPRICORNIO TEXTIL</t>
        </is>
      </c>
      <c r="C659" s="109" t="n">
        <v>46290</v>
      </c>
      <c r="D659" s="110" t="inlineStr">
        <is>
          <t>BOLETO BANCÁRIO</t>
        </is>
      </c>
      <c r="E659" s="111" t="n">
        <v>3315.09</v>
      </c>
      <c r="F659" s="110" t="inlineStr">
        <is>
          <t>Tecidos</t>
        </is>
      </c>
      <c r="G659" s="110" t="inlineStr">
        <is>
          <t>A PAGAR</t>
        </is>
      </c>
    </row>
    <row r="660">
      <c r="B660" s="110" t="inlineStr">
        <is>
          <t>CAPRICORNIO TEXTIL</t>
        </is>
      </c>
      <c r="C660" s="109" t="n">
        <v>46290</v>
      </c>
      <c r="D660" s="110" t="inlineStr">
        <is>
          <t>BOLETO BANCÁRIO</t>
        </is>
      </c>
      <c r="E660" s="111" t="n">
        <v>1457.07</v>
      </c>
      <c r="F660" s="110" t="inlineStr">
        <is>
          <t>Tecidos</t>
        </is>
      </c>
      <c r="G660" s="110" t="inlineStr">
        <is>
          <t>A PAGAR</t>
        </is>
      </c>
    </row>
    <row r="661">
      <c r="B661" s="110" t="inlineStr">
        <is>
          <t>SHEILA ETIQUETAS</t>
        </is>
      </c>
      <c r="C661" s="109" t="n">
        <v>46290</v>
      </c>
      <c r="D661" s="110" t="inlineStr">
        <is>
          <t>CHEQUE CLIENTE</t>
        </is>
      </c>
      <c r="E661" s="111" t="n">
        <v>1471</v>
      </c>
      <c r="F661" s="110" t="inlineStr">
        <is>
          <t>Etiquetas</t>
        </is>
      </c>
      <c r="G661" s="110" t="inlineStr">
        <is>
          <t>A PAGAR</t>
        </is>
      </c>
    </row>
    <row r="662">
      <c r="B662" s="110" t="inlineStr">
        <is>
          <t>ALVO TEXTIL LTDA</t>
        </is>
      </c>
      <c r="C662" s="109" t="n">
        <v>46291</v>
      </c>
      <c r="D662" s="110" t="inlineStr">
        <is>
          <t>CHEQUE - EMPRESA</t>
        </is>
      </c>
      <c r="E662" s="111" t="n">
        <v>4720</v>
      </c>
      <c r="F662" s="110" t="inlineStr">
        <is>
          <t>Tecidos</t>
        </is>
      </c>
      <c r="G662" s="110" t="inlineStr">
        <is>
          <t>A PAGAR</t>
        </is>
      </c>
    </row>
    <row r="663">
      <c r="B663" s="110" t="inlineStr">
        <is>
          <t>SHEILA ETIQUETAS</t>
        </is>
      </c>
      <c r="C663" s="109" t="n">
        <v>46291</v>
      </c>
      <c r="D663" s="110" t="inlineStr">
        <is>
          <t>BOLETO BANCÁRIO</t>
        </is>
      </c>
      <c r="E663" s="111" t="n">
        <v>349.56</v>
      </c>
      <c r="F663" s="110" t="inlineStr">
        <is>
          <t>Aviamento</t>
        </is>
      </c>
      <c r="G663" s="110" t="inlineStr">
        <is>
          <t>A PAGAR</t>
        </is>
      </c>
    </row>
    <row r="664">
      <c r="B664" s="110" t="inlineStr">
        <is>
          <t>BLESSED LAVANDERIA</t>
        </is>
      </c>
      <c r="C664" s="109" t="n">
        <v>46291</v>
      </c>
      <c r="D664" s="110" t="inlineStr">
        <is>
          <t>CHEQUE - EMPRESA</t>
        </is>
      </c>
      <c r="E664" s="111" t="n">
        <v>2761</v>
      </c>
      <c r="F664" s="110" t="inlineStr">
        <is>
          <t>Lavanderia</t>
        </is>
      </c>
      <c r="G664" s="110" t="inlineStr">
        <is>
          <t>A PAGAR</t>
        </is>
      </c>
    </row>
    <row r="665">
      <c r="B665" s="110" t="inlineStr">
        <is>
          <t>WESLEY WK TEXTIL</t>
        </is>
      </c>
      <c r="C665" s="109" t="n">
        <v>46291</v>
      </c>
      <c r="D665" s="110" t="inlineStr">
        <is>
          <t>CHEQUE - EMPRESA</t>
        </is>
      </c>
      <c r="E665" s="111" t="n">
        <v>2700</v>
      </c>
      <c r="F665" s="110" t="inlineStr">
        <is>
          <t>Tecidos</t>
        </is>
      </c>
      <c r="G665" s="110" t="inlineStr">
        <is>
          <t>A PAGAR</t>
        </is>
      </c>
    </row>
    <row r="666">
      <c r="B666" s="110" t="inlineStr">
        <is>
          <t>EQUATORIAL ENERGIA</t>
        </is>
      </c>
      <c r="C666" s="109" t="n">
        <v>46292</v>
      </c>
      <c r="D666" s="110" t="inlineStr">
        <is>
          <t>BOLETO BANCÁRIO</t>
        </is>
      </c>
      <c r="E666" s="111" t="n">
        <v>450</v>
      </c>
      <c r="F666" s="110" t="inlineStr">
        <is>
          <t>Energia Elétrica</t>
        </is>
      </c>
      <c r="G666" s="110" t="inlineStr">
        <is>
          <t>A PAGAR</t>
        </is>
      </c>
    </row>
    <row r="667">
      <c r="B667" s="110" t="inlineStr">
        <is>
          <t>CAPRICORNIO TEXTIL</t>
        </is>
      </c>
      <c r="C667" s="109" t="n">
        <v>46293</v>
      </c>
      <c r="D667" s="110" t="inlineStr">
        <is>
          <t>BOLETO BANCÁRIO</t>
        </is>
      </c>
      <c r="E667" s="111" t="n">
        <v>2528.64</v>
      </c>
      <c r="F667" s="110" t="inlineStr">
        <is>
          <t>Tecidos</t>
        </is>
      </c>
      <c r="G667" s="110" t="inlineStr">
        <is>
          <t>A PAGAR</t>
        </is>
      </c>
    </row>
    <row r="668">
      <c r="B668" s="110" t="inlineStr">
        <is>
          <t>LUIZ GUSTAVO SANTANA</t>
        </is>
      </c>
      <c r="C668" s="109" t="n">
        <v>46293</v>
      </c>
      <c r="D668" s="110" t="inlineStr">
        <is>
          <t>PIX CODI BANCO BRASIL</t>
        </is>
      </c>
      <c r="E668" s="111" t="n">
        <v>100</v>
      </c>
      <c r="F668" s="110" t="inlineStr">
        <is>
          <t>Vales e Adiantamentos</t>
        </is>
      </c>
      <c r="G668" s="110" t="inlineStr">
        <is>
          <t>A PAGAR</t>
        </is>
      </c>
    </row>
    <row r="669">
      <c r="B669" s="110" t="inlineStr">
        <is>
          <t>IMPOSTO ALV</t>
        </is>
      </c>
      <c r="C669" s="109" t="n">
        <v>46293</v>
      </c>
      <c r="D669" s="110" t="inlineStr">
        <is>
          <t>BOLETO BANCÁRIO</t>
        </is>
      </c>
      <c r="E669" s="111" t="n">
        <v>1272</v>
      </c>
      <c r="F669" s="110" t="inlineStr">
        <is>
          <t>Simples Nacional</t>
        </is>
      </c>
      <c r="G669" s="110" t="inlineStr">
        <is>
          <t>A PAGAR</t>
        </is>
      </c>
    </row>
    <row r="670">
      <c r="B670" s="110" t="inlineStr">
        <is>
          <t>SANEAGO</t>
        </is>
      </c>
      <c r="C670" s="109" t="n">
        <v>46293</v>
      </c>
      <c r="D670" s="110" t="inlineStr">
        <is>
          <t>BOLETO BANCÁRIO</t>
        </is>
      </c>
      <c r="E670" s="111" t="n">
        <v>280</v>
      </c>
      <c r="F670" s="110" t="inlineStr">
        <is>
          <t>Água</t>
        </is>
      </c>
      <c r="G670" s="110" t="inlineStr">
        <is>
          <t>A PAGAR</t>
        </is>
      </c>
    </row>
    <row r="671">
      <c r="B671" s="110" t="inlineStr">
        <is>
          <t>BANCO SANTANDER</t>
        </is>
      </c>
      <c r="C671" s="109" t="n">
        <v>46293</v>
      </c>
      <c r="D671" s="110" t="inlineStr">
        <is>
          <t>TRANSFERÊNCIA</t>
        </is>
      </c>
      <c r="E671" s="111" t="n">
        <v>15436.91</v>
      </c>
      <c r="F671" s="110" t="inlineStr">
        <is>
          <t>Empréstimos</t>
        </is>
      </c>
      <c r="G671" s="110" t="inlineStr">
        <is>
          <t>A PAGAR</t>
        </is>
      </c>
    </row>
    <row r="672">
      <c r="B672" s="110" t="inlineStr">
        <is>
          <t>AJUDA DE CUSTO - SEMANA</t>
        </is>
      </c>
      <c r="C672" s="109" t="n">
        <v>46293</v>
      </c>
      <c r="D672" s="110" t="inlineStr">
        <is>
          <t>CHEQUE - EMPRESA</t>
        </is>
      </c>
      <c r="E672" s="111" t="n">
        <v>600</v>
      </c>
      <c r="F672" s="110" t="inlineStr">
        <is>
          <t>Vale Transporte</t>
        </is>
      </c>
      <c r="G672" s="110" t="inlineStr">
        <is>
          <t>A PAGAR</t>
        </is>
      </c>
    </row>
    <row r="673">
      <c r="B673" s="110" t="inlineStr">
        <is>
          <t>LIDER TECIDOS LIDERANCA COMERCIO LTDA</t>
        </is>
      </c>
      <c r="C673" s="109" t="n">
        <v>46295</v>
      </c>
      <c r="D673" s="110" t="inlineStr">
        <is>
          <t>CHEQUE - EMPRESA</t>
        </is>
      </c>
      <c r="E673" s="111" t="n">
        <v>4669</v>
      </c>
      <c r="F673" s="110" t="inlineStr">
        <is>
          <t>Tecidos</t>
        </is>
      </c>
      <c r="G673" s="110" t="inlineStr">
        <is>
          <t>A PAGAR</t>
        </is>
      </c>
    </row>
    <row r="674">
      <c r="B674" s="110" t="inlineStr">
        <is>
          <t>WESLEY WK TEXTIL</t>
        </is>
      </c>
      <c r="C674" s="109" t="n">
        <v>46295</v>
      </c>
      <c r="D674" s="110" t="inlineStr">
        <is>
          <t>CHEQUE - EMPRESA</t>
        </is>
      </c>
      <c r="E674" s="111" t="n">
        <v>2863</v>
      </c>
      <c r="F674" s="110" t="inlineStr">
        <is>
          <t>Tecidos</t>
        </is>
      </c>
      <c r="G674" s="110" t="inlineStr">
        <is>
          <t>A PAGAR</t>
        </is>
      </c>
    </row>
    <row r="675">
      <c r="B675" s="110" t="inlineStr">
        <is>
          <t>CAPITAL GIRO BRADESCO ALV PJ</t>
        </is>
      </c>
      <c r="C675" s="109" t="n">
        <v>46296</v>
      </c>
      <c r="D675" s="110" t="inlineStr">
        <is>
          <t>TRANSFERÊNCIA</t>
        </is>
      </c>
      <c r="E675" s="111" t="n">
        <v>20101.44</v>
      </c>
      <c r="F675" s="110" t="inlineStr">
        <is>
          <t>Empréstimos</t>
        </is>
      </c>
      <c r="G675" s="110" t="inlineStr">
        <is>
          <t>A PAGAR</t>
        </is>
      </c>
    </row>
    <row r="676">
      <c r="B676" s="110" t="inlineStr">
        <is>
          <t>WOZ COMUNICAÇÃO</t>
        </is>
      </c>
      <c r="C676" s="109" t="n">
        <v>46296</v>
      </c>
      <c r="D676" s="110" t="inlineStr">
        <is>
          <t>PIX CODI BANCO BRASIL</t>
        </is>
      </c>
      <c r="E676" s="111" t="n">
        <v>1397</v>
      </c>
      <c r="F676" s="110" t="inlineStr">
        <is>
          <t>TRÁFEGO META</t>
        </is>
      </c>
      <c r="G676" s="110" t="inlineStr">
        <is>
          <t>A PAGAR</t>
        </is>
      </c>
    </row>
    <row r="677">
      <c r="B677" s="110" t="inlineStr">
        <is>
          <t>SHEILA ETIQUETAS</t>
        </is>
      </c>
      <c r="C677" s="109" t="n">
        <v>46298</v>
      </c>
      <c r="D677" s="110" t="inlineStr">
        <is>
          <t>CHEQUE - EMPRESA</t>
        </is>
      </c>
      <c r="E677" s="111" t="n">
        <v>425.12</v>
      </c>
      <c r="F677" s="110" t="inlineStr">
        <is>
          <t xml:space="preserve">PFROVISÃO CODI JEANS </t>
        </is>
      </c>
      <c r="G677" s="110" t="inlineStr">
        <is>
          <t>A PAGAR</t>
        </is>
      </c>
    </row>
    <row r="678">
      <c r="B678" s="110" t="inlineStr">
        <is>
          <t>NEOBRAND INDUSTRIA TEXTIL LTDA</t>
        </is>
      </c>
      <c r="C678" s="109" t="n">
        <v>46299</v>
      </c>
      <c r="D678" s="110" t="inlineStr">
        <is>
          <t>BOLETO BANCÁRIO</t>
        </is>
      </c>
      <c r="E678" s="111" t="n">
        <v>657.8200000000001</v>
      </c>
      <c r="F678" s="110" t="inlineStr">
        <is>
          <t>Aviamento</t>
        </is>
      </c>
      <c r="G678" s="110" t="inlineStr">
        <is>
          <t>A PAGAR</t>
        </is>
      </c>
    </row>
    <row r="679">
      <c r="B679" s="110" t="inlineStr">
        <is>
          <t>NEOBRAND INDUSTRIA TEXTIL LTDA</t>
        </is>
      </c>
      <c r="C679" s="109" t="n">
        <v>46300</v>
      </c>
      <c r="D679" s="110" t="inlineStr">
        <is>
          <t>BOLETO BANCÁRIO</t>
        </is>
      </c>
      <c r="E679" s="111" t="n">
        <v>1034</v>
      </c>
      <c r="F679" s="110" t="inlineStr">
        <is>
          <t>Aviamento</t>
        </is>
      </c>
      <c r="G679" s="110" t="inlineStr">
        <is>
          <t>A PAGAR</t>
        </is>
      </c>
    </row>
    <row r="680">
      <c r="B680" s="110" t="inlineStr">
        <is>
          <t>LUIZ GUSTAVO SANTANA</t>
        </is>
      </c>
      <c r="C680" s="109" t="n">
        <v>46300</v>
      </c>
      <c r="D680" s="110" t="inlineStr">
        <is>
          <t>PIX CODI BANCO BRASIL</t>
        </is>
      </c>
      <c r="E680" s="111" t="n">
        <v>100</v>
      </c>
      <c r="F680" s="110" t="inlineStr">
        <is>
          <t>Vales e Adiantamentos</t>
        </is>
      </c>
      <c r="G680" s="110" t="inlineStr">
        <is>
          <t>A PAGAR</t>
        </is>
      </c>
    </row>
    <row r="681">
      <c r="B681" s="110" t="inlineStr">
        <is>
          <t>AJUDA DE CUSTO - SEMANA</t>
        </is>
      </c>
      <c r="C681" s="109" t="n">
        <v>46300</v>
      </c>
      <c r="D681" s="110" t="inlineStr">
        <is>
          <t>CHEQUE - EMPRESA</t>
        </is>
      </c>
      <c r="E681" s="111" t="n">
        <v>600</v>
      </c>
      <c r="F681" s="110" t="inlineStr">
        <is>
          <t>Vale Transporte</t>
        </is>
      </c>
      <c r="G681" s="110" t="inlineStr">
        <is>
          <t>A PAGAR</t>
        </is>
      </c>
    </row>
    <row r="682">
      <c r="B682" s="110" t="inlineStr">
        <is>
          <t>LIDER TECIDOS LIDERANCA COMERCIO LTDA</t>
        </is>
      </c>
      <c r="C682" s="109" t="n">
        <v>46301</v>
      </c>
      <c r="D682" s="110" t="inlineStr">
        <is>
          <t>CHEQUE - EMPRESA</t>
        </is>
      </c>
      <c r="E682" s="111" t="n">
        <v>1650</v>
      </c>
      <c r="F682" s="110" t="inlineStr">
        <is>
          <t xml:space="preserve">PFROVISÃO CODI JEANS </t>
        </is>
      </c>
      <c r="G682" s="110" t="inlineStr">
        <is>
          <t>A PAGAR</t>
        </is>
      </c>
    </row>
    <row r="683">
      <c r="B683" s="110" t="inlineStr">
        <is>
          <t>CAPRICORNIO TEXTIL</t>
        </is>
      </c>
      <c r="C683" s="109" t="n">
        <v>46301</v>
      </c>
      <c r="D683" s="110" t="inlineStr">
        <is>
          <t>BOLETO BANCÁRIO</t>
        </is>
      </c>
      <c r="E683" s="111" t="n">
        <v>1467.29</v>
      </c>
      <c r="F683" s="110" t="inlineStr">
        <is>
          <t>Tecidos</t>
        </is>
      </c>
      <c r="G683" s="110" t="inlineStr">
        <is>
          <t>A PAGAR</t>
        </is>
      </c>
    </row>
    <row r="684">
      <c r="B684" s="110" t="inlineStr">
        <is>
          <t>YASMIN</t>
        </is>
      </c>
      <c r="C684" s="109" t="n">
        <v>46301</v>
      </c>
      <c r="D684" s="110" t="inlineStr">
        <is>
          <t>PIX CODI BANCO BRASIL</t>
        </is>
      </c>
      <c r="E684" s="111" t="n">
        <v>1621</v>
      </c>
      <c r="F684" s="110" t="inlineStr">
        <is>
          <t>Salário e Ordenados</t>
        </is>
      </c>
      <c r="G684" s="110" t="inlineStr">
        <is>
          <t>A PAGAR</t>
        </is>
      </c>
    </row>
    <row r="685">
      <c r="B685" s="110" t="inlineStr">
        <is>
          <t>CAPRICORNIO TEXTIL</t>
        </is>
      </c>
      <c r="C685" s="109" t="n">
        <v>46301</v>
      </c>
      <c r="D685" s="110" t="inlineStr">
        <is>
          <t>BOLETO BANCÁRIO</t>
        </is>
      </c>
      <c r="E685" s="111" t="n">
        <v>2351.85</v>
      </c>
      <c r="F685" s="110" t="inlineStr">
        <is>
          <t>Tecidos</t>
        </is>
      </c>
      <c r="G685" s="110" t="inlineStr">
        <is>
          <t>A PAGAR</t>
        </is>
      </c>
    </row>
    <row r="686">
      <c r="B686" s="110" t="inlineStr">
        <is>
          <t>GABY FERREIRA - VENDAS</t>
        </is>
      </c>
      <c r="C686" s="109" t="n">
        <v>46301</v>
      </c>
      <c r="D686" s="110" t="inlineStr">
        <is>
          <t>PIX CODI BANCO BRASIL</t>
        </is>
      </c>
      <c r="E686" s="111" t="n">
        <v>1518</v>
      </c>
      <c r="F686" s="110" t="inlineStr">
        <is>
          <t>Salário e Ordenados</t>
        </is>
      </c>
      <c r="G686" s="110" t="inlineStr">
        <is>
          <t>A PAGAR</t>
        </is>
      </c>
    </row>
    <row r="687">
      <c r="B687" s="110" t="inlineStr">
        <is>
          <t>WALLYSON HENRIQUE BARBOSA SOUZA</t>
        </is>
      </c>
      <c r="C687" s="109" t="n">
        <v>46301</v>
      </c>
      <c r="D687" s="110" t="inlineStr">
        <is>
          <t>PIX CODI BANCO BRASIL</t>
        </is>
      </c>
      <c r="E687" s="111" t="n">
        <v>4200</v>
      </c>
      <c r="F687" s="110" t="inlineStr">
        <is>
          <t>Salário e Ordenados</t>
        </is>
      </c>
      <c r="G687" s="110" t="inlineStr">
        <is>
          <t>A PAGAR</t>
        </is>
      </c>
    </row>
    <row r="688">
      <c r="B688" s="110" t="inlineStr">
        <is>
          <t>LUIZ GUSTAVO SANTANA</t>
        </is>
      </c>
      <c r="C688" s="109" t="n">
        <v>46301</v>
      </c>
      <c r="D688" s="110" t="inlineStr">
        <is>
          <t>PIX CODI BANCO BRASIL</t>
        </is>
      </c>
      <c r="E688" s="111" t="n">
        <v>2300</v>
      </c>
      <c r="F688" s="110" t="inlineStr">
        <is>
          <t>Salário e Ordenados</t>
        </is>
      </c>
      <c r="G688" s="110" t="inlineStr">
        <is>
          <t>A PAGAR</t>
        </is>
      </c>
    </row>
    <row r="689">
      <c r="B689" s="110" t="inlineStr">
        <is>
          <t>CRISLANDIA DA SILVA SOUSA - ESTOQUE</t>
        </is>
      </c>
      <c r="C689" s="109" t="n">
        <v>46301</v>
      </c>
      <c r="D689" s="110" t="inlineStr">
        <is>
          <t>PIX CODI BANCO BRASIL</t>
        </is>
      </c>
      <c r="E689" s="111" t="n">
        <v>1312.82</v>
      </c>
      <c r="F689" s="110" t="inlineStr">
        <is>
          <t>Salário e Ordenados</t>
        </is>
      </c>
      <c r="G689" s="110" t="inlineStr">
        <is>
          <t>A PAGAR</t>
        </is>
      </c>
    </row>
    <row r="690">
      <c r="B690" s="110" t="inlineStr">
        <is>
          <t>JOSÉ HAMILTON FERREIRA - CORTADOR</t>
        </is>
      </c>
      <c r="C690" s="109" t="n">
        <v>46301</v>
      </c>
      <c r="D690" s="110" t="inlineStr">
        <is>
          <t>PIX CODI BANCO BRASIL</t>
        </is>
      </c>
      <c r="E690" s="111" t="n">
        <v>1781.5</v>
      </c>
      <c r="F690" s="110" t="inlineStr">
        <is>
          <t>Salário e Ordenados</t>
        </is>
      </c>
      <c r="G690" s="110" t="inlineStr">
        <is>
          <t>A PAGAR</t>
        </is>
      </c>
    </row>
    <row r="691">
      <c r="B691" s="110" t="inlineStr">
        <is>
          <t>AILTON TORRES FERREIRA - CORTADOR</t>
        </is>
      </c>
      <c r="C691" s="109" t="n">
        <v>46301</v>
      </c>
      <c r="D691" s="110" t="inlineStr">
        <is>
          <t>PIX CODI BANCO BRASIL</t>
        </is>
      </c>
      <c r="E691" s="111" t="n">
        <v>2542</v>
      </c>
      <c r="F691" s="110" t="inlineStr">
        <is>
          <t>Salário e Ordenados</t>
        </is>
      </c>
      <c r="G691" s="110" t="inlineStr">
        <is>
          <t>A PAGAR</t>
        </is>
      </c>
    </row>
    <row r="692">
      <c r="B692" s="110" t="inlineStr">
        <is>
          <t>DELVACY PEREIRA SILVA - G ESTOQUE</t>
        </is>
      </c>
      <c r="C692" s="109" t="n">
        <v>46301</v>
      </c>
      <c r="D692" s="110" t="inlineStr">
        <is>
          <t>PIX CODI BANCO BRASIL</t>
        </is>
      </c>
      <c r="E692" s="111" t="n">
        <v>2000</v>
      </c>
      <c r="F692" s="110" t="inlineStr">
        <is>
          <t>Salário e Ordenados</t>
        </is>
      </c>
      <c r="G692" s="110" t="inlineStr">
        <is>
          <t>A PAGAR</t>
        </is>
      </c>
    </row>
    <row r="693">
      <c r="B693" s="110" t="inlineStr">
        <is>
          <t>EDIMAR GERENTE DE PRODUÇÃO</t>
        </is>
      </c>
      <c r="C693" s="109" t="n">
        <v>46301</v>
      </c>
      <c r="D693" s="110" t="inlineStr">
        <is>
          <t>PIX CODI BANCO BRASIL</t>
        </is>
      </c>
      <c r="E693" s="111" t="n">
        <v>6484</v>
      </c>
      <c r="F693" s="110" t="inlineStr">
        <is>
          <t>Salário e Ordenados</t>
        </is>
      </c>
      <c r="G693" s="110" t="inlineStr">
        <is>
          <t>A PAGAR</t>
        </is>
      </c>
    </row>
    <row r="694">
      <c r="B694" s="110" t="inlineStr">
        <is>
          <t>DANIEL ENNOS</t>
        </is>
      </c>
      <c r="C694" s="109" t="n">
        <v>46301</v>
      </c>
      <c r="D694" s="110" t="inlineStr">
        <is>
          <t>PIX CODI BANCO BRASIL</t>
        </is>
      </c>
      <c r="E694" s="111" t="n">
        <v>4500</v>
      </c>
      <c r="F694" s="110" t="inlineStr">
        <is>
          <t>Salário e Ordenados</t>
        </is>
      </c>
      <c r="G694" s="110" t="inlineStr">
        <is>
          <t>A PAGAR</t>
        </is>
      </c>
    </row>
    <row r="695">
      <c r="B695" s="110" t="inlineStr">
        <is>
          <t>JHULLYA STEFANLY SOUZA REZENDE</t>
        </is>
      </c>
      <c r="C695" s="109" t="n">
        <v>46301</v>
      </c>
      <c r="D695" s="110" t="inlineStr">
        <is>
          <t>PIX CODI BANCO BRASIL</t>
        </is>
      </c>
      <c r="E695" s="111" t="n">
        <v>1518</v>
      </c>
      <c r="F695" s="110" t="inlineStr">
        <is>
          <t>Salário e Ordenados</t>
        </is>
      </c>
      <c r="G695" s="110" t="inlineStr">
        <is>
          <t>A PAGAR</t>
        </is>
      </c>
    </row>
    <row r="696">
      <c r="B696" s="110" t="inlineStr">
        <is>
          <t>ADRIANA CARDOSO DA SILVA - VENDAS</t>
        </is>
      </c>
      <c r="C696" s="109" t="n">
        <v>46301</v>
      </c>
      <c r="D696" s="110" t="inlineStr">
        <is>
          <t>PIX CODI BANCO BRASIL</t>
        </is>
      </c>
      <c r="E696" s="111" t="n">
        <v>1612.82</v>
      </c>
      <c r="F696" s="110" t="inlineStr">
        <is>
          <t>Salário e Ordenados</t>
        </is>
      </c>
      <c r="G696" s="110" t="inlineStr">
        <is>
          <t>A PAGAR</t>
        </is>
      </c>
    </row>
    <row r="697">
      <c r="B697" s="110" t="inlineStr">
        <is>
          <t>LAVANDERIA AMAZONAS - LEONARDO</t>
        </is>
      </c>
      <c r="C697" s="109" t="n">
        <v>46302</v>
      </c>
      <c r="D697" s="110" t="inlineStr">
        <is>
          <t xml:space="preserve">CHEQUE CLIENTE </t>
        </is>
      </c>
      <c r="E697" s="111" t="n">
        <v>1320</v>
      </c>
      <c r="F697" s="110" t="inlineStr">
        <is>
          <t>Lavanderia</t>
        </is>
      </c>
      <c r="G697" s="110" t="inlineStr">
        <is>
          <t>A PAGAR</t>
        </is>
      </c>
    </row>
    <row r="698">
      <c r="B698" s="110" t="inlineStr">
        <is>
          <t>ROCHA DE MACEDO E FRANCO ADV</t>
        </is>
      </c>
      <c r="C698" s="109" t="n">
        <v>46302</v>
      </c>
      <c r="D698" s="110" t="inlineStr">
        <is>
          <t>PIX CODI BANCO BRASIL</t>
        </is>
      </c>
      <c r="E698" s="111" t="n">
        <v>2500</v>
      </c>
      <c r="F698" s="110" t="inlineStr">
        <is>
          <t>Advogados - Honorários</t>
        </is>
      </c>
      <c r="G698" s="110" t="inlineStr">
        <is>
          <t>A PAGAR</t>
        </is>
      </c>
    </row>
    <row r="699">
      <c r="B699" s="110" t="inlineStr">
        <is>
          <t>THAYS CAROLINE FINANCEIRO</t>
        </is>
      </c>
      <c r="C699" s="109" t="n">
        <v>46302</v>
      </c>
      <c r="D699" s="110" t="inlineStr">
        <is>
          <t>PIX CODI BANCO BRASIL</t>
        </is>
      </c>
      <c r="E699" s="111" t="n">
        <v>3500</v>
      </c>
      <c r="F699" s="110" t="inlineStr">
        <is>
          <t>Assessoria Técnica Profissional</t>
        </is>
      </c>
      <c r="G699" s="110" t="inlineStr">
        <is>
          <t>A PAGAR</t>
        </is>
      </c>
    </row>
    <row r="700">
      <c r="B700" s="110" t="inlineStr">
        <is>
          <t>LIDER TECIDOS LIDERANCA COMERCIO LTDA</t>
        </is>
      </c>
      <c r="C700" s="109" t="n">
        <v>46302</v>
      </c>
      <c r="D700" s="110" t="inlineStr">
        <is>
          <t>CHEQUE CLIENTE</t>
        </is>
      </c>
      <c r="E700" s="111" t="n">
        <v>1320</v>
      </c>
      <c r="F700" s="110" t="inlineStr">
        <is>
          <t>Tecidos</t>
        </is>
      </c>
      <c r="G700" s="110" t="inlineStr">
        <is>
          <t>A PAGAR</t>
        </is>
      </c>
    </row>
    <row r="701">
      <c r="B701" s="110" t="inlineStr">
        <is>
          <t>NEOBRAND INDUSTRIA TEXTIL LTDA</t>
        </is>
      </c>
      <c r="C701" s="109" t="n">
        <v>46303</v>
      </c>
      <c r="D701" s="110" t="inlineStr">
        <is>
          <t>BOLETO BANCÁRIO</t>
        </is>
      </c>
      <c r="E701" s="111" t="n">
        <v>964</v>
      </c>
      <c r="F701" s="110" t="inlineStr">
        <is>
          <t>Aviamento</t>
        </is>
      </c>
      <c r="G701" s="110" t="inlineStr">
        <is>
          <t>A PAGAR</t>
        </is>
      </c>
    </row>
    <row r="702">
      <c r="B702" s="110" t="inlineStr">
        <is>
          <t>CAPRICORNIO TEXTIL</t>
        </is>
      </c>
      <c r="C702" s="109" t="n">
        <v>46303</v>
      </c>
      <c r="D702" s="110" t="inlineStr">
        <is>
          <t>BOLETO BANCÁRIO</t>
        </is>
      </c>
      <c r="E702" s="111" t="n">
        <v>2367.23</v>
      </c>
      <c r="F702" s="110" t="inlineStr">
        <is>
          <t>Tecidos</t>
        </is>
      </c>
      <c r="G702" s="110" t="inlineStr">
        <is>
          <t>A PAGAR</t>
        </is>
      </c>
    </row>
    <row r="703">
      <c r="B703" s="110" t="inlineStr">
        <is>
          <t>LIDER TECIDOS LIDERANCA COMERCIO LTDA</t>
        </is>
      </c>
      <c r="C703" s="109" t="n">
        <v>46305</v>
      </c>
      <c r="D703" s="110" t="inlineStr">
        <is>
          <t xml:space="preserve">CARTÃO DE CRÉDITO </t>
        </is>
      </c>
      <c r="E703" s="111" t="n">
        <v>3000</v>
      </c>
      <c r="F703" s="110" t="inlineStr">
        <is>
          <t>Tecidos</t>
        </is>
      </c>
      <c r="G703" s="110" t="inlineStr">
        <is>
          <t>A PAGAR</t>
        </is>
      </c>
    </row>
    <row r="704">
      <c r="B704" s="110" t="inlineStr">
        <is>
          <t>WIKI SISTEMAS</t>
        </is>
      </c>
      <c r="C704" s="109" t="n">
        <v>46305</v>
      </c>
      <c r="D704" s="110" t="inlineStr">
        <is>
          <t>BOLETO BANCÁRIO</t>
        </is>
      </c>
      <c r="E704" s="111" t="n">
        <v>1320</v>
      </c>
      <c r="F704" s="110" t="inlineStr">
        <is>
          <t>Web Site e Sistema ERP</t>
        </is>
      </c>
      <c r="G704" s="110" t="inlineStr">
        <is>
          <t>A PAGAR</t>
        </is>
      </c>
    </row>
    <row r="705">
      <c r="B705" s="110" t="inlineStr">
        <is>
          <t>ALUGUEL LORIVALDO</t>
        </is>
      </c>
      <c r="C705" s="109" t="n">
        <v>46305</v>
      </c>
      <c r="D705" s="110" t="inlineStr">
        <is>
          <t>PIX CODI BANCO BRASIL</t>
        </is>
      </c>
      <c r="E705" s="111" t="n">
        <v>6484</v>
      </c>
      <c r="F705" s="110" t="inlineStr">
        <is>
          <t>Aluguéis e Condomínios</t>
        </is>
      </c>
      <c r="G705" s="110" t="inlineStr">
        <is>
          <t>A PAGAR</t>
        </is>
      </c>
    </row>
    <row r="706">
      <c r="B706" s="110" t="inlineStr">
        <is>
          <t>LUCAS/ CONTADOR</t>
        </is>
      </c>
      <c r="C706" s="109" t="n">
        <v>46305</v>
      </c>
      <c r="D706" s="110" t="inlineStr">
        <is>
          <t>PIX CODI BANCO BRASIL</t>
        </is>
      </c>
      <c r="E706" s="111" t="n">
        <v>1100</v>
      </c>
      <c r="F706" s="110" t="inlineStr">
        <is>
          <t>Honorários Contábeis (Contabilidade)</t>
        </is>
      </c>
      <c r="G706" s="110" t="inlineStr">
        <is>
          <t>A PAGAR</t>
        </is>
      </c>
    </row>
    <row r="707">
      <c r="B707" s="110" t="inlineStr">
        <is>
          <t>CONSÓRCIO BANCO DO BRASIL</t>
        </is>
      </c>
      <c r="C707" s="109" t="n">
        <v>46305</v>
      </c>
      <c r="D707" s="110" t="inlineStr">
        <is>
          <t>TRANSFERÊNCIA</t>
        </is>
      </c>
      <c r="E707" s="111" t="n">
        <v>2055.6</v>
      </c>
      <c r="F707" s="110" t="inlineStr">
        <is>
          <t>Consórcio</t>
        </is>
      </c>
      <c r="G707" s="110" t="inlineStr">
        <is>
          <t>A PAGAR</t>
        </is>
      </c>
    </row>
    <row r="708">
      <c r="B708" s="110" t="inlineStr">
        <is>
          <t>ALVO TEXTIL LTDA</t>
        </is>
      </c>
      <c r="C708" s="109" t="n">
        <v>46307</v>
      </c>
      <c r="D708" s="110" t="inlineStr">
        <is>
          <t>CHEQUE - EMPRESA</t>
        </is>
      </c>
      <c r="E708" s="111" t="n">
        <v>4900</v>
      </c>
      <c r="F708" s="110" t="inlineStr">
        <is>
          <t>Tecidos</t>
        </is>
      </c>
      <c r="G708" s="110" t="inlineStr">
        <is>
          <t>A PAGAR</t>
        </is>
      </c>
    </row>
    <row r="709">
      <c r="B709" s="110" t="inlineStr">
        <is>
          <t>LUIZ GUSTAVO SANTANA</t>
        </is>
      </c>
      <c r="C709" s="109" t="n">
        <v>46307</v>
      </c>
      <c r="D709" s="110" t="inlineStr">
        <is>
          <t>PIX CODI BANCO BRASIL</t>
        </is>
      </c>
      <c r="E709" s="111" t="n">
        <v>100</v>
      </c>
      <c r="F709" s="110" t="inlineStr">
        <is>
          <t>Vales e Adiantamentos</t>
        </is>
      </c>
      <c r="G709" s="110" t="inlineStr">
        <is>
          <t>A PAGAR</t>
        </is>
      </c>
    </row>
    <row r="710">
      <c r="B710" s="110" t="inlineStr">
        <is>
          <t>BLESSED LAVANDERIA</t>
        </is>
      </c>
      <c r="C710" s="109" t="n">
        <v>46307</v>
      </c>
      <c r="D710" s="110" t="inlineStr">
        <is>
          <t>CHEQUE - EMPRESA</t>
        </is>
      </c>
      <c r="E710" s="111" t="n">
        <v>4400</v>
      </c>
      <c r="F710" s="110" t="inlineStr">
        <is>
          <t>Lavanderia</t>
        </is>
      </c>
      <c r="G710" s="110" t="inlineStr">
        <is>
          <t>A PAGAR</t>
        </is>
      </c>
    </row>
    <row r="711">
      <c r="B711" s="110" t="inlineStr">
        <is>
          <t>AJUDA DE CUSTO - SEMANA</t>
        </is>
      </c>
      <c r="C711" s="109" t="n">
        <v>46307</v>
      </c>
      <c r="D711" s="110" t="inlineStr">
        <is>
          <t>CHEQUE - EMPRESA</t>
        </is>
      </c>
      <c r="E711" s="111" t="n">
        <v>600</v>
      </c>
      <c r="F711" s="110" t="inlineStr">
        <is>
          <t>Vale Transporte</t>
        </is>
      </c>
      <c r="G711" s="110" t="inlineStr">
        <is>
          <t>A PAGAR</t>
        </is>
      </c>
    </row>
    <row r="712">
      <c r="B712" s="110" t="inlineStr">
        <is>
          <t>NEOBRAND INDUSTRIA TEXTIL LTDA</t>
        </is>
      </c>
      <c r="C712" s="109" t="n">
        <v>46308</v>
      </c>
      <c r="D712" s="110" t="inlineStr">
        <is>
          <t>BOLETO BANCÁRIO</t>
        </is>
      </c>
      <c r="E712" s="111" t="n">
        <v>748.6799999999999</v>
      </c>
      <c r="F712" s="110" t="inlineStr">
        <is>
          <t>Aviamento</t>
        </is>
      </c>
      <c r="G712" s="110" t="inlineStr">
        <is>
          <t>A PAGAR</t>
        </is>
      </c>
    </row>
    <row r="713">
      <c r="B713" s="110" t="inlineStr">
        <is>
          <t>LIDER TECIDOS LIDERANCA COMERCIO LTDA</t>
        </is>
      </c>
      <c r="C713" s="109" t="n">
        <v>46309</v>
      </c>
      <c r="D713" s="110" t="inlineStr">
        <is>
          <t>CHEQUE - EMPRESA</t>
        </is>
      </c>
      <c r="E713" s="111" t="n">
        <v>1213.64</v>
      </c>
      <c r="F713" s="110" t="inlineStr">
        <is>
          <t xml:space="preserve">PFROVISÃO CODI JEANS </t>
        </is>
      </c>
      <c r="G713" s="110" t="inlineStr">
        <is>
          <t>A PAGAR</t>
        </is>
      </c>
    </row>
    <row r="714">
      <c r="B714" s="110" t="inlineStr">
        <is>
          <t>LIDER TECIDOS LIDERANCA COMERCIO LTDA</t>
        </is>
      </c>
      <c r="C714" s="109" t="n">
        <v>46310</v>
      </c>
      <c r="D714" s="110" t="inlineStr">
        <is>
          <t>CHEQUE - EMPRESA</t>
        </is>
      </c>
      <c r="E714" s="111" t="n">
        <v>17634.68</v>
      </c>
      <c r="F714" s="110" t="inlineStr">
        <is>
          <t xml:space="preserve">PFROVISÃO CODI JEANS </t>
        </is>
      </c>
      <c r="G714" s="110" t="inlineStr">
        <is>
          <t>A PAGAR</t>
        </is>
      </c>
    </row>
    <row r="715">
      <c r="B715" s="110" t="inlineStr">
        <is>
          <t>SERASA</t>
        </is>
      </c>
      <c r="C715" s="109" t="n">
        <v>46310</v>
      </c>
      <c r="D715" s="110" t="inlineStr">
        <is>
          <t>BOLETO BANCÁRIO</t>
        </is>
      </c>
      <c r="E715" s="111" t="n">
        <v>350</v>
      </c>
      <c r="F715" s="110" t="inlineStr">
        <is>
          <t>Consulta de Crédito Cliente</t>
        </is>
      </c>
      <c r="G715" s="110" t="inlineStr">
        <is>
          <t>A PAGAR</t>
        </is>
      </c>
    </row>
    <row r="716">
      <c r="B716" s="110" t="inlineStr">
        <is>
          <t>ALVO TEXTIL LTDA</t>
        </is>
      </c>
      <c r="C716" s="109" t="n">
        <v>46310</v>
      </c>
      <c r="D716" s="110" t="inlineStr">
        <is>
          <t>CHEQUE - EMPRESA</t>
        </is>
      </c>
      <c r="E716" s="111" t="n">
        <v>4980</v>
      </c>
      <c r="F716" s="110" t="inlineStr">
        <is>
          <t>Tecidos</t>
        </is>
      </c>
      <c r="G716" s="110" t="inlineStr">
        <is>
          <t>A PAGAR</t>
        </is>
      </c>
    </row>
    <row r="717">
      <c r="B717" s="110" t="inlineStr">
        <is>
          <t>LIDER TECIDOS LIDERANCA COMERCIO LTDA</t>
        </is>
      </c>
      <c r="C717" s="109" t="n">
        <v>46311</v>
      </c>
      <c r="D717" s="110" t="inlineStr">
        <is>
          <t>CHEQUE - EMPRESA</t>
        </is>
      </c>
      <c r="E717" s="111" t="n">
        <v>2120.7</v>
      </c>
      <c r="F717" s="110" t="inlineStr">
        <is>
          <t xml:space="preserve">PFROVISÃO CODI JEANS </t>
        </is>
      </c>
      <c r="G717" s="110" t="inlineStr">
        <is>
          <t>A PAGAR</t>
        </is>
      </c>
    </row>
    <row r="718">
      <c r="B718" s="110" t="inlineStr">
        <is>
          <t>SHEILA ETIQUETAS</t>
        </is>
      </c>
      <c r="C718" s="109" t="n">
        <v>46311</v>
      </c>
      <c r="D718" s="110" t="inlineStr">
        <is>
          <t>CHEQUE - EMPRESA</t>
        </is>
      </c>
      <c r="E718" s="111" t="n">
        <v>2018.67</v>
      </c>
      <c r="F718" s="110" t="inlineStr">
        <is>
          <t xml:space="preserve">PFROVISÃO CODI JEANS </t>
        </is>
      </c>
      <c r="G718" s="110" t="inlineStr">
        <is>
          <t>A PAGAR</t>
        </is>
      </c>
    </row>
    <row r="719">
      <c r="B719" s="110" t="inlineStr">
        <is>
          <t>PORTO SEGURO CIA DE SEGUROS GERAIS</t>
        </is>
      </c>
      <c r="C719" s="109" t="n">
        <v>46311</v>
      </c>
      <c r="D719" s="110" t="inlineStr">
        <is>
          <t>CARTÃO DE CRÉDITO</t>
        </is>
      </c>
      <c r="E719" s="111" t="n">
        <v>928.14</v>
      </c>
      <c r="F719" s="110" t="inlineStr">
        <is>
          <t>Seguros</t>
        </is>
      </c>
      <c r="G719" s="110" t="inlineStr">
        <is>
          <t>A PAGAR</t>
        </is>
      </c>
    </row>
    <row r="720">
      <c r="B720" s="110" t="inlineStr">
        <is>
          <t>ALVO TEXTIL LTDA</t>
        </is>
      </c>
      <c r="C720" s="109" t="n">
        <v>46313</v>
      </c>
      <c r="D720" s="110" t="inlineStr">
        <is>
          <t>CHEQUE - EMPRESA</t>
        </is>
      </c>
      <c r="E720" s="111" t="n">
        <v>4900</v>
      </c>
      <c r="F720" s="110" t="inlineStr">
        <is>
          <t>Tecidos</t>
        </is>
      </c>
      <c r="G720" s="110" t="inlineStr">
        <is>
          <t>A PAGAR</t>
        </is>
      </c>
    </row>
    <row r="721">
      <c r="B721" s="110" t="inlineStr">
        <is>
          <t xml:space="preserve">MBM LAVANDERIA </t>
        </is>
      </c>
      <c r="C721" s="109" t="n">
        <v>46313</v>
      </c>
      <c r="D721" s="110" t="inlineStr">
        <is>
          <t>CHEQUE - EMPRESA</t>
        </is>
      </c>
      <c r="E721" s="111" t="n">
        <v>2600</v>
      </c>
      <c r="F721" s="110" t="inlineStr">
        <is>
          <t>Lavanderia</t>
        </is>
      </c>
      <c r="G721" s="110" t="inlineStr">
        <is>
          <t>A PAGAR</t>
        </is>
      </c>
    </row>
    <row r="722">
      <c r="B722" s="110" t="inlineStr">
        <is>
          <t>ROMERONDES - LAVANDERIA</t>
        </is>
      </c>
      <c r="C722" s="109" t="n">
        <v>46313</v>
      </c>
      <c r="D722" s="110" t="inlineStr">
        <is>
          <t>CHEQUE - EMPRESA</t>
        </is>
      </c>
      <c r="E722" s="111" t="n">
        <v>3600</v>
      </c>
      <c r="F722" s="110" t="inlineStr">
        <is>
          <t>Lavanderia</t>
        </is>
      </c>
      <c r="G722" s="110" t="inlineStr">
        <is>
          <t>A PAGAR</t>
        </is>
      </c>
    </row>
    <row r="723">
      <c r="B723" s="110" t="inlineStr">
        <is>
          <t>LIDER TECIDOS LIDERANCA COMERCIO LTDA</t>
        </is>
      </c>
      <c r="C723" s="109" t="n">
        <v>46314</v>
      </c>
      <c r="D723" s="110" t="inlineStr">
        <is>
          <t>CHEQUE - EMPRESA</t>
        </is>
      </c>
      <c r="E723" s="111" t="n">
        <v>73.86</v>
      </c>
      <c r="F723" s="110" t="inlineStr">
        <is>
          <t xml:space="preserve">PFROVISÃO CODI JEANS </t>
        </is>
      </c>
      <c r="G723" s="110" t="inlineStr">
        <is>
          <t>A PAGAR</t>
        </is>
      </c>
    </row>
    <row r="724">
      <c r="B724" s="110" t="inlineStr">
        <is>
          <t>CAPRICORNIO TEXTIL</t>
        </is>
      </c>
      <c r="C724" s="109" t="n">
        <v>46314</v>
      </c>
      <c r="D724" s="110" t="inlineStr">
        <is>
          <t>BOLETO BANCÁRIO</t>
        </is>
      </c>
      <c r="E724" s="111" t="n">
        <v>2445.49</v>
      </c>
      <c r="F724" s="110" t="inlineStr">
        <is>
          <t>Tecidos</t>
        </is>
      </c>
      <c r="G724" s="110" t="inlineStr">
        <is>
          <t>A PAGAR</t>
        </is>
      </c>
    </row>
    <row r="725">
      <c r="B725" s="110" t="inlineStr">
        <is>
          <t>LUIZ GUSTAVO SANTANA</t>
        </is>
      </c>
      <c r="C725" s="109" t="n">
        <v>46314</v>
      </c>
      <c r="D725" s="110" t="inlineStr">
        <is>
          <t>PIX CODI BANCO BRASIL</t>
        </is>
      </c>
      <c r="E725" s="111" t="n">
        <v>100</v>
      </c>
      <c r="F725" s="110" t="inlineStr">
        <is>
          <t>Vales e Adiantamentos</t>
        </is>
      </c>
      <c r="G725" s="110" t="inlineStr">
        <is>
          <t>A PAGAR</t>
        </is>
      </c>
    </row>
    <row r="726">
      <c r="B726" s="110" t="inlineStr">
        <is>
          <t>LIDER TECIDOS LIDERANCA COMERCIO LTDA</t>
        </is>
      </c>
      <c r="C726" s="109" t="n">
        <v>46314</v>
      </c>
      <c r="D726" s="110" t="inlineStr">
        <is>
          <t>CHEQUE - EMPRESA</t>
        </is>
      </c>
      <c r="E726" s="111" t="n">
        <v>14882.82</v>
      </c>
      <c r="F726" s="110" t="inlineStr">
        <is>
          <t>PFROVISÃO CODI JEANS</t>
        </is>
      </c>
      <c r="G726" s="110" t="inlineStr">
        <is>
          <t>A PAGAR</t>
        </is>
      </c>
    </row>
    <row r="727">
      <c r="B727" s="110" t="inlineStr">
        <is>
          <t>ALVO TEXTIL LTDA</t>
        </is>
      </c>
      <c r="C727" s="109" t="n">
        <v>46314</v>
      </c>
      <c r="D727" s="110" t="inlineStr">
        <is>
          <t>CHEQUE - EMPRESA</t>
        </is>
      </c>
      <c r="E727" s="111" t="n">
        <v>1000</v>
      </c>
      <c r="F727" s="110" t="inlineStr">
        <is>
          <t>PFROVISÃO CODI JEANS</t>
        </is>
      </c>
      <c r="G727" s="110" t="inlineStr">
        <is>
          <t>A PAGAR</t>
        </is>
      </c>
    </row>
    <row r="728">
      <c r="B728" s="110" t="inlineStr">
        <is>
          <t>AJUDA DE CUSTO - SEMANA</t>
        </is>
      </c>
      <c r="C728" s="109" t="n">
        <v>46314</v>
      </c>
      <c r="D728" s="110" t="inlineStr">
        <is>
          <t>CHEQUE - EMPRESA</t>
        </is>
      </c>
      <c r="E728" s="111" t="n">
        <v>600</v>
      </c>
      <c r="F728" s="110" t="inlineStr">
        <is>
          <t>Vale Transporte</t>
        </is>
      </c>
      <c r="G728" s="110" t="inlineStr">
        <is>
          <t>A PAGAR</t>
        </is>
      </c>
    </row>
    <row r="729">
      <c r="B729" s="110" t="inlineStr">
        <is>
          <t>IMPOSTO CODI</t>
        </is>
      </c>
      <c r="C729" s="109" t="n">
        <v>46315</v>
      </c>
      <c r="D729" s="110" t="inlineStr">
        <is>
          <t>BOLETO BANCÁRIO</t>
        </is>
      </c>
      <c r="E729" s="111" t="n">
        <v>15000</v>
      </c>
      <c r="F729" s="110" t="inlineStr">
        <is>
          <t xml:space="preserve">PFROVISÃO CODI JEANS </t>
        </is>
      </c>
      <c r="G729" s="110" t="inlineStr">
        <is>
          <t>A PAGAR</t>
        </is>
      </c>
    </row>
    <row r="730">
      <c r="B730" s="110" t="inlineStr">
        <is>
          <t xml:space="preserve">AILTON TORRES FERREIRA - CORTADOR </t>
        </is>
      </c>
      <c r="C730" s="109" t="n">
        <v>46315</v>
      </c>
      <c r="D730" s="110" t="inlineStr">
        <is>
          <t>PIX CODI BANCO BRASIL</t>
        </is>
      </c>
      <c r="E730" s="111" t="n">
        <v>550</v>
      </c>
      <c r="F730" s="110" t="inlineStr">
        <is>
          <t>Acertos e Recisões</t>
        </is>
      </c>
      <c r="G730" s="110" t="inlineStr">
        <is>
          <t>A PAGAR</t>
        </is>
      </c>
    </row>
    <row r="731">
      <c r="B731" s="110" t="inlineStr">
        <is>
          <t xml:space="preserve">JOSÉ HAMILTON FERREIRA - CORTADOR  </t>
        </is>
      </c>
      <c r="C731" s="109" t="n">
        <v>46315</v>
      </c>
      <c r="D731" s="110" t="inlineStr">
        <is>
          <t>PIX CODI BANCO BRASIL</t>
        </is>
      </c>
      <c r="E731" s="111" t="n">
        <v>500</v>
      </c>
      <c r="F731" s="110" t="inlineStr">
        <is>
          <t>Acertos e Recisões</t>
        </is>
      </c>
      <c r="G731" s="110" t="inlineStr">
        <is>
          <t>A PAGAR</t>
        </is>
      </c>
    </row>
    <row r="732">
      <c r="B732" s="110" t="inlineStr">
        <is>
          <t>ADRIANA CARDOSO DA SILVA - VENDAS</t>
        </is>
      </c>
      <c r="C732" s="109" t="n">
        <v>46315</v>
      </c>
      <c r="D732" s="110" t="inlineStr">
        <is>
          <t>PIX CODI BANCO BRASIL</t>
        </is>
      </c>
      <c r="E732" s="111" t="n">
        <v>200</v>
      </c>
      <c r="F732" s="110" t="inlineStr">
        <is>
          <t>Vales e Adiantamentos</t>
        </is>
      </c>
      <c r="G732" s="110" t="inlineStr">
        <is>
          <t>A PAGAR</t>
        </is>
      </c>
    </row>
    <row r="733">
      <c r="B733" s="110" t="inlineStr">
        <is>
          <t>GABY FERREIRA - VENDAS</t>
        </is>
      </c>
      <c r="C733" s="109" t="n">
        <v>46315</v>
      </c>
      <c r="D733" s="110" t="inlineStr">
        <is>
          <t>PIX CODI BANCO BRASIL</t>
        </is>
      </c>
      <c r="E733" s="111" t="n">
        <v>400</v>
      </c>
      <c r="F733" s="110" t="inlineStr">
        <is>
          <t>Vales e Adiantamentos</t>
        </is>
      </c>
      <c r="G733" s="110" t="inlineStr">
        <is>
          <t>A PAGAR</t>
        </is>
      </c>
    </row>
    <row r="734">
      <c r="B734" s="110" t="inlineStr">
        <is>
          <t>OI INTERNET</t>
        </is>
      </c>
      <c r="C734" s="109" t="n">
        <v>46315</v>
      </c>
      <c r="D734" s="110" t="inlineStr">
        <is>
          <t>BOLETO BANCÁRIO</t>
        </is>
      </c>
      <c r="E734" s="111" t="n">
        <v>130</v>
      </c>
      <c r="F734" s="110" t="inlineStr">
        <is>
          <t>Telefonia Fixa e Internet</t>
        </is>
      </c>
      <c r="G734" s="110" t="inlineStr">
        <is>
          <t>A PAGAR</t>
        </is>
      </c>
    </row>
    <row r="735">
      <c r="B735" s="110" t="inlineStr">
        <is>
          <t>CAPITAL GIRO SANTANDER ALV PJ</t>
        </is>
      </c>
      <c r="C735" s="109" t="n">
        <v>46315</v>
      </c>
      <c r="D735" s="110" t="inlineStr">
        <is>
          <t>TRANSFERÊNCIA</t>
        </is>
      </c>
      <c r="E735" s="111" t="n">
        <v>2088</v>
      </c>
      <c r="F735" s="110" t="inlineStr">
        <is>
          <t>Empréstimos</t>
        </is>
      </c>
      <c r="G735" s="110" t="inlineStr">
        <is>
          <t>A PAGAR</t>
        </is>
      </c>
    </row>
    <row r="736">
      <c r="B736" s="110" t="inlineStr">
        <is>
          <t>CRISLANDIA DA SILVA SOUSA - ESTOQUE</t>
        </is>
      </c>
      <c r="C736" s="109" t="n">
        <v>46315</v>
      </c>
      <c r="D736" s="110" t="inlineStr">
        <is>
          <t>PIX CODI BANCO BRASIL</t>
        </is>
      </c>
      <c r="E736" s="111" t="n">
        <v>300</v>
      </c>
      <c r="F736" s="110" t="inlineStr">
        <is>
          <t>Vales e Adiantamentos</t>
        </is>
      </c>
      <c r="G736" s="110" t="inlineStr">
        <is>
          <t>A PAGAR</t>
        </is>
      </c>
    </row>
    <row r="737">
      <c r="B737" s="110" t="inlineStr">
        <is>
          <t>WOZ COMUNICAÇÃO</t>
        </is>
      </c>
      <c r="C737" s="109" t="n">
        <v>46315</v>
      </c>
      <c r="D737" s="110" t="inlineStr">
        <is>
          <t>PIX CODI BANCO BRASIL</t>
        </is>
      </c>
      <c r="E737" s="111" t="n">
        <v>2147</v>
      </c>
      <c r="F737" s="110" t="inlineStr">
        <is>
          <t>SOCIAL MIDIA</t>
        </is>
      </c>
      <c r="G737" s="110" t="inlineStr">
        <is>
          <t>A PAGAR</t>
        </is>
      </c>
    </row>
    <row r="738">
      <c r="B738" s="110" t="inlineStr">
        <is>
          <t>JHULLYA STEFANLY SOUZA REZENDE</t>
        </is>
      </c>
      <c r="C738" s="109" t="n">
        <v>46315</v>
      </c>
      <c r="D738" s="110" t="inlineStr">
        <is>
          <t>PIX CODI BANCO BRASIL</t>
        </is>
      </c>
      <c r="E738" s="111" t="n">
        <v>500</v>
      </c>
      <c r="F738" s="110" t="inlineStr">
        <is>
          <t>Vales e Adiantamentos</t>
        </is>
      </c>
      <c r="G738" s="110" t="inlineStr">
        <is>
          <t>A PAGAR</t>
        </is>
      </c>
    </row>
    <row r="739">
      <c r="B739" s="110" t="inlineStr">
        <is>
          <t>AILTON TORRES FERREIRA - CORTADOR</t>
        </is>
      </c>
      <c r="C739" s="109" t="n">
        <v>46315</v>
      </c>
      <c r="D739" s="110" t="inlineStr">
        <is>
          <t>PIX CODI BANCO BRASIL</t>
        </is>
      </c>
      <c r="E739" s="111" t="n">
        <v>550</v>
      </c>
      <c r="F739" s="110" t="inlineStr">
        <is>
          <t>Vales e Adiantamentos</t>
        </is>
      </c>
      <c r="G739" s="110" t="inlineStr">
        <is>
          <t>A PAGAR</t>
        </is>
      </c>
    </row>
    <row r="740">
      <c r="B740" s="110" t="inlineStr">
        <is>
          <t>GUARD SERVICE LTDA</t>
        </is>
      </c>
      <c r="C740" s="109" t="n">
        <v>46315</v>
      </c>
      <c r="D740" s="110" t="inlineStr">
        <is>
          <t>BOLETO BANCÁRIO</t>
        </is>
      </c>
      <c r="E740" s="111" t="n">
        <v>248</v>
      </c>
      <c r="F740" s="110" t="inlineStr">
        <is>
          <t>Segurança e Monitoramento</t>
        </is>
      </c>
      <c r="G740" s="110" t="inlineStr">
        <is>
          <t>A PAGAR</t>
        </is>
      </c>
    </row>
    <row r="741">
      <c r="B741" s="110" t="inlineStr">
        <is>
          <t>JOSÉ HAMILTON FERREIRA - CORTADOR</t>
        </is>
      </c>
      <c r="C741" s="109" t="n">
        <v>46315</v>
      </c>
      <c r="D741" s="110" t="inlineStr">
        <is>
          <t>PIX CODI BANCO BRASIL</t>
        </is>
      </c>
      <c r="E741" s="111" t="n">
        <v>500</v>
      </c>
      <c r="F741" s="110" t="inlineStr">
        <is>
          <t>Vales e Adiantamentos</t>
        </is>
      </c>
      <c r="G741" s="110" t="inlineStr">
        <is>
          <t>A PAGAR</t>
        </is>
      </c>
    </row>
    <row r="742">
      <c r="B742" s="110" t="inlineStr">
        <is>
          <t>DELVACY PEREIRA SILVA - G ESTOQUE</t>
        </is>
      </c>
      <c r="C742" s="109" t="n">
        <v>46315</v>
      </c>
      <c r="D742" s="110" t="inlineStr">
        <is>
          <t>PIX CODI BANCO BRASIL</t>
        </is>
      </c>
      <c r="E742" s="111" t="n">
        <v>300</v>
      </c>
      <c r="F742" s="110" t="inlineStr">
        <is>
          <t>Vales e Adiantamentos</t>
        </is>
      </c>
      <c r="G742" s="110" t="inlineStr">
        <is>
          <t>A PAGAR</t>
        </is>
      </c>
    </row>
    <row r="743">
      <c r="B743" s="110" t="inlineStr">
        <is>
          <t>BANCO ITAU</t>
        </is>
      </c>
      <c r="C743" s="109" t="n">
        <v>46316</v>
      </c>
      <c r="D743" s="110" t="inlineStr">
        <is>
          <t>TRANSFERÊNCIA</t>
        </is>
      </c>
      <c r="E743" s="111" t="n">
        <v>42329</v>
      </c>
      <c r="F743" s="110" t="inlineStr">
        <is>
          <t>Empréstimos</t>
        </is>
      </c>
      <c r="G743" s="110" t="inlineStr">
        <is>
          <t>A PAGAR</t>
        </is>
      </c>
    </row>
    <row r="744">
      <c r="B744" s="110" t="inlineStr">
        <is>
          <t>ALVO TEXTIL LTDA</t>
        </is>
      </c>
      <c r="C744" s="109" t="n">
        <v>46317</v>
      </c>
      <c r="D744" s="110" t="inlineStr">
        <is>
          <t>CHEQUE - EMPRESA</t>
        </is>
      </c>
      <c r="E744" s="111" t="n">
        <v>4720</v>
      </c>
      <c r="F744" s="110" t="inlineStr">
        <is>
          <t>Tecidos</t>
        </is>
      </c>
      <c r="G744" s="110" t="inlineStr">
        <is>
          <t>A PAGAR</t>
        </is>
      </c>
    </row>
    <row r="745">
      <c r="B745" s="110" t="inlineStr">
        <is>
          <t>ALVO TEXTIL LTDA</t>
        </is>
      </c>
      <c r="C745" s="109" t="n">
        <v>46317</v>
      </c>
      <c r="D745" s="110" t="inlineStr">
        <is>
          <t>CHEQUE - EMPRESA</t>
        </is>
      </c>
      <c r="E745" s="111" t="n">
        <v>4900</v>
      </c>
      <c r="F745" s="110" t="inlineStr">
        <is>
          <t>Tecidos</t>
        </is>
      </c>
      <c r="G745" s="110" t="inlineStr">
        <is>
          <t>A PAGAR</t>
        </is>
      </c>
    </row>
    <row r="746">
      <c r="B746" s="110" t="inlineStr">
        <is>
          <t>CAPRICORNIO TEXTIL</t>
        </is>
      </c>
      <c r="C746" s="109" t="n">
        <v>46317</v>
      </c>
      <c r="D746" s="110" t="inlineStr">
        <is>
          <t>BOLETO BANCÁRIO</t>
        </is>
      </c>
      <c r="E746" s="111" t="n">
        <v>978.2</v>
      </c>
      <c r="F746" s="110" t="inlineStr">
        <is>
          <t>Tecidos</t>
        </is>
      </c>
      <c r="G746" s="110" t="inlineStr">
        <is>
          <t>A PAGAR</t>
        </is>
      </c>
    </row>
    <row r="747">
      <c r="B747" s="110" t="inlineStr">
        <is>
          <t>WESLEY WK TEXTIL</t>
        </is>
      </c>
      <c r="C747" s="109" t="n">
        <v>46317</v>
      </c>
      <c r="D747" s="110" t="inlineStr">
        <is>
          <t>CHEQUE - EMPRESA</t>
        </is>
      </c>
      <c r="E747" s="111" t="n">
        <v>4500</v>
      </c>
      <c r="F747" s="110" t="inlineStr">
        <is>
          <t>Tecidos</t>
        </is>
      </c>
      <c r="G747" s="110" t="inlineStr">
        <is>
          <t>A PAGAR</t>
        </is>
      </c>
    </row>
    <row r="748">
      <c r="B748" s="110" t="inlineStr">
        <is>
          <t>BLESSED LAVANDERIA</t>
        </is>
      </c>
      <c r="C748" s="109" t="n">
        <v>46318</v>
      </c>
      <c r="D748" s="110" t="inlineStr">
        <is>
          <t>CHEQUE - EMPRESA</t>
        </is>
      </c>
      <c r="E748" s="111" t="n">
        <v>2992</v>
      </c>
      <c r="F748" s="110" t="inlineStr">
        <is>
          <t>Lavanderia</t>
        </is>
      </c>
      <c r="G748" s="110" t="inlineStr">
        <is>
          <t>A PAGAR</t>
        </is>
      </c>
    </row>
    <row r="749">
      <c r="B749" s="110" t="inlineStr">
        <is>
          <t>SHEILA ETIQUETAS</t>
        </is>
      </c>
      <c r="C749" s="109" t="n">
        <v>46318</v>
      </c>
      <c r="D749" s="110" t="inlineStr">
        <is>
          <t>CHEQUE - EMPRESA</t>
        </is>
      </c>
      <c r="E749" s="111" t="n">
        <v>2100</v>
      </c>
      <c r="F749" s="110" t="inlineStr">
        <is>
          <t>Etiquetas</t>
        </is>
      </c>
      <c r="G749" s="110" t="inlineStr">
        <is>
          <t>A PAGAR</t>
        </is>
      </c>
    </row>
    <row r="750">
      <c r="B750" s="110" t="inlineStr">
        <is>
          <t>CAPITAL GIRO ITAU PF CLEITON</t>
        </is>
      </c>
      <c r="C750" s="109" t="n">
        <v>46318</v>
      </c>
      <c r="D750" s="110" t="inlineStr">
        <is>
          <t>TRANSFERÊNCIA</t>
        </is>
      </c>
      <c r="E750" s="111" t="n">
        <v>12445.02</v>
      </c>
      <c r="F750" s="110" t="inlineStr">
        <is>
          <t>Títulos de Capitalização</t>
        </is>
      </c>
      <c r="G750" s="110" t="inlineStr">
        <is>
          <t>A PAGAR</t>
        </is>
      </c>
    </row>
    <row r="751">
      <c r="B751" s="110" t="inlineStr">
        <is>
          <t>LIDER TECIDOS LIDERANCA COMERCIO LTDA</t>
        </is>
      </c>
      <c r="C751" s="109" t="n">
        <v>46319</v>
      </c>
      <c r="D751" s="110" t="inlineStr">
        <is>
          <t>CHEQUE - EMPRESA</t>
        </is>
      </c>
      <c r="E751" s="111" t="n">
        <v>4650</v>
      </c>
      <c r="F751" s="110" t="inlineStr">
        <is>
          <t>Tecidos</t>
        </is>
      </c>
      <c r="G751" s="110" t="inlineStr">
        <is>
          <t>A PAGAR</t>
        </is>
      </c>
    </row>
    <row r="752">
      <c r="B752" s="110" t="inlineStr">
        <is>
          <t>LAVANDERIA AMAZONAS - LEONARDO</t>
        </is>
      </c>
      <c r="C752" s="109" t="n">
        <v>46319</v>
      </c>
      <c r="D752" s="110" t="inlineStr">
        <is>
          <t>CHEQUE - EMPRESA</t>
        </is>
      </c>
      <c r="E752" s="111" t="n">
        <v>2060.7</v>
      </c>
      <c r="F752" s="110" t="inlineStr">
        <is>
          <t>Lavanderia</t>
        </is>
      </c>
      <c r="G752" s="110" t="inlineStr">
        <is>
          <t>A PAGAR</t>
        </is>
      </c>
    </row>
    <row r="753">
      <c r="B753" s="110" t="inlineStr">
        <is>
          <t>LIDER TECIDOS LIDERANCA COMERCIO LTDA</t>
        </is>
      </c>
      <c r="C753" s="109" t="n">
        <v>46321</v>
      </c>
      <c r="D753" s="110" t="inlineStr">
        <is>
          <t>CHEQUE - EMPRESA</t>
        </is>
      </c>
      <c r="E753" s="111" t="n">
        <v>4650</v>
      </c>
      <c r="F753" s="110" t="inlineStr">
        <is>
          <t>Tecidos</t>
        </is>
      </c>
      <c r="G753" s="110" t="inlineStr">
        <is>
          <t>A PAGAR</t>
        </is>
      </c>
    </row>
    <row r="754">
      <c r="B754" s="110" t="inlineStr">
        <is>
          <t>LIDER TECIDOS LIDERANCA COMERCIO LTDA</t>
        </is>
      </c>
      <c r="C754" s="109" t="n">
        <v>46321</v>
      </c>
      <c r="D754" s="110" t="inlineStr">
        <is>
          <t>CHEQUE - EMPRESA</t>
        </is>
      </c>
      <c r="E754" s="111" t="n">
        <v>2222.77</v>
      </c>
      <c r="F754" s="110" t="inlineStr">
        <is>
          <t xml:space="preserve">PFROVISÃO CODI JEANS </t>
        </is>
      </c>
      <c r="G754" s="110" t="inlineStr">
        <is>
          <t>A PAGAR</t>
        </is>
      </c>
    </row>
    <row r="755">
      <c r="B755" s="110" t="inlineStr">
        <is>
          <t>CAPRICORNIO TEXTIL</t>
        </is>
      </c>
      <c r="C755" s="109" t="n">
        <v>46321</v>
      </c>
      <c r="D755" s="110" t="inlineStr">
        <is>
          <t>BOLETO BANCÁRIO</t>
        </is>
      </c>
      <c r="E755" s="111" t="n">
        <v>3316.08</v>
      </c>
      <c r="F755" s="110" t="inlineStr">
        <is>
          <t>Tecidos</t>
        </is>
      </c>
      <c r="G755" s="110" t="inlineStr">
        <is>
          <t>A PAGAR</t>
        </is>
      </c>
    </row>
    <row r="756">
      <c r="B756" s="110" t="inlineStr">
        <is>
          <t>CAPRICORNIO TEXTIL</t>
        </is>
      </c>
      <c r="C756" s="109" t="n">
        <v>46321</v>
      </c>
      <c r="D756" s="110" t="inlineStr">
        <is>
          <t>BOLETO BANCÁRIO</t>
        </is>
      </c>
      <c r="E756" s="111" t="n">
        <v>1457.51</v>
      </c>
      <c r="F756" s="110" t="inlineStr">
        <is>
          <t>Tecidos</t>
        </is>
      </c>
      <c r="G756" s="110" t="inlineStr">
        <is>
          <t>A PAGAR</t>
        </is>
      </c>
    </row>
    <row r="757">
      <c r="B757" s="110" t="inlineStr">
        <is>
          <t>SHEILA ETIQUETAS</t>
        </is>
      </c>
      <c r="C757" s="109" t="n">
        <v>46321</v>
      </c>
      <c r="D757" s="110" t="inlineStr">
        <is>
          <t>BOLETO BANCÁRIO</t>
        </is>
      </c>
      <c r="E757" s="111" t="n">
        <v>349.56</v>
      </c>
      <c r="F757" s="110" t="inlineStr">
        <is>
          <t>Aviamento</t>
        </is>
      </c>
      <c r="G757" s="110" t="inlineStr">
        <is>
          <t>A PAGAR</t>
        </is>
      </c>
    </row>
    <row r="758">
      <c r="B758" s="110" t="inlineStr">
        <is>
          <t>LUIZ GUSTAVO SANTANA</t>
        </is>
      </c>
      <c r="C758" s="109" t="n">
        <v>46321</v>
      </c>
      <c r="D758" s="110" t="inlineStr">
        <is>
          <t>PIX CODI BANCO BRASIL</t>
        </is>
      </c>
      <c r="E758" s="111" t="n">
        <v>100</v>
      </c>
      <c r="F758" s="110" t="inlineStr">
        <is>
          <t>Vales e Adiantamentos</t>
        </is>
      </c>
      <c r="G758" s="110" t="inlineStr">
        <is>
          <t>A PAGAR</t>
        </is>
      </c>
    </row>
    <row r="759">
      <c r="B759" s="110" t="inlineStr">
        <is>
          <t>WESLEY WK TEXTIL</t>
        </is>
      </c>
      <c r="C759" s="109" t="n">
        <v>46321</v>
      </c>
      <c r="D759" s="110" t="inlineStr">
        <is>
          <t>CHEQUE - EMPRESA</t>
        </is>
      </c>
      <c r="E759" s="111" t="n">
        <v>4500</v>
      </c>
      <c r="F759" s="110" t="inlineStr">
        <is>
          <t>Tecidos</t>
        </is>
      </c>
      <c r="G759" s="110" t="inlineStr">
        <is>
          <t>A PAGAR</t>
        </is>
      </c>
    </row>
    <row r="760">
      <c r="B760" s="110" t="inlineStr">
        <is>
          <t>AJUDA DE CUSTO - SEMANA</t>
        </is>
      </c>
      <c r="C760" s="109" t="n">
        <v>46321</v>
      </c>
      <c r="D760" s="110" t="inlineStr">
        <is>
          <t>CHEQUE - EMPRESA</t>
        </is>
      </c>
      <c r="E760" s="111" t="n">
        <v>600</v>
      </c>
      <c r="F760" s="110" t="inlineStr">
        <is>
          <t>Vale Transporte</t>
        </is>
      </c>
      <c r="G760" s="110" t="inlineStr">
        <is>
          <t>A PAGAR</t>
        </is>
      </c>
    </row>
    <row r="761">
      <c r="B761" s="110" t="inlineStr">
        <is>
          <t>ALVO TEXTIL LTDA</t>
        </is>
      </c>
      <c r="C761" s="109" t="n">
        <v>46322</v>
      </c>
      <c r="D761" s="110" t="inlineStr">
        <is>
          <t>CHEQUE - EMPRESA</t>
        </is>
      </c>
      <c r="E761" s="111" t="n">
        <v>4720</v>
      </c>
      <c r="F761" s="110" t="inlineStr">
        <is>
          <t>Tecidos</t>
        </is>
      </c>
      <c r="G761" s="110" t="inlineStr">
        <is>
          <t>A PAGAR</t>
        </is>
      </c>
    </row>
    <row r="762">
      <c r="B762" s="110" t="inlineStr">
        <is>
          <t>EQUATORIAL ENERGIA</t>
        </is>
      </c>
      <c r="C762" s="109" t="n">
        <v>46322</v>
      </c>
      <c r="D762" s="110" t="inlineStr">
        <is>
          <t>BOLETO BANCÁRIO</t>
        </is>
      </c>
      <c r="E762" s="111" t="n">
        <v>450</v>
      </c>
      <c r="F762" s="110" t="inlineStr">
        <is>
          <t>Energia Elétrica</t>
        </is>
      </c>
      <c r="G762" s="110" t="inlineStr">
        <is>
          <t>A PAGAR</t>
        </is>
      </c>
    </row>
    <row r="763">
      <c r="B763" s="110" t="inlineStr">
        <is>
          <t>LIDER TECIDOS LIDERANCA COMERCIO LTDA</t>
        </is>
      </c>
      <c r="C763" s="109" t="n">
        <v>46323</v>
      </c>
      <c r="D763" s="110" t="inlineStr">
        <is>
          <t>CHEQUE - EMPRESA</t>
        </is>
      </c>
      <c r="E763" s="111" t="n">
        <v>4650</v>
      </c>
      <c r="F763" s="110" t="inlineStr">
        <is>
          <t>Tecidos</t>
        </is>
      </c>
      <c r="G763" s="110" t="inlineStr">
        <is>
          <t>A PAGAR</t>
        </is>
      </c>
    </row>
    <row r="764">
      <c r="B764" s="110" t="inlineStr">
        <is>
          <t>SANEAGO</t>
        </is>
      </c>
      <c r="C764" s="109" t="n">
        <v>46323</v>
      </c>
      <c r="D764" s="110" t="inlineStr">
        <is>
          <t>BOLETO BANCÁRIO</t>
        </is>
      </c>
      <c r="E764" s="111" t="n">
        <v>280</v>
      </c>
      <c r="F764" s="110" t="inlineStr">
        <is>
          <t>Água</t>
        </is>
      </c>
      <c r="G764" s="110" t="inlineStr">
        <is>
          <t>A PAGAR</t>
        </is>
      </c>
    </row>
    <row r="765">
      <c r="B765" s="110" t="inlineStr">
        <is>
          <t>IMPOSTO ALV</t>
        </is>
      </c>
      <c r="C765" s="109" t="n">
        <v>46323</v>
      </c>
      <c r="D765" s="110" t="inlineStr">
        <is>
          <t>BOLETO BANCÁRIO</t>
        </is>
      </c>
      <c r="E765" s="111" t="n">
        <v>1272</v>
      </c>
      <c r="F765" s="110" t="inlineStr">
        <is>
          <t>Simples Nacional</t>
        </is>
      </c>
      <c r="G765" s="110" t="inlineStr">
        <is>
          <t>A PAGAR</t>
        </is>
      </c>
    </row>
    <row r="766">
      <c r="B766" s="110" t="inlineStr">
        <is>
          <t>BANCO SANTANDER</t>
        </is>
      </c>
      <c r="C766" s="109" t="n">
        <v>46323</v>
      </c>
      <c r="D766" s="110" t="inlineStr">
        <is>
          <t>TRANSFERÊNCIA</t>
        </is>
      </c>
      <c r="E766" s="111" t="n">
        <v>15436.91</v>
      </c>
      <c r="F766" s="110" t="inlineStr">
        <is>
          <t>Empréstimos</t>
        </is>
      </c>
      <c r="G766" s="110" t="inlineStr">
        <is>
          <t>A PAGAR</t>
        </is>
      </c>
    </row>
    <row r="767">
      <c r="B767" s="110" t="inlineStr">
        <is>
          <t>LIDER TECIDOS LIDERANCA COMERCIO LTDA</t>
        </is>
      </c>
      <c r="C767" s="109" t="n">
        <v>46325</v>
      </c>
      <c r="D767" s="110" t="inlineStr">
        <is>
          <t>CHEQUE - EMPRESA</t>
        </is>
      </c>
      <c r="E767" s="111" t="n">
        <v>102.32</v>
      </c>
      <c r="F767" s="110" t="inlineStr">
        <is>
          <t xml:space="preserve">PFROVISÃO CODI JEANS </t>
        </is>
      </c>
      <c r="G767" s="110" t="inlineStr">
        <is>
          <t>A PAGAR</t>
        </is>
      </c>
    </row>
    <row r="768">
      <c r="B768" s="110" t="inlineStr">
        <is>
          <t>LIDER TECIDOS LIDERANCA COMERCIO LTDA</t>
        </is>
      </c>
      <c r="C768" s="109" t="n">
        <v>46325</v>
      </c>
      <c r="D768" s="110" t="inlineStr">
        <is>
          <t>CHEQUE - EMPRESA</t>
        </is>
      </c>
      <c r="E768" s="111" t="n">
        <v>1619.23</v>
      </c>
      <c r="F768" s="110" t="inlineStr">
        <is>
          <t xml:space="preserve">PFROVISÃO CODI JEANS </t>
        </is>
      </c>
      <c r="G768" s="110" t="inlineStr">
        <is>
          <t>A PAGAR</t>
        </is>
      </c>
    </row>
    <row r="769">
      <c r="B769" s="110" t="inlineStr">
        <is>
          <t>WESLEY WK TEXTIL</t>
        </is>
      </c>
      <c r="C769" s="109" t="n">
        <v>46325</v>
      </c>
      <c r="D769" s="110" t="inlineStr">
        <is>
          <t>CHEQUE - EMPRESA</t>
        </is>
      </c>
      <c r="E769" s="111" t="n">
        <v>4500</v>
      </c>
      <c r="F769" s="110" t="inlineStr">
        <is>
          <t>Tecidos</t>
        </is>
      </c>
      <c r="G769" s="110" t="inlineStr">
        <is>
          <t>A PAGAR</t>
        </is>
      </c>
    </row>
    <row r="770">
      <c r="B770" s="110" t="inlineStr">
        <is>
          <t>ALVO TEXTIL LTDA</t>
        </is>
      </c>
      <c r="C770" s="109" t="n">
        <v>46325</v>
      </c>
      <c r="D770" s="110" t="inlineStr">
        <is>
          <t>CHEQUE - EMPRESA</t>
        </is>
      </c>
      <c r="E770" s="111" t="n">
        <v>4950</v>
      </c>
      <c r="F770" s="110" t="inlineStr">
        <is>
          <t>Tecidos</t>
        </is>
      </c>
      <c r="G770" s="110" t="inlineStr">
        <is>
          <t>A PAGAR</t>
        </is>
      </c>
    </row>
    <row r="771">
      <c r="B771" s="110" t="inlineStr">
        <is>
          <t>ALVO TEXTIL LTDA</t>
        </is>
      </c>
      <c r="C771" s="109" t="n">
        <v>46326</v>
      </c>
      <c r="D771" s="110" t="inlineStr">
        <is>
          <t>CHEQUE - EMPRESA</t>
        </is>
      </c>
      <c r="E771" s="111" t="n">
        <v>4720</v>
      </c>
      <c r="F771" s="110" t="inlineStr">
        <is>
          <t>Tecidos</t>
        </is>
      </c>
      <c r="G771" s="110" t="inlineStr">
        <is>
          <t>A PAGAR</t>
        </is>
      </c>
    </row>
    <row r="772">
      <c r="B772" s="110" t="inlineStr">
        <is>
          <t>LIDER TECIDOS LIDERANCA COMERCIO LTDA</t>
        </is>
      </c>
      <c r="C772" s="109" t="n">
        <v>46326</v>
      </c>
      <c r="D772" s="110" t="inlineStr">
        <is>
          <t>CHEQUE - EMPRESA</t>
        </is>
      </c>
      <c r="E772" s="111" t="n">
        <v>4650</v>
      </c>
      <c r="F772" s="110" t="inlineStr">
        <is>
          <t>Tecidos</t>
        </is>
      </c>
      <c r="G772" s="110" t="inlineStr">
        <is>
          <t>A PAGAR</t>
        </is>
      </c>
    </row>
    <row r="773">
      <c r="B773" s="110" t="inlineStr">
        <is>
          <t>WOZ COMUNICAÇÃO</t>
        </is>
      </c>
      <c r="C773" s="109" t="n">
        <v>46327</v>
      </c>
      <c r="D773" s="110" t="inlineStr">
        <is>
          <t>PIX CODI BANCO BRASIL</t>
        </is>
      </c>
      <c r="E773" s="111" t="n">
        <v>1397</v>
      </c>
      <c r="F773" s="110" t="inlineStr">
        <is>
          <t>TRÁFEGO META</t>
        </is>
      </c>
      <c r="G773" s="110" t="inlineStr">
        <is>
          <t>A PAGAR</t>
        </is>
      </c>
    </row>
    <row r="774">
      <c r="B774" s="110" t="inlineStr">
        <is>
          <t>LUIZ GUSTAVO SANTANA</t>
        </is>
      </c>
      <c r="C774" s="109" t="n">
        <v>46328</v>
      </c>
      <c r="D774" s="110" t="inlineStr">
        <is>
          <t>PIX CODI BANCO BRASIL</t>
        </is>
      </c>
      <c r="E774" s="111" t="n">
        <v>100</v>
      </c>
      <c r="F774" s="110" t="inlineStr">
        <is>
          <t>Vales e Adiantamentos</t>
        </is>
      </c>
      <c r="G774" s="110" t="inlineStr">
        <is>
          <t>A PAGAR</t>
        </is>
      </c>
    </row>
    <row r="775">
      <c r="B775" s="110" t="inlineStr">
        <is>
          <t>AJUDA DE CUSTO - SEMANA</t>
        </is>
      </c>
      <c r="C775" s="109" t="n">
        <v>46328</v>
      </c>
      <c r="D775" s="110" t="inlineStr">
        <is>
          <t>CHEQUE - EMPRESA</t>
        </is>
      </c>
      <c r="E775" s="111" t="n">
        <v>600</v>
      </c>
      <c r="F775" s="110" t="inlineStr">
        <is>
          <t>Vale Transporte</t>
        </is>
      </c>
      <c r="G775" s="110" t="inlineStr">
        <is>
          <t>A PAGAR</t>
        </is>
      </c>
    </row>
    <row r="776">
      <c r="B776" s="110" t="inlineStr">
        <is>
          <t>SHEILA ETIQUETAS</t>
        </is>
      </c>
      <c r="C776" s="109" t="n">
        <v>46329</v>
      </c>
      <c r="D776" s="110" t="inlineStr">
        <is>
          <t>CHEQUE - EMPRESA</t>
        </is>
      </c>
      <c r="E776" s="111" t="n">
        <v>425.12</v>
      </c>
      <c r="F776" s="110" t="inlineStr">
        <is>
          <t xml:space="preserve">PFROVISÃO CODI JEANS </t>
        </is>
      </c>
      <c r="G776" s="110" t="inlineStr">
        <is>
          <t>A PAGAR</t>
        </is>
      </c>
    </row>
    <row r="777">
      <c r="B777" s="110" t="inlineStr">
        <is>
          <t>CAPITAL GIRO BRADESCO ALV PJ</t>
        </is>
      </c>
      <c r="C777" s="109" t="n">
        <v>46329</v>
      </c>
      <c r="D777" s="110" t="inlineStr">
        <is>
          <t>TRANSFERÊNCIA</t>
        </is>
      </c>
      <c r="E777" s="111" t="n">
        <v>20101.44</v>
      </c>
      <c r="F777" s="110" t="inlineStr">
        <is>
          <t>Empréstimos</t>
        </is>
      </c>
      <c r="G777" s="110" t="inlineStr">
        <is>
          <t>A PAGAR</t>
        </is>
      </c>
    </row>
    <row r="778">
      <c r="B778" s="110" t="inlineStr">
        <is>
          <t>LIDER TECIDOS LIDERANCA COMERCIO LTDA</t>
        </is>
      </c>
      <c r="C778" s="109" t="n">
        <v>46330</v>
      </c>
      <c r="D778" s="110" t="inlineStr">
        <is>
          <t>CHEQUE - EMPRESA</t>
        </is>
      </c>
      <c r="E778" s="111" t="n">
        <v>114.81</v>
      </c>
      <c r="F778" s="110" t="inlineStr">
        <is>
          <t xml:space="preserve">PFROVISÃO CODI JEANS </t>
        </is>
      </c>
      <c r="G778" s="110" t="inlineStr">
        <is>
          <t>A PAGAR</t>
        </is>
      </c>
    </row>
    <row r="779">
      <c r="B779" s="110" t="inlineStr">
        <is>
          <t>LIDER TECIDOS LIDERANCA COMERCIO LTDA</t>
        </is>
      </c>
      <c r="C779" s="109" t="n">
        <v>46331</v>
      </c>
      <c r="D779" s="110" t="inlineStr">
        <is>
          <t>CHEQUE - EMPRESA</t>
        </is>
      </c>
      <c r="E779" s="111" t="n">
        <v>1650</v>
      </c>
      <c r="F779" s="110" t="inlineStr">
        <is>
          <t xml:space="preserve">PFROVISÃO CODI JEANS </t>
        </is>
      </c>
      <c r="G779" s="110" t="inlineStr">
        <is>
          <t>A PAGAR</t>
        </is>
      </c>
    </row>
    <row r="780">
      <c r="B780" s="110" t="inlineStr">
        <is>
          <t>CAPRICORNIO TEXTIL</t>
        </is>
      </c>
      <c r="C780" s="109" t="n">
        <v>46331</v>
      </c>
      <c r="D780" s="110" t="inlineStr">
        <is>
          <t>BOLETO BANCÁRIO</t>
        </is>
      </c>
      <c r="E780" s="111" t="n">
        <v>2352.56</v>
      </c>
      <c r="F780" s="110" t="inlineStr">
        <is>
          <t>Tecidos</t>
        </is>
      </c>
      <c r="G780" s="110" t="inlineStr">
        <is>
          <t>A PAGAR</t>
        </is>
      </c>
    </row>
    <row r="781">
      <c r="B781" s="110" t="inlineStr">
        <is>
          <t>RECARGA CELULARES VENDAS</t>
        </is>
      </c>
      <c r="C781" s="109" t="n">
        <v>46331</v>
      </c>
      <c r="D781" s="110" t="inlineStr">
        <is>
          <t>PIX CODI BANCO BRASIL</t>
        </is>
      </c>
      <c r="E781" s="111" t="n">
        <v>90</v>
      </c>
      <c r="F781" s="110" t="inlineStr">
        <is>
          <t>Telefonia Móvel</t>
        </is>
      </c>
      <c r="G781" s="110" t="inlineStr">
        <is>
          <t>A PAGAR</t>
        </is>
      </c>
    </row>
    <row r="782">
      <c r="B782" s="110" t="inlineStr">
        <is>
          <t>YASMIN</t>
        </is>
      </c>
      <c r="C782" s="109" t="n">
        <v>46332</v>
      </c>
      <c r="D782" s="110" t="inlineStr">
        <is>
          <t>PIX CODI BANCO BRASIL</t>
        </is>
      </c>
      <c r="E782" s="111" t="n">
        <v>1621</v>
      </c>
      <c r="F782" s="110" t="inlineStr">
        <is>
          <t>Salário e Ordenados</t>
        </is>
      </c>
      <c r="G782" s="110" t="inlineStr">
        <is>
          <t>A PAGAR</t>
        </is>
      </c>
    </row>
    <row r="783">
      <c r="B783" s="110" t="inlineStr">
        <is>
          <t>DANIEL ENNOS</t>
        </is>
      </c>
      <c r="C783" s="109" t="n">
        <v>46332</v>
      </c>
      <c r="D783" s="110" t="inlineStr">
        <is>
          <t>PIX CODI BANCO BRASIL</t>
        </is>
      </c>
      <c r="E783" s="111" t="n">
        <v>4500</v>
      </c>
      <c r="F783" s="110" t="inlineStr">
        <is>
          <t>Salário e Ordenados</t>
        </is>
      </c>
      <c r="G783" s="110" t="inlineStr">
        <is>
          <t>A PAGAR</t>
        </is>
      </c>
    </row>
    <row r="784">
      <c r="B784" s="110" t="inlineStr">
        <is>
          <t>DELVACY PEREIRA SILVA - G ESTOQUE</t>
        </is>
      </c>
      <c r="C784" s="109" t="n">
        <v>46332</v>
      </c>
      <c r="D784" s="110" t="inlineStr">
        <is>
          <t>PIX CODI BANCO BRASIL</t>
        </is>
      </c>
      <c r="E784" s="111" t="n">
        <v>2000</v>
      </c>
      <c r="F784" s="110" t="inlineStr">
        <is>
          <t>Salário e Ordenados</t>
        </is>
      </c>
      <c r="G784" s="110" t="inlineStr">
        <is>
          <t>A PAGAR</t>
        </is>
      </c>
    </row>
    <row r="785">
      <c r="B785" s="110" t="inlineStr">
        <is>
          <t>CRISLANDIA DA SILVA SOUSA - ESTOQUE</t>
        </is>
      </c>
      <c r="C785" s="109" t="n">
        <v>46332</v>
      </c>
      <c r="D785" s="110" t="inlineStr">
        <is>
          <t>PIX CODI BANCO BRASIL</t>
        </is>
      </c>
      <c r="E785" s="111" t="n">
        <v>1312.82</v>
      </c>
      <c r="F785" s="110" t="inlineStr">
        <is>
          <t>Salário e Ordenados</t>
        </is>
      </c>
      <c r="G785" s="110" t="inlineStr">
        <is>
          <t>A PAGAR</t>
        </is>
      </c>
    </row>
    <row r="786">
      <c r="B786" s="110" t="inlineStr">
        <is>
          <t>LUIZ GUSTAVO SANTANA</t>
        </is>
      </c>
      <c r="C786" s="109" t="n">
        <v>46332</v>
      </c>
      <c r="D786" s="110" t="inlineStr">
        <is>
          <t>PIX CODI BANCO BRASIL</t>
        </is>
      </c>
      <c r="E786" s="111" t="n">
        <v>2300</v>
      </c>
      <c r="F786" s="110" t="inlineStr">
        <is>
          <t>Salário e Ordenados</t>
        </is>
      </c>
      <c r="G786" s="110" t="inlineStr">
        <is>
          <t>A PAGAR</t>
        </is>
      </c>
    </row>
    <row r="787">
      <c r="B787" s="110" t="inlineStr">
        <is>
          <t>ADRIANA CARDOSO DA SILVA - VENDAS</t>
        </is>
      </c>
      <c r="C787" s="109" t="n">
        <v>46332</v>
      </c>
      <c r="D787" s="110" t="inlineStr">
        <is>
          <t>PIX CODI BANCO BRASIL</t>
        </is>
      </c>
      <c r="E787" s="111" t="n">
        <v>1612.82</v>
      </c>
      <c r="F787" s="110" t="inlineStr">
        <is>
          <t>Salário e Ordenados</t>
        </is>
      </c>
      <c r="G787" s="110" t="inlineStr">
        <is>
          <t>A PAGAR</t>
        </is>
      </c>
    </row>
    <row r="788">
      <c r="B788" s="110" t="inlineStr">
        <is>
          <t>AILTON TORRES FERREIRA - CORTADOR</t>
        </is>
      </c>
      <c r="C788" s="109" t="n">
        <v>46332</v>
      </c>
      <c r="D788" s="110" t="inlineStr">
        <is>
          <t>PIX CODI BANCO BRASIL</t>
        </is>
      </c>
      <c r="E788" s="111" t="n">
        <v>2542</v>
      </c>
      <c r="F788" s="110" t="inlineStr">
        <is>
          <t>Salário e Ordenados</t>
        </is>
      </c>
      <c r="G788" s="110" t="inlineStr">
        <is>
          <t>A PAGAR</t>
        </is>
      </c>
    </row>
    <row r="789">
      <c r="B789" s="110" t="inlineStr">
        <is>
          <t>WALLYSON HENRIQUE BARBOSA SOUZA</t>
        </is>
      </c>
      <c r="C789" s="109" t="n">
        <v>46332</v>
      </c>
      <c r="D789" s="110" t="inlineStr">
        <is>
          <t>PIX CODI BANCO BRASIL</t>
        </is>
      </c>
      <c r="E789" s="111" t="n">
        <v>4200</v>
      </c>
      <c r="F789" s="110" t="inlineStr">
        <is>
          <t>Salário e Ordenados</t>
        </is>
      </c>
      <c r="G789" s="110" t="inlineStr">
        <is>
          <t>A PAGAR</t>
        </is>
      </c>
    </row>
    <row r="790">
      <c r="B790" s="110" t="inlineStr">
        <is>
          <t>GABY FERREIRA - VENDAS</t>
        </is>
      </c>
      <c r="C790" s="109" t="n">
        <v>46332</v>
      </c>
      <c r="D790" s="110" t="inlineStr">
        <is>
          <t>PIX CODI BANCO BRASIL</t>
        </is>
      </c>
      <c r="E790" s="111" t="n">
        <v>1518</v>
      </c>
      <c r="F790" s="110" t="inlineStr">
        <is>
          <t>Salário e Ordenados</t>
        </is>
      </c>
      <c r="G790" s="110" t="inlineStr">
        <is>
          <t>A PAGAR</t>
        </is>
      </c>
    </row>
    <row r="791">
      <c r="B791" s="110" t="inlineStr">
        <is>
          <t>EDIMAR GERENTE DE PRODUÇÃO</t>
        </is>
      </c>
      <c r="C791" s="109" t="n">
        <v>46332</v>
      </c>
      <c r="D791" s="110" t="inlineStr">
        <is>
          <t>PIX CODI BANCO BRASIL</t>
        </is>
      </c>
      <c r="E791" s="111" t="n">
        <v>6484</v>
      </c>
      <c r="F791" s="110" t="inlineStr">
        <is>
          <t>Salário e Ordenados</t>
        </is>
      </c>
      <c r="G791" s="110" t="inlineStr">
        <is>
          <t>A PAGAR</t>
        </is>
      </c>
    </row>
    <row r="792">
      <c r="B792" s="110" t="inlineStr">
        <is>
          <t>JOSÉ HAMILTON FERREIRA - CORTADOR</t>
        </is>
      </c>
      <c r="C792" s="109" t="n">
        <v>46332</v>
      </c>
      <c r="D792" s="110" t="inlineStr">
        <is>
          <t>PIX CODI BANCO BRASIL</t>
        </is>
      </c>
      <c r="E792" s="111" t="n">
        <v>1781.5</v>
      </c>
      <c r="F792" s="110" t="inlineStr">
        <is>
          <t>Salário e Ordenados</t>
        </is>
      </c>
      <c r="G792" s="110" t="inlineStr">
        <is>
          <t>A PAGAR</t>
        </is>
      </c>
    </row>
    <row r="793">
      <c r="B793" s="110" t="inlineStr">
        <is>
          <t>JHULLYA STEFANLY SOUZA REZENDE</t>
        </is>
      </c>
      <c r="C793" s="109" t="n">
        <v>46332</v>
      </c>
      <c r="D793" s="110" t="inlineStr">
        <is>
          <t>PIX CODI BANCO BRASIL</t>
        </is>
      </c>
      <c r="E793" s="111" t="n">
        <v>1518</v>
      </c>
      <c r="F793" s="110" t="inlineStr">
        <is>
          <t>Salário e Ordenados</t>
        </is>
      </c>
      <c r="G793" s="110" t="inlineStr">
        <is>
          <t>A PAGAR</t>
        </is>
      </c>
    </row>
    <row r="794">
      <c r="B794" s="110" t="inlineStr">
        <is>
          <t>THAYS CAROLINE FINANCEIRO</t>
        </is>
      </c>
      <c r="C794" s="109" t="n">
        <v>46333</v>
      </c>
      <c r="D794" s="110" t="inlineStr">
        <is>
          <t>PIX CODI BANCO BRASIL</t>
        </is>
      </c>
      <c r="E794" s="111" t="n">
        <v>3500</v>
      </c>
      <c r="F794" s="110" t="inlineStr">
        <is>
          <t>Assessoria Técnica Profissional</t>
        </is>
      </c>
      <c r="G794" s="110" t="inlineStr">
        <is>
          <t>A PAGAR</t>
        </is>
      </c>
    </row>
    <row r="795">
      <c r="B795" s="110" t="inlineStr">
        <is>
          <t>ROCHA DE MACEDO E FRANCO ADV</t>
        </is>
      </c>
      <c r="C795" s="109" t="n">
        <v>46333</v>
      </c>
      <c r="D795" s="110" t="inlineStr">
        <is>
          <t>PIX CODI BANCO BRASIL</t>
        </is>
      </c>
      <c r="E795" s="111" t="n">
        <v>2500</v>
      </c>
      <c r="F795" s="110" t="inlineStr">
        <is>
          <t>Advogados - Honorários</t>
        </is>
      </c>
      <c r="G795" s="110" t="inlineStr">
        <is>
          <t>A PAGAR</t>
        </is>
      </c>
    </row>
    <row r="796">
      <c r="B796" s="110" t="inlineStr">
        <is>
          <t>LUIZ GUSTAVO SANTANA</t>
        </is>
      </c>
      <c r="C796" s="109" t="n">
        <v>46335</v>
      </c>
      <c r="D796" s="110" t="inlineStr">
        <is>
          <t>PIX CODI BANCO BRASIL</t>
        </is>
      </c>
      <c r="E796" s="111" t="n">
        <v>100</v>
      </c>
      <c r="F796" s="110" t="inlineStr">
        <is>
          <t>Vales e Adiantamentos</t>
        </is>
      </c>
      <c r="G796" s="110" t="inlineStr">
        <is>
          <t>A PAGAR</t>
        </is>
      </c>
    </row>
    <row r="797">
      <c r="B797" s="110" t="inlineStr">
        <is>
          <t>AJUDA DE CUSTO - SEMANA</t>
        </is>
      </c>
      <c r="C797" s="109" t="n">
        <v>46335</v>
      </c>
      <c r="D797" s="110" t="inlineStr">
        <is>
          <t>CHEQUE - EMPRESA</t>
        </is>
      </c>
      <c r="E797" s="111" t="n">
        <v>600</v>
      </c>
      <c r="F797" s="110" t="inlineStr">
        <is>
          <t>Vale Transporte</t>
        </is>
      </c>
      <c r="G797" s="110" t="inlineStr">
        <is>
          <t>A PAGAR</t>
        </is>
      </c>
    </row>
    <row r="798">
      <c r="B798" s="110" t="inlineStr">
        <is>
          <t>LIDER TECIDOS LIDERANCA COMERCIO LTDA</t>
        </is>
      </c>
      <c r="C798" s="109" t="n">
        <v>46336</v>
      </c>
      <c r="D798" s="110" t="inlineStr">
        <is>
          <t xml:space="preserve">CARTÃO DE CRÉDITO </t>
        </is>
      </c>
      <c r="E798" s="111" t="n">
        <v>3000</v>
      </c>
      <c r="F798" s="110" t="inlineStr">
        <is>
          <t>Tecidos</t>
        </is>
      </c>
      <c r="G798" s="110" t="inlineStr">
        <is>
          <t>A PAGAR</t>
        </is>
      </c>
    </row>
    <row r="799">
      <c r="B799" s="110" t="inlineStr">
        <is>
          <t xml:space="preserve">MBM LAVANDERIA </t>
        </is>
      </c>
      <c r="C799" s="109" t="n">
        <v>46336</v>
      </c>
      <c r="D799" s="110" t="inlineStr">
        <is>
          <t>CHEQUE - EMPRESA</t>
        </is>
      </c>
      <c r="E799" s="111" t="n">
        <v>2651.2</v>
      </c>
      <c r="F799" s="110" t="inlineStr">
        <is>
          <t>Lavanderia</t>
        </is>
      </c>
      <c r="G799" s="110" t="inlineStr">
        <is>
          <t>A PAGAR</t>
        </is>
      </c>
    </row>
    <row r="800">
      <c r="B800" s="110" t="inlineStr">
        <is>
          <t>WIKI SISTEMAS</t>
        </is>
      </c>
      <c r="C800" s="109" t="n">
        <v>46336</v>
      </c>
      <c r="D800" s="110" t="inlineStr">
        <is>
          <t>BOLETO BANCÁRIO</t>
        </is>
      </c>
      <c r="E800" s="111" t="n">
        <v>1320</v>
      </c>
      <c r="F800" s="110" t="inlineStr">
        <is>
          <t>Web Site e Sistema ERP</t>
        </is>
      </c>
      <c r="G800" s="110" t="inlineStr">
        <is>
          <t>A PAGAR</t>
        </is>
      </c>
    </row>
    <row r="801">
      <c r="B801" s="110" t="inlineStr">
        <is>
          <t>CONSÓRCIO BANCO DO BRASIL</t>
        </is>
      </c>
      <c r="C801" s="109" t="n">
        <v>46336</v>
      </c>
      <c r="D801" s="110" t="inlineStr">
        <is>
          <t>TRANSFERÊNCIA</t>
        </is>
      </c>
      <c r="E801" s="111" t="n">
        <v>2055.6</v>
      </c>
      <c r="F801" s="110" t="inlineStr">
        <is>
          <t>Consórcio</t>
        </is>
      </c>
      <c r="G801" s="110" t="inlineStr">
        <is>
          <t>A PAGAR</t>
        </is>
      </c>
    </row>
    <row r="802">
      <c r="B802" s="110" t="inlineStr">
        <is>
          <t>ALUGUEL LORIVALDO</t>
        </is>
      </c>
      <c r="C802" s="109" t="n">
        <v>46336</v>
      </c>
      <c r="D802" s="110" t="inlineStr">
        <is>
          <t>PIX CODI BANCO BRASIL</t>
        </is>
      </c>
      <c r="E802" s="111" t="n">
        <v>6484</v>
      </c>
      <c r="F802" s="110" t="inlineStr">
        <is>
          <t>Aluguéis e Condomínios</t>
        </is>
      </c>
      <c r="G802" s="110" t="inlineStr">
        <is>
          <t>A PAGAR</t>
        </is>
      </c>
    </row>
    <row r="803">
      <c r="B803" s="110" t="inlineStr">
        <is>
          <t>LUCAS/ CONTADOR</t>
        </is>
      </c>
      <c r="C803" s="109" t="n">
        <v>46336</v>
      </c>
      <c r="D803" s="110" t="inlineStr">
        <is>
          <t>PIX CODI BANCO BRASIL</t>
        </is>
      </c>
      <c r="E803" s="111" t="n">
        <v>1100</v>
      </c>
      <c r="F803" s="110" t="inlineStr">
        <is>
          <t>Honorários Contábeis (Contabilidade)</t>
        </is>
      </c>
      <c r="G803" s="110" t="inlineStr">
        <is>
          <t>A PAGAR</t>
        </is>
      </c>
    </row>
    <row r="804">
      <c r="B804" s="110" t="inlineStr">
        <is>
          <t>LAVANDERIA AMAZONAS - LEONARDO</t>
        </is>
      </c>
      <c r="C804" s="109" t="n">
        <v>46337</v>
      </c>
      <c r="D804" s="110" t="inlineStr">
        <is>
          <t>CHEQUE - EMPRESA</t>
        </is>
      </c>
      <c r="E804" s="111" t="n">
        <v>1320</v>
      </c>
      <c r="F804" s="110" t="inlineStr">
        <is>
          <t>Lavanderia</t>
        </is>
      </c>
      <c r="G804" s="110" t="inlineStr">
        <is>
          <t>A PAGAR</t>
        </is>
      </c>
    </row>
    <row r="805">
      <c r="B805" s="110" t="inlineStr">
        <is>
          <t>LIDER TECIDOS LIDERANCA COMERCIO LTDA</t>
        </is>
      </c>
      <c r="C805" s="109" t="n">
        <v>46337</v>
      </c>
      <c r="D805" s="110" t="inlineStr">
        <is>
          <t>CHEQUE CLIENTE</t>
        </is>
      </c>
      <c r="E805" s="111" t="n">
        <v>1320</v>
      </c>
      <c r="F805" s="110" t="inlineStr">
        <is>
          <t>Tecidos</t>
        </is>
      </c>
      <c r="G805" s="110" t="inlineStr">
        <is>
          <t>A PAGAR</t>
        </is>
      </c>
    </row>
    <row r="806">
      <c r="B806" s="110" t="inlineStr">
        <is>
          <t>ALVO TEXTIL LTDA</t>
        </is>
      </c>
      <c r="C806" s="109" t="n">
        <v>46338</v>
      </c>
      <c r="D806" s="110" t="inlineStr">
        <is>
          <t>CHEQUE - EMPRESA</t>
        </is>
      </c>
      <c r="E806" s="111" t="n">
        <v>4900</v>
      </c>
      <c r="F806" s="110" t="inlineStr">
        <is>
          <t>Tecidos</t>
        </is>
      </c>
      <c r="G806" s="110" t="inlineStr">
        <is>
          <t>A PAGAR</t>
        </is>
      </c>
    </row>
    <row r="807">
      <c r="B807" s="110" t="inlineStr">
        <is>
          <t>BLESSED LAVANDERIA</t>
        </is>
      </c>
      <c r="C807" s="109" t="n">
        <v>46338</v>
      </c>
      <c r="D807" s="110" t="inlineStr">
        <is>
          <t>CHEQUE - EMPRESA</t>
        </is>
      </c>
      <c r="E807" s="111" t="n">
        <v>4400</v>
      </c>
      <c r="F807" s="110" t="inlineStr">
        <is>
          <t>Lavanderia</t>
        </is>
      </c>
      <c r="G807" s="110" t="inlineStr">
        <is>
          <t>A PAGAR</t>
        </is>
      </c>
    </row>
    <row r="808">
      <c r="B808" s="110" t="inlineStr">
        <is>
          <t>LIDER TECIDOS LIDERANCA COMERCIO LTDA</t>
        </is>
      </c>
      <c r="C808" s="109" t="n">
        <v>46340</v>
      </c>
      <c r="D808" s="110" t="inlineStr">
        <is>
          <t>CHEQUE - EMPRESA</t>
        </is>
      </c>
      <c r="E808" s="111" t="n">
        <v>1213.64</v>
      </c>
      <c r="F808" s="110" t="inlineStr">
        <is>
          <t xml:space="preserve">PFROVISÃO CODI JEANS </t>
        </is>
      </c>
      <c r="G808" s="110" t="inlineStr">
        <is>
          <t>A PAGAR</t>
        </is>
      </c>
    </row>
    <row r="809">
      <c r="B809" s="110" t="inlineStr">
        <is>
          <t>LIDER TECIDOS LIDERANCA COMERCIO LTDA</t>
        </is>
      </c>
      <c r="C809" s="109" t="n">
        <v>46340</v>
      </c>
      <c r="D809" s="110" t="inlineStr">
        <is>
          <t>CHEQUE - EMPRESA</t>
        </is>
      </c>
      <c r="E809" s="111" t="n">
        <v>17634.68</v>
      </c>
      <c r="F809" s="110" t="inlineStr">
        <is>
          <t xml:space="preserve">PFROVISÃO CODI JEANS </t>
        </is>
      </c>
      <c r="G809" s="110" t="inlineStr">
        <is>
          <t>A PAGAR</t>
        </is>
      </c>
    </row>
    <row r="810">
      <c r="B810" s="110" t="inlineStr">
        <is>
          <t>LIDER TECIDOS LIDERANCA COMERCIO LTDA</t>
        </is>
      </c>
      <c r="C810" s="109" t="n">
        <v>46341</v>
      </c>
      <c r="D810" s="110" t="inlineStr">
        <is>
          <t>CHEQUE - EMPRESA</t>
        </is>
      </c>
      <c r="E810" s="111" t="n">
        <v>2120.7</v>
      </c>
      <c r="F810" s="110" t="inlineStr">
        <is>
          <t xml:space="preserve">PFROVISÃO CODI JEANS </t>
        </is>
      </c>
      <c r="G810" s="110" t="inlineStr">
        <is>
          <t>A PAGAR</t>
        </is>
      </c>
    </row>
    <row r="811">
      <c r="B811" s="110" t="inlineStr">
        <is>
          <t>SHEILA ETIQUETAS</t>
        </is>
      </c>
      <c r="C811" s="109" t="n">
        <v>46341</v>
      </c>
      <c r="D811" s="110" t="inlineStr">
        <is>
          <t>CHEQUE - EMPRESA</t>
        </is>
      </c>
      <c r="E811" s="111" t="n">
        <v>2018.67</v>
      </c>
      <c r="F811" s="110" t="inlineStr">
        <is>
          <t xml:space="preserve">PFROVISÃO CODI JEANS </t>
        </is>
      </c>
      <c r="G811" s="110" t="inlineStr">
        <is>
          <t>A PAGAR</t>
        </is>
      </c>
    </row>
    <row r="812">
      <c r="B812" s="110" t="inlineStr">
        <is>
          <t>SERASA</t>
        </is>
      </c>
      <c r="C812" s="109" t="n">
        <v>46341</v>
      </c>
      <c r="D812" s="110" t="inlineStr">
        <is>
          <t>BOLETO BANCÁRIO</t>
        </is>
      </c>
      <c r="E812" s="111" t="n">
        <v>350</v>
      </c>
      <c r="F812" s="110" t="inlineStr">
        <is>
          <t>Consulta de Crédito Cliente</t>
        </is>
      </c>
      <c r="G812" s="110" t="inlineStr">
        <is>
          <t>A PAGAR</t>
        </is>
      </c>
    </row>
    <row r="813">
      <c r="B813" s="110" t="inlineStr">
        <is>
          <t>LUIZ GUSTAVO SANTANA</t>
        </is>
      </c>
      <c r="C813" s="109" t="n">
        <v>46342</v>
      </c>
      <c r="D813" s="110" t="inlineStr">
        <is>
          <t>PIX CODI BANCO BRASIL</t>
        </is>
      </c>
      <c r="E813" s="111" t="n">
        <v>100</v>
      </c>
      <c r="F813" s="110" t="inlineStr">
        <is>
          <t>Vales e Adiantamentos</t>
        </is>
      </c>
      <c r="G813" s="110" t="inlineStr">
        <is>
          <t>A PAGAR</t>
        </is>
      </c>
    </row>
    <row r="814">
      <c r="B814" s="110" t="inlineStr">
        <is>
          <t>PORTO SEGURO CIA DE SEGUROS GERAIS</t>
        </is>
      </c>
      <c r="C814" s="109" t="n">
        <v>46342</v>
      </c>
      <c r="D814" s="110" t="inlineStr">
        <is>
          <t>CARTÃO DE CRÉDITO</t>
        </is>
      </c>
      <c r="E814" s="111" t="n">
        <v>928.14</v>
      </c>
      <c r="F814" s="110" t="inlineStr">
        <is>
          <t>Seguros</t>
        </is>
      </c>
      <c r="G814" s="110" t="inlineStr">
        <is>
          <t>A PAGAR</t>
        </is>
      </c>
    </row>
    <row r="815">
      <c r="B815" s="110" t="inlineStr">
        <is>
          <t>AJUDA DE CUSTO - SEMANA</t>
        </is>
      </c>
      <c r="C815" s="109" t="n">
        <v>46342</v>
      </c>
      <c r="D815" s="110" t="inlineStr">
        <is>
          <t>CHEQUE - EMPRESA</t>
        </is>
      </c>
      <c r="E815" s="111" t="n">
        <v>600</v>
      </c>
      <c r="F815" s="110" t="inlineStr">
        <is>
          <t>Vale Transporte</t>
        </is>
      </c>
      <c r="G815" s="110" t="inlineStr">
        <is>
          <t>A PAGAR</t>
        </is>
      </c>
    </row>
    <row r="816">
      <c r="B816" s="110" t="inlineStr">
        <is>
          <t>ALVO TEXTIL LTDA</t>
        </is>
      </c>
      <c r="C816" s="109" t="n">
        <v>46344</v>
      </c>
      <c r="D816" s="110" t="inlineStr">
        <is>
          <t>CHEQUE - EMPRESA</t>
        </is>
      </c>
      <c r="E816" s="111" t="n">
        <v>4900</v>
      </c>
      <c r="F816" s="110" t="inlineStr">
        <is>
          <t>Tecidos</t>
        </is>
      </c>
      <c r="G816" s="110" t="inlineStr">
        <is>
          <t>A PAGAR</t>
        </is>
      </c>
    </row>
    <row r="817">
      <c r="B817" s="110" t="inlineStr">
        <is>
          <t>LIDER TECIDOS LIDERANCA COMERCIO LTDA</t>
        </is>
      </c>
      <c r="C817" s="109" t="n">
        <v>46344</v>
      </c>
      <c r="D817" s="110" t="inlineStr">
        <is>
          <t>CHEQUE - EMPRESA</t>
        </is>
      </c>
      <c r="E817" s="111" t="n">
        <v>73.86</v>
      </c>
      <c r="F817" s="110" t="inlineStr">
        <is>
          <t xml:space="preserve">PFROVISÃO CODI JEANS </t>
        </is>
      </c>
      <c r="G817" s="110" t="inlineStr">
        <is>
          <t>A PAGAR</t>
        </is>
      </c>
    </row>
    <row r="818">
      <c r="B818" s="110" t="inlineStr">
        <is>
          <t>ROMERONDES - LAVANDERIA</t>
        </is>
      </c>
      <c r="C818" s="109" t="n">
        <v>46344</v>
      </c>
      <c r="D818" s="110" t="inlineStr">
        <is>
          <t>CHEQUE - EMPRESA</t>
        </is>
      </c>
      <c r="E818" s="111" t="n">
        <v>3766</v>
      </c>
      <c r="F818" s="110" t="inlineStr">
        <is>
          <t>Lavanderia</t>
        </is>
      </c>
      <c r="G818" s="110" t="inlineStr">
        <is>
          <t>A PAGAR</t>
        </is>
      </c>
    </row>
    <row r="819">
      <c r="B819" s="110" t="inlineStr">
        <is>
          <t>LIDER TECIDOS LIDERANCA COMERCIO LTDA</t>
        </is>
      </c>
      <c r="C819" s="109" t="n">
        <v>46344</v>
      </c>
      <c r="D819" s="110" t="inlineStr">
        <is>
          <t>CHEQUE - EMPRESA</t>
        </is>
      </c>
      <c r="E819" s="111" t="n">
        <v>14882.82</v>
      </c>
      <c r="F819" s="110" t="inlineStr">
        <is>
          <t>PFROVISÃO CODI JEANS</t>
        </is>
      </c>
      <c r="G819" s="110" t="inlineStr">
        <is>
          <t>A PAGAR</t>
        </is>
      </c>
    </row>
    <row r="820">
      <c r="B820" s="110" t="inlineStr">
        <is>
          <t>ALVO TEXTIL LTDA</t>
        </is>
      </c>
      <c r="C820" s="109" t="n">
        <v>46344</v>
      </c>
      <c r="D820" s="110" t="inlineStr">
        <is>
          <t>CHEQUE - EMPRESA</t>
        </is>
      </c>
      <c r="E820" s="111" t="n">
        <v>1000</v>
      </c>
      <c r="F820" s="110" t="inlineStr">
        <is>
          <t>PFROVISÃO CODI JEANS</t>
        </is>
      </c>
      <c r="G820" s="110" t="inlineStr">
        <is>
          <t>A PAGAR</t>
        </is>
      </c>
    </row>
    <row r="821">
      <c r="B821" s="110" t="inlineStr">
        <is>
          <t>IMPOSTO CODI</t>
        </is>
      </c>
      <c r="C821" s="109" t="n">
        <v>46346</v>
      </c>
      <c r="D821" s="110" t="inlineStr">
        <is>
          <t>BOLETO BANCÁRIO</t>
        </is>
      </c>
      <c r="E821" s="111" t="n">
        <v>15000</v>
      </c>
      <c r="F821" s="110" t="inlineStr">
        <is>
          <t xml:space="preserve">PFROVISÃO CODI JEANS </t>
        </is>
      </c>
      <c r="G821" s="110" t="inlineStr">
        <is>
          <t>A PAGAR</t>
        </is>
      </c>
    </row>
    <row r="822">
      <c r="B822" s="110" t="inlineStr">
        <is>
          <t xml:space="preserve">AILTON TORRES FERREIRA - CORTADOR </t>
        </is>
      </c>
      <c r="C822" s="109" t="n">
        <v>46346</v>
      </c>
      <c r="D822" s="110" t="inlineStr">
        <is>
          <t>PIX CODI BANCO BRASIL</t>
        </is>
      </c>
      <c r="E822" s="111" t="n">
        <v>550</v>
      </c>
      <c r="F822" s="110" t="inlineStr">
        <is>
          <t>Acertos e Recisões</t>
        </is>
      </c>
      <c r="G822" s="110" t="inlineStr">
        <is>
          <t>A PAGAR</t>
        </is>
      </c>
    </row>
    <row r="823">
      <c r="B823" s="110" t="inlineStr">
        <is>
          <t xml:space="preserve">JOSÉ HAMILTON FERREIRA - CORTADOR  </t>
        </is>
      </c>
      <c r="C823" s="109" t="n">
        <v>46346</v>
      </c>
      <c r="D823" s="110" t="inlineStr">
        <is>
          <t>PIX CODI BANCO BRASIL</t>
        </is>
      </c>
      <c r="E823" s="111" t="n">
        <v>500</v>
      </c>
      <c r="F823" s="110" t="inlineStr">
        <is>
          <t>Acertos e Recisões</t>
        </is>
      </c>
      <c r="G823" s="110" t="inlineStr">
        <is>
          <t>A PAGAR</t>
        </is>
      </c>
    </row>
    <row r="824">
      <c r="B824" s="110" t="inlineStr">
        <is>
          <t>GUARD SERVICE LTDA</t>
        </is>
      </c>
      <c r="C824" s="109" t="n">
        <v>46346</v>
      </c>
      <c r="D824" s="110" t="inlineStr">
        <is>
          <t>BOLETO BANCÁRIO</t>
        </is>
      </c>
      <c r="E824" s="111" t="n">
        <v>248</v>
      </c>
      <c r="F824" s="110" t="inlineStr">
        <is>
          <t>Segurança e Monitoramento</t>
        </is>
      </c>
      <c r="G824" s="110" t="inlineStr">
        <is>
          <t>A PAGAR</t>
        </is>
      </c>
    </row>
    <row r="825">
      <c r="B825" s="110" t="inlineStr">
        <is>
          <t>GABY FERREIRA - VENDAS</t>
        </is>
      </c>
      <c r="C825" s="109" t="n">
        <v>46346</v>
      </c>
      <c r="D825" s="110" t="inlineStr">
        <is>
          <t>PIX CODI BANCO BRASIL</t>
        </is>
      </c>
      <c r="E825" s="111" t="n">
        <v>400</v>
      </c>
      <c r="F825" s="110" t="inlineStr">
        <is>
          <t>Vales e Adiantamentos</t>
        </is>
      </c>
      <c r="G825" s="110" t="inlineStr">
        <is>
          <t>A PAGAR</t>
        </is>
      </c>
    </row>
    <row r="826">
      <c r="B826" s="110" t="inlineStr">
        <is>
          <t>JHULLYA STEFANLY SOUZA REZENDE</t>
        </is>
      </c>
      <c r="C826" s="109" t="n">
        <v>46346</v>
      </c>
      <c r="D826" s="110" t="inlineStr">
        <is>
          <t>PIX CODI BANCO BRASIL</t>
        </is>
      </c>
      <c r="E826" s="111" t="n">
        <v>500</v>
      </c>
      <c r="F826" s="110" t="inlineStr">
        <is>
          <t>Vales e Adiantamentos</t>
        </is>
      </c>
      <c r="G826" s="110" t="inlineStr">
        <is>
          <t>A PAGAR</t>
        </is>
      </c>
    </row>
    <row r="827">
      <c r="B827" s="110" t="inlineStr">
        <is>
          <t>CAPITAL GIRO SANTANDER ALV PJ</t>
        </is>
      </c>
      <c r="C827" s="109" t="n">
        <v>46346</v>
      </c>
      <c r="D827" s="110" t="inlineStr">
        <is>
          <t>TRANSFERÊNCIA</t>
        </is>
      </c>
      <c r="E827" s="111" t="n">
        <v>2088</v>
      </c>
      <c r="F827" s="110" t="inlineStr">
        <is>
          <t>Empréstimos</t>
        </is>
      </c>
      <c r="G827" s="110" t="inlineStr">
        <is>
          <t>A PAGAR</t>
        </is>
      </c>
    </row>
    <row r="828">
      <c r="B828" s="110" t="inlineStr">
        <is>
          <t>OI INTERNET</t>
        </is>
      </c>
      <c r="C828" s="109" t="n">
        <v>46346</v>
      </c>
      <c r="D828" s="110" t="inlineStr">
        <is>
          <t>BOLETO BANCÁRIO</t>
        </is>
      </c>
      <c r="E828" s="111" t="n">
        <v>130</v>
      </c>
      <c r="F828" s="110" t="inlineStr">
        <is>
          <t>Telefonia Fixa e Internet</t>
        </is>
      </c>
      <c r="G828" s="110" t="inlineStr">
        <is>
          <t>A PAGAR</t>
        </is>
      </c>
    </row>
    <row r="829">
      <c r="B829" s="110" t="inlineStr">
        <is>
          <t>AILTON TORRES FERREIRA - CORTADOR</t>
        </is>
      </c>
      <c r="C829" s="109" t="n">
        <v>46346</v>
      </c>
      <c r="D829" s="110" t="inlineStr">
        <is>
          <t>PIX CODI BANCO BRASIL</t>
        </is>
      </c>
      <c r="E829" s="111" t="n">
        <v>550</v>
      </c>
      <c r="F829" s="110" t="inlineStr">
        <is>
          <t>Vales e Adiantamentos</t>
        </is>
      </c>
      <c r="G829" s="110" t="inlineStr">
        <is>
          <t>A PAGAR</t>
        </is>
      </c>
    </row>
    <row r="830">
      <c r="B830" s="110" t="inlineStr">
        <is>
          <t>JOSÉ HAMILTON FERREIRA - CORTADOR</t>
        </is>
      </c>
      <c r="C830" s="109" t="n">
        <v>46346</v>
      </c>
      <c r="D830" s="110" t="inlineStr">
        <is>
          <t>PIX CODI BANCO BRASIL</t>
        </is>
      </c>
      <c r="E830" s="111" t="n">
        <v>500</v>
      </c>
      <c r="F830" s="110" t="inlineStr">
        <is>
          <t>Vales e Adiantamentos</t>
        </is>
      </c>
      <c r="G830" s="110" t="inlineStr">
        <is>
          <t>A PAGAR</t>
        </is>
      </c>
    </row>
    <row r="831">
      <c r="B831" s="110" t="inlineStr">
        <is>
          <t>DELVACY PEREIRA SILVA - G ESTOQUE</t>
        </is>
      </c>
      <c r="C831" s="109" t="n">
        <v>46346</v>
      </c>
      <c r="D831" s="110" t="inlineStr">
        <is>
          <t>PIX CODI BANCO BRASIL</t>
        </is>
      </c>
      <c r="E831" s="111" t="n">
        <v>300</v>
      </c>
      <c r="F831" s="110" t="inlineStr">
        <is>
          <t>Vales e Adiantamentos</t>
        </is>
      </c>
      <c r="G831" s="110" t="inlineStr">
        <is>
          <t>A PAGAR</t>
        </is>
      </c>
    </row>
    <row r="832">
      <c r="B832" s="110" t="inlineStr">
        <is>
          <t>CRISLANDIA DA SILVA SOUSA - ESTOQUE</t>
        </is>
      </c>
      <c r="C832" s="109" t="n">
        <v>46346</v>
      </c>
      <c r="D832" s="110" t="inlineStr">
        <is>
          <t>PIX CODI BANCO BRASIL</t>
        </is>
      </c>
      <c r="E832" s="111" t="n">
        <v>300</v>
      </c>
      <c r="F832" s="110" t="inlineStr">
        <is>
          <t>Vales e Adiantamentos</t>
        </is>
      </c>
      <c r="G832" s="110" t="inlineStr">
        <is>
          <t>A PAGAR</t>
        </is>
      </c>
    </row>
    <row r="833">
      <c r="B833" s="110" t="inlineStr">
        <is>
          <t>ADRIANA CARDOSO DA SILVA - VENDAS</t>
        </is>
      </c>
      <c r="C833" s="109" t="n">
        <v>46346</v>
      </c>
      <c r="D833" s="110" t="inlineStr">
        <is>
          <t>PIX CODI BANCO BRASIL</t>
        </is>
      </c>
      <c r="E833" s="111" t="n">
        <v>200</v>
      </c>
      <c r="F833" s="110" t="inlineStr">
        <is>
          <t>Vales e Adiantamentos</t>
        </is>
      </c>
      <c r="G833" s="110" t="inlineStr">
        <is>
          <t>A PAGAR</t>
        </is>
      </c>
    </row>
    <row r="834">
      <c r="B834" s="110" t="inlineStr">
        <is>
          <t>WOZ COMUNICAÇÃO</t>
        </is>
      </c>
      <c r="C834" s="109" t="n">
        <v>46346</v>
      </c>
      <c r="D834" s="110" t="inlineStr">
        <is>
          <t>PIX CODI BANCO BRASIL</t>
        </is>
      </c>
      <c r="E834" s="111" t="n">
        <v>2147</v>
      </c>
      <c r="F834" s="110" t="inlineStr">
        <is>
          <t>SOCIAL MIDIA</t>
        </is>
      </c>
      <c r="G834" s="110" t="inlineStr">
        <is>
          <t>A PAGAR</t>
        </is>
      </c>
    </row>
    <row r="835">
      <c r="B835" s="110" t="inlineStr">
        <is>
          <t>BANCO ITAU</t>
        </is>
      </c>
      <c r="C835" s="109" t="n">
        <v>46347</v>
      </c>
      <c r="D835" s="110" t="inlineStr">
        <is>
          <t>TRANSFERÊNCIA</t>
        </is>
      </c>
      <c r="E835" s="111" t="n">
        <v>42329</v>
      </c>
      <c r="F835" s="110" t="inlineStr">
        <is>
          <t>Empréstimos</t>
        </is>
      </c>
      <c r="G835" s="110" t="inlineStr">
        <is>
          <t>A PAGAR</t>
        </is>
      </c>
    </row>
    <row r="836">
      <c r="B836" s="110" t="inlineStr">
        <is>
          <t>ALVO TEXTIL LTDA</t>
        </is>
      </c>
      <c r="C836" s="109" t="n">
        <v>46348</v>
      </c>
      <c r="D836" s="110" t="inlineStr">
        <is>
          <t>CHEQUE - EMPRESA</t>
        </is>
      </c>
      <c r="E836" s="111" t="n">
        <v>4720</v>
      </c>
      <c r="F836" s="110" t="inlineStr">
        <is>
          <t>Tecidos</t>
        </is>
      </c>
      <c r="G836" s="110" t="inlineStr">
        <is>
          <t>A PAGAR</t>
        </is>
      </c>
    </row>
    <row r="837">
      <c r="B837" s="110" t="inlineStr">
        <is>
          <t>ALVO TEXTIL LTDA</t>
        </is>
      </c>
      <c r="C837" s="109" t="n">
        <v>46348</v>
      </c>
      <c r="D837" s="110" t="inlineStr">
        <is>
          <t>CHEQUE - EMPRESA</t>
        </is>
      </c>
      <c r="E837" s="111" t="n">
        <v>4900</v>
      </c>
      <c r="F837" s="110" t="inlineStr">
        <is>
          <t>Tecidos</t>
        </is>
      </c>
      <c r="G837" s="110" t="inlineStr">
        <is>
          <t>A PAGAR</t>
        </is>
      </c>
    </row>
    <row r="838">
      <c r="B838" s="110" t="inlineStr">
        <is>
          <t>SHEILA ETIQUETAS</t>
        </is>
      </c>
      <c r="C838" s="109" t="n">
        <v>46349</v>
      </c>
      <c r="D838" s="110" t="inlineStr">
        <is>
          <t>CHEQUE - EMPRESA</t>
        </is>
      </c>
      <c r="E838" s="111" t="n">
        <v>2398.2</v>
      </c>
      <c r="F838" s="110" t="inlineStr">
        <is>
          <t>Etiquetas</t>
        </is>
      </c>
      <c r="G838" s="110" t="inlineStr">
        <is>
          <t>A PAGAR</t>
        </is>
      </c>
    </row>
    <row r="839">
      <c r="B839" s="110" t="inlineStr">
        <is>
          <t>LUIZ GUSTAVO SANTANA</t>
        </is>
      </c>
      <c r="C839" s="109" t="n">
        <v>46349</v>
      </c>
      <c r="D839" s="110" t="inlineStr">
        <is>
          <t>PIX CODI BANCO BRASIL</t>
        </is>
      </c>
      <c r="E839" s="111" t="n">
        <v>100</v>
      </c>
      <c r="F839" s="110" t="inlineStr">
        <is>
          <t>Vales e Adiantamentos</t>
        </is>
      </c>
      <c r="G839" s="110" t="inlineStr">
        <is>
          <t>A PAGAR</t>
        </is>
      </c>
    </row>
    <row r="840">
      <c r="B840" s="110" t="inlineStr">
        <is>
          <t>AJUDA DE CUSTO - SEMANA</t>
        </is>
      </c>
      <c r="C840" s="109" t="n">
        <v>46349</v>
      </c>
      <c r="D840" s="110" t="inlineStr">
        <is>
          <t>CHEQUE - EMPRESA</t>
        </is>
      </c>
      <c r="E840" s="111" t="n">
        <v>600</v>
      </c>
      <c r="F840" s="110" t="inlineStr">
        <is>
          <t>Vale Transporte</t>
        </is>
      </c>
      <c r="G840" s="110" t="inlineStr">
        <is>
          <t>A PAGAR</t>
        </is>
      </c>
    </row>
    <row r="841">
      <c r="B841" s="110" t="inlineStr">
        <is>
          <t>CAPITAL GIRO ITAU PF CLEITON</t>
        </is>
      </c>
      <c r="C841" s="109" t="n">
        <v>46349</v>
      </c>
      <c r="D841" s="110" t="inlineStr">
        <is>
          <t>TRANSFERÊNCIA</t>
        </is>
      </c>
      <c r="E841" s="111" t="n">
        <v>12445.02</v>
      </c>
      <c r="F841" s="110" t="inlineStr">
        <is>
          <t>Títulos de Capitalização</t>
        </is>
      </c>
      <c r="G841" s="110" t="inlineStr">
        <is>
          <t>A PAGAR</t>
        </is>
      </c>
    </row>
    <row r="842">
      <c r="B842" s="110" t="inlineStr">
        <is>
          <t>LIDER TECIDOS LIDERANCA COMERCIO LTDA</t>
        </is>
      </c>
      <c r="C842" s="109" t="n">
        <v>46350</v>
      </c>
      <c r="D842" s="110" t="inlineStr">
        <is>
          <t>CHEQUE - EMPRESA</t>
        </is>
      </c>
      <c r="E842" s="111" t="n">
        <v>4650</v>
      </c>
      <c r="F842" s="110" t="inlineStr">
        <is>
          <t>Tecidos</t>
        </is>
      </c>
      <c r="G842" s="110" t="inlineStr">
        <is>
          <t>A PAGAR</t>
        </is>
      </c>
    </row>
    <row r="843">
      <c r="B843" s="110" t="inlineStr">
        <is>
          <t>LIDER TECIDOS LIDERANCA COMERCIO LTDA</t>
        </is>
      </c>
      <c r="C843" s="109" t="n">
        <v>46351</v>
      </c>
      <c r="D843" s="110" t="inlineStr">
        <is>
          <t>CHEQUE - EMPRESA</t>
        </is>
      </c>
      <c r="E843" s="111" t="n">
        <v>2222.77</v>
      </c>
      <c r="F843" s="110" t="inlineStr">
        <is>
          <t xml:space="preserve">PFROVISÃO CODI JEANS </t>
        </is>
      </c>
      <c r="G843" s="110" t="inlineStr">
        <is>
          <t>A PAGAR</t>
        </is>
      </c>
    </row>
    <row r="844">
      <c r="B844" s="110" t="inlineStr">
        <is>
          <t>LIDER TECIDOS LIDERANCA COMERCIO LTDA</t>
        </is>
      </c>
      <c r="C844" s="109" t="n">
        <v>46352</v>
      </c>
      <c r="D844" s="110" t="inlineStr">
        <is>
          <t>CHEQUE - EMPRESA</t>
        </is>
      </c>
      <c r="E844" s="111" t="n">
        <v>4650</v>
      </c>
      <c r="F844" s="110" t="inlineStr">
        <is>
          <t>Tecidos</t>
        </is>
      </c>
      <c r="G844" s="110" t="inlineStr">
        <is>
          <t>A PAGAR</t>
        </is>
      </c>
    </row>
    <row r="845">
      <c r="B845" s="110" t="inlineStr">
        <is>
          <t>ALVO TEXTIL LTDA</t>
        </is>
      </c>
      <c r="C845" s="109" t="n">
        <v>46353</v>
      </c>
      <c r="D845" s="110" t="inlineStr">
        <is>
          <t>CHEQUE - EMPRESA</t>
        </is>
      </c>
      <c r="E845" s="111" t="n">
        <v>4720</v>
      </c>
      <c r="F845" s="110" t="inlineStr">
        <is>
          <t>Tecidos</t>
        </is>
      </c>
      <c r="G845" s="110" t="inlineStr">
        <is>
          <t>A PAGAR</t>
        </is>
      </c>
    </row>
    <row r="846">
      <c r="B846" s="110" t="inlineStr">
        <is>
          <t>EQUATORIAL ENERGIA</t>
        </is>
      </c>
      <c r="C846" s="109" t="n">
        <v>46353</v>
      </c>
      <c r="D846" s="110" t="inlineStr">
        <is>
          <t>BOLETO BANCÁRIO</t>
        </is>
      </c>
      <c r="E846" s="111" t="n">
        <v>450</v>
      </c>
      <c r="F846" s="110" t="inlineStr">
        <is>
          <t>Energia Elétrica</t>
        </is>
      </c>
      <c r="G846" s="110" t="inlineStr">
        <is>
          <t>A PAGAR</t>
        </is>
      </c>
    </row>
    <row r="847">
      <c r="B847" s="110" t="inlineStr">
        <is>
          <t>LIDER TECIDOS LIDERANCA COMERCIO LTDA</t>
        </is>
      </c>
      <c r="C847" s="109" t="n">
        <v>46354</v>
      </c>
      <c r="D847" s="110" t="inlineStr">
        <is>
          <t>CHEQUE - EMPRESA</t>
        </is>
      </c>
      <c r="E847" s="111" t="n">
        <v>4650</v>
      </c>
      <c r="F847" s="110" t="inlineStr">
        <is>
          <t>Tecidos</t>
        </is>
      </c>
      <c r="G847" s="110" t="inlineStr">
        <is>
          <t>A PAGAR</t>
        </is>
      </c>
    </row>
    <row r="848">
      <c r="B848" s="110" t="inlineStr">
        <is>
          <t>BANCO SANTANDER</t>
        </is>
      </c>
      <c r="C848" s="109" t="n">
        <v>46354</v>
      </c>
      <c r="D848" s="110" t="inlineStr">
        <is>
          <t>TRANSFERÊNCIA</t>
        </is>
      </c>
      <c r="E848" s="111" t="n">
        <v>15436.91</v>
      </c>
      <c r="F848" s="110" t="inlineStr">
        <is>
          <t>Empréstimos</t>
        </is>
      </c>
      <c r="G848" s="110" t="inlineStr">
        <is>
          <t>A PAGAR</t>
        </is>
      </c>
    </row>
    <row r="849">
      <c r="B849" s="110" t="inlineStr">
        <is>
          <t>IMPOSTO ALV</t>
        </is>
      </c>
      <c r="C849" s="109" t="n">
        <v>46354</v>
      </c>
      <c r="D849" s="110" t="inlineStr">
        <is>
          <t>BOLETO BANCÁRIO</t>
        </is>
      </c>
      <c r="E849" s="111" t="n">
        <v>1272</v>
      </c>
      <c r="F849" s="110" t="inlineStr">
        <is>
          <t>Simples Nacional</t>
        </is>
      </c>
      <c r="G849" s="110" t="inlineStr">
        <is>
          <t>A PAGAR</t>
        </is>
      </c>
    </row>
    <row r="850">
      <c r="B850" s="110" t="inlineStr">
        <is>
          <t>SANEAGO</t>
        </is>
      </c>
      <c r="C850" s="109" t="n">
        <v>46354</v>
      </c>
      <c r="D850" s="110" t="inlineStr">
        <is>
          <t>BOLETO BANCÁRIO</t>
        </is>
      </c>
      <c r="E850" s="111" t="n">
        <v>280</v>
      </c>
      <c r="F850" s="110" t="inlineStr">
        <is>
          <t>Água</t>
        </is>
      </c>
      <c r="G850" s="110" t="inlineStr">
        <is>
          <t>A PAGAR</t>
        </is>
      </c>
    </row>
    <row r="851">
      <c r="B851" s="110" t="inlineStr">
        <is>
          <t>LIDER TECIDOS LIDERANCA COMERCIO LTDA</t>
        </is>
      </c>
      <c r="C851" s="109" t="n">
        <v>46355</v>
      </c>
      <c r="D851" s="110" t="inlineStr">
        <is>
          <t>CHEQUE - EMPRESA</t>
        </is>
      </c>
      <c r="E851" s="111" t="n">
        <v>102.32</v>
      </c>
      <c r="F851" s="110" t="inlineStr">
        <is>
          <t xml:space="preserve">PFROVISÃO CODI JEANS </t>
        </is>
      </c>
      <c r="G851" s="110" t="inlineStr">
        <is>
          <t>A PAGAR</t>
        </is>
      </c>
    </row>
    <row r="852">
      <c r="B852" s="110" t="inlineStr">
        <is>
          <t>LIDER TECIDOS LIDERANCA COMERCIO LTDA</t>
        </is>
      </c>
      <c r="C852" s="109" t="n">
        <v>46355</v>
      </c>
      <c r="D852" s="110" t="inlineStr">
        <is>
          <t>CHEQUE - EMPRESA</t>
        </is>
      </c>
      <c r="E852" s="111" t="n">
        <v>1619.23</v>
      </c>
      <c r="F852" s="110" t="inlineStr">
        <is>
          <t xml:space="preserve">PFROVISÃO CODI JEANS </t>
        </is>
      </c>
      <c r="G852" s="110" t="inlineStr">
        <is>
          <t>A PAGAR</t>
        </is>
      </c>
    </row>
    <row r="853">
      <c r="B853" s="110" t="inlineStr">
        <is>
          <t>ALVO TEXTIL LTDA</t>
        </is>
      </c>
      <c r="C853" s="109" t="n">
        <v>46356</v>
      </c>
      <c r="D853" s="110" t="inlineStr">
        <is>
          <t>CHEQUE - EMPRESA</t>
        </is>
      </c>
      <c r="E853" s="111" t="n">
        <v>4725.04</v>
      </c>
      <c r="F853" s="110" t="inlineStr">
        <is>
          <t>Tecidos</t>
        </is>
      </c>
      <c r="G853" s="110" t="inlineStr">
        <is>
          <t>A PAGAR</t>
        </is>
      </c>
    </row>
    <row r="854">
      <c r="B854" s="110" t="inlineStr">
        <is>
          <t>LIDER TECIDOS LIDERANCA COMERCIO LTDA</t>
        </is>
      </c>
      <c r="C854" s="109" t="n">
        <v>46356</v>
      </c>
      <c r="D854" s="110" t="inlineStr">
        <is>
          <t>CHEQUE - EMPRESA</t>
        </is>
      </c>
      <c r="E854" s="111" t="n">
        <v>4650</v>
      </c>
      <c r="F854" s="110" t="inlineStr">
        <is>
          <t>Tecidos</t>
        </is>
      </c>
      <c r="G854" s="110" t="inlineStr">
        <is>
          <t>A PAGAR</t>
        </is>
      </c>
    </row>
    <row r="855">
      <c r="B855" s="110" t="inlineStr">
        <is>
          <t>LUIZ GUSTAVO SANTANA</t>
        </is>
      </c>
      <c r="C855" s="109" t="n">
        <v>46356</v>
      </c>
      <c r="D855" s="110" t="inlineStr">
        <is>
          <t>PIX CODI BANCO BRASIL</t>
        </is>
      </c>
      <c r="E855" s="111" t="n">
        <v>100</v>
      </c>
      <c r="F855" s="110" t="inlineStr">
        <is>
          <t>Vales e Adiantamentos</t>
        </is>
      </c>
      <c r="G855" s="110" t="inlineStr">
        <is>
          <t>A PAGAR</t>
        </is>
      </c>
    </row>
    <row r="856">
      <c r="B856" s="110" t="inlineStr">
        <is>
          <t>AJUDA DE CUSTO - SEMANA</t>
        </is>
      </c>
      <c r="C856" s="109" t="n">
        <v>46356</v>
      </c>
      <c r="D856" s="110" t="inlineStr">
        <is>
          <t>CHEQUE - EMPRESA</t>
        </is>
      </c>
      <c r="E856" s="111" t="n">
        <v>600</v>
      </c>
      <c r="F856" s="110" t="inlineStr">
        <is>
          <t>Vale Transporte</t>
        </is>
      </c>
      <c r="G856" s="110" t="inlineStr">
        <is>
          <t>A PAGAR</t>
        </is>
      </c>
    </row>
    <row r="857">
      <c r="B857" s="110" t="inlineStr">
        <is>
          <t>WOZ COMUNICAÇÃO</t>
        </is>
      </c>
      <c r="C857" s="109" t="n">
        <v>46357</v>
      </c>
      <c r="D857" s="110" t="inlineStr">
        <is>
          <t>PIX CODI BANCO BRASIL</t>
        </is>
      </c>
      <c r="E857" s="111" t="n">
        <v>1397</v>
      </c>
      <c r="F857" s="110" t="inlineStr">
        <is>
          <t>TRÁFEGO META</t>
        </is>
      </c>
      <c r="G857" s="110" t="inlineStr">
        <is>
          <t>A PAGAR</t>
        </is>
      </c>
    </row>
    <row r="858">
      <c r="B858" s="110" t="inlineStr">
        <is>
          <t>CAPITAL GIRO BRADESCO ALV PJ</t>
        </is>
      </c>
      <c r="C858" s="109" t="n">
        <v>46357</v>
      </c>
      <c r="D858" s="110" t="inlineStr">
        <is>
          <t>TRANSFERÊNCIA</t>
        </is>
      </c>
      <c r="E858" s="111" t="n">
        <v>20101.44</v>
      </c>
      <c r="F858" s="110" t="inlineStr">
        <is>
          <t>Empréstimos</t>
        </is>
      </c>
      <c r="G858" s="110" t="inlineStr">
        <is>
          <t>A PAGAR</t>
        </is>
      </c>
    </row>
    <row r="859">
      <c r="B859" s="110" t="inlineStr">
        <is>
          <t>SHEILA ETIQUETAS</t>
        </is>
      </c>
      <c r="C859" s="109" t="n">
        <v>46358</v>
      </c>
      <c r="D859" s="110" t="inlineStr">
        <is>
          <t>CHEQUE - EMPRESA</t>
        </is>
      </c>
      <c r="E859" s="111" t="n">
        <v>425.12</v>
      </c>
      <c r="F859" s="110" t="inlineStr">
        <is>
          <t xml:space="preserve">PFROVISÃO CODI JEANS </t>
        </is>
      </c>
      <c r="G859" s="110" t="inlineStr">
        <is>
          <t>A PAGAR</t>
        </is>
      </c>
    </row>
    <row r="860">
      <c r="B860" s="110" t="inlineStr">
        <is>
          <t>LIDER TECIDOS LIDERANCA COMERCIO LTDA</t>
        </is>
      </c>
      <c r="C860" s="109" t="n">
        <v>46360</v>
      </c>
      <c r="D860" s="110" t="inlineStr">
        <is>
          <t>CHEQUE - EMPRESA</t>
        </is>
      </c>
      <c r="E860" s="111" t="n">
        <v>114.81</v>
      </c>
      <c r="F860" s="110" t="inlineStr">
        <is>
          <t xml:space="preserve">PFROVISÃO CODI JEANS </t>
        </is>
      </c>
      <c r="G860" s="110" t="inlineStr">
        <is>
          <t>A PAGAR</t>
        </is>
      </c>
    </row>
    <row r="861">
      <c r="B861" s="110" t="inlineStr">
        <is>
          <t>LIDER TECIDOS LIDERANCA COMERCIO LTDA</t>
        </is>
      </c>
      <c r="C861" s="109" t="n">
        <v>46361</v>
      </c>
      <c r="D861" s="110" t="inlineStr">
        <is>
          <t>CHEQUE - EMPRESA</t>
        </is>
      </c>
      <c r="E861" s="111" t="n">
        <v>1650</v>
      </c>
      <c r="F861" s="110" t="inlineStr">
        <is>
          <t xml:space="preserve">PFROVISÃO CODI JEANS </t>
        </is>
      </c>
      <c r="G861" s="110" t="inlineStr">
        <is>
          <t>A PAGAR</t>
        </is>
      </c>
    </row>
    <row r="862">
      <c r="B862" s="110" t="inlineStr">
        <is>
          <t>YASMIN</t>
        </is>
      </c>
      <c r="C862" s="109" t="n">
        <v>46362</v>
      </c>
      <c r="D862" s="110" t="inlineStr">
        <is>
          <t>PIX CODI BANCO BRASIL</t>
        </is>
      </c>
      <c r="E862" s="111" t="n">
        <v>1621</v>
      </c>
      <c r="F862" s="110" t="inlineStr">
        <is>
          <t>Salário e Ordenados</t>
        </is>
      </c>
      <c r="G862" s="110" t="inlineStr">
        <is>
          <t>A PAGAR</t>
        </is>
      </c>
    </row>
    <row r="863">
      <c r="B863" s="110" t="inlineStr">
        <is>
          <t>WALLYSON HENRIQUE BARBOSA SOUZA</t>
        </is>
      </c>
      <c r="C863" s="109" t="n">
        <v>46362</v>
      </c>
      <c r="D863" s="110" t="inlineStr">
        <is>
          <t>PIX CODI BANCO BRASIL</t>
        </is>
      </c>
      <c r="E863" s="111" t="n">
        <v>4200</v>
      </c>
      <c r="F863" s="110" t="inlineStr">
        <is>
          <t>Salário e Ordenados</t>
        </is>
      </c>
      <c r="G863" s="110" t="inlineStr">
        <is>
          <t>A PAGAR</t>
        </is>
      </c>
    </row>
    <row r="864">
      <c r="B864" s="110" t="inlineStr">
        <is>
          <t>GABY FERREIRA - VENDAS</t>
        </is>
      </c>
      <c r="C864" s="109" t="n">
        <v>46362</v>
      </c>
      <c r="D864" s="110" t="inlineStr">
        <is>
          <t>PIX CODI BANCO BRASIL</t>
        </is>
      </c>
      <c r="E864" s="111" t="n">
        <v>1518</v>
      </c>
      <c r="F864" s="110" t="inlineStr">
        <is>
          <t>Salário e Ordenados</t>
        </is>
      </c>
      <c r="G864" s="110" t="inlineStr">
        <is>
          <t>A PAGAR</t>
        </is>
      </c>
    </row>
    <row r="865">
      <c r="B865" s="110" t="inlineStr">
        <is>
          <t>JHULLYA STEFANLY SOUZA REZENDE</t>
        </is>
      </c>
      <c r="C865" s="109" t="n">
        <v>46362</v>
      </c>
      <c r="D865" s="110" t="inlineStr">
        <is>
          <t>PIX CODI BANCO BRASIL</t>
        </is>
      </c>
      <c r="E865" s="111" t="n">
        <v>1518</v>
      </c>
      <c r="F865" s="110" t="inlineStr">
        <is>
          <t>Salário e Ordenados</t>
        </is>
      </c>
      <c r="G865" s="110" t="inlineStr">
        <is>
          <t>A PAGAR</t>
        </is>
      </c>
    </row>
    <row r="866">
      <c r="B866" s="110" t="inlineStr">
        <is>
          <t>DANIEL ENNOS</t>
        </is>
      </c>
      <c r="C866" s="109" t="n">
        <v>46362</v>
      </c>
      <c r="D866" s="110" t="inlineStr">
        <is>
          <t>PIX CODI BANCO BRASIL</t>
        </is>
      </c>
      <c r="E866" s="111" t="n">
        <v>4500</v>
      </c>
      <c r="F866" s="110" t="inlineStr">
        <is>
          <t>Salário e Ordenados</t>
        </is>
      </c>
      <c r="G866" s="110" t="inlineStr">
        <is>
          <t>A PAGAR</t>
        </is>
      </c>
    </row>
    <row r="867">
      <c r="B867" s="110" t="inlineStr">
        <is>
          <t>CRISLANDIA DA SILVA SOUSA - ESTOQUE</t>
        </is>
      </c>
      <c r="C867" s="109" t="n">
        <v>46362</v>
      </c>
      <c r="D867" s="110" t="inlineStr">
        <is>
          <t>PIX CODI BANCO BRASIL</t>
        </is>
      </c>
      <c r="E867" s="111" t="n">
        <v>1312.82</v>
      </c>
      <c r="F867" s="110" t="inlineStr">
        <is>
          <t>Salário e Ordenados</t>
        </is>
      </c>
      <c r="G867" s="110" t="inlineStr">
        <is>
          <t>A PAGAR</t>
        </is>
      </c>
    </row>
    <row r="868">
      <c r="B868" s="110" t="inlineStr">
        <is>
          <t>EDIMAR GERENTE DE PRODUÇÃO</t>
        </is>
      </c>
      <c r="C868" s="109" t="n">
        <v>46362</v>
      </c>
      <c r="D868" s="110" t="inlineStr">
        <is>
          <t>PIX CODI BANCO BRASIL</t>
        </is>
      </c>
      <c r="E868" s="111" t="n">
        <v>6484</v>
      </c>
      <c r="F868" s="110" t="inlineStr">
        <is>
          <t>Salário e Ordenados</t>
        </is>
      </c>
      <c r="G868" s="110" t="inlineStr">
        <is>
          <t>A PAGAR</t>
        </is>
      </c>
    </row>
    <row r="869">
      <c r="B869" s="110" t="inlineStr">
        <is>
          <t>ADRIANA CARDOSO DA SILVA - VENDAS</t>
        </is>
      </c>
      <c r="C869" s="109" t="n">
        <v>46362</v>
      </c>
      <c r="D869" s="110" t="inlineStr">
        <is>
          <t>PIX CODI BANCO BRASIL</t>
        </is>
      </c>
      <c r="E869" s="111" t="n">
        <v>1612.82</v>
      </c>
      <c r="F869" s="110" t="inlineStr">
        <is>
          <t>Salário e Ordenados</t>
        </is>
      </c>
      <c r="G869" s="110" t="inlineStr">
        <is>
          <t>A PAGAR</t>
        </is>
      </c>
    </row>
    <row r="870">
      <c r="B870" s="110" t="inlineStr">
        <is>
          <t>JOSÉ HAMILTON FERREIRA - CORTADOR</t>
        </is>
      </c>
      <c r="C870" s="109" t="n">
        <v>46362</v>
      </c>
      <c r="D870" s="110" t="inlineStr">
        <is>
          <t>PIX CODI BANCO BRASIL</t>
        </is>
      </c>
      <c r="E870" s="111" t="n">
        <v>1781.5</v>
      </c>
      <c r="F870" s="110" t="inlineStr">
        <is>
          <t>Salário e Ordenados</t>
        </is>
      </c>
      <c r="G870" s="110" t="inlineStr">
        <is>
          <t>A PAGAR</t>
        </is>
      </c>
    </row>
    <row r="871">
      <c r="B871" s="110" t="inlineStr">
        <is>
          <t>DELVACY PEREIRA SILVA - G ESTOQUE</t>
        </is>
      </c>
      <c r="C871" s="109" t="n">
        <v>46362</v>
      </c>
      <c r="D871" s="110" t="inlineStr">
        <is>
          <t>PIX CODI BANCO BRASIL</t>
        </is>
      </c>
      <c r="E871" s="111" t="n">
        <v>2000</v>
      </c>
      <c r="F871" s="110" t="inlineStr">
        <is>
          <t>Salário e Ordenados</t>
        </is>
      </c>
      <c r="G871" s="110" t="inlineStr">
        <is>
          <t>A PAGAR</t>
        </is>
      </c>
    </row>
    <row r="872">
      <c r="B872" s="110" t="inlineStr">
        <is>
          <t>AILTON TORRES FERREIRA - CORTADOR</t>
        </is>
      </c>
      <c r="C872" s="109" t="n">
        <v>46362</v>
      </c>
      <c r="D872" s="110" t="inlineStr">
        <is>
          <t>PIX CODI BANCO BRASIL</t>
        </is>
      </c>
      <c r="E872" s="111" t="n">
        <v>2542</v>
      </c>
      <c r="F872" s="110" t="inlineStr">
        <is>
          <t>Salário e Ordenados</t>
        </is>
      </c>
      <c r="G872" s="110" t="inlineStr">
        <is>
          <t>A PAGAR</t>
        </is>
      </c>
    </row>
    <row r="873">
      <c r="B873" s="110" t="inlineStr">
        <is>
          <t>LUIZ GUSTAVO SANTANA</t>
        </is>
      </c>
      <c r="C873" s="109" t="n">
        <v>46362</v>
      </c>
      <c r="D873" s="110" t="inlineStr">
        <is>
          <t>PIX CODI BANCO BRASIL</t>
        </is>
      </c>
      <c r="E873" s="111" t="n">
        <v>2300</v>
      </c>
      <c r="F873" s="110" t="inlineStr">
        <is>
          <t>Salário e Ordenados</t>
        </is>
      </c>
      <c r="G873" s="110" t="inlineStr">
        <is>
          <t>A PAGAR</t>
        </is>
      </c>
    </row>
    <row r="874">
      <c r="B874" s="110" t="inlineStr">
        <is>
          <t>LUIZ GUSTAVO SANTANA</t>
        </is>
      </c>
      <c r="C874" s="109" t="n">
        <v>46363</v>
      </c>
      <c r="D874" s="110" t="inlineStr">
        <is>
          <t>PIX CODI BANCO BRASIL</t>
        </is>
      </c>
      <c r="E874" s="111" t="n">
        <v>100</v>
      </c>
      <c r="F874" s="110" t="inlineStr">
        <is>
          <t>Vales e Adiantamentos</t>
        </is>
      </c>
      <c r="G874" s="110" t="inlineStr">
        <is>
          <t>A PAGAR</t>
        </is>
      </c>
    </row>
    <row r="875">
      <c r="B875" s="110" t="inlineStr">
        <is>
          <t>AJUDA DE CUSTO - SEMANA</t>
        </is>
      </c>
      <c r="C875" s="109" t="n">
        <v>46363</v>
      </c>
      <c r="D875" s="110" t="inlineStr">
        <is>
          <t>CHEQUE - EMPRESA</t>
        </is>
      </c>
      <c r="E875" s="111" t="n">
        <v>600</v>
      </c>
      <c r="F875" s="110" t="inlineStr">
        <is>
          <t>Vale Transporte</t>
        </is>
      </c>
      <c r="G875" s="110" t="inlineStr">
        <is>
          <t>A PAGAR</t>
        </is>
      </c>
    </row>
    <row r="876">
      <c r="B876" s="110" t="inlineStr">
        <is>
          <t>ROCHA DE MACEDO E FRANCO ADV</t>
        </is>
      </c>
      <c r="C876" s="109" t="n">
        <v>46363</v>
      </c>
      <c r="D876" s="110" t="inlineStr">
        <is>
          <t>PIX CODI BANCO BRASIL</t>
        </is>
      </c>
      <c r="E876" s="111" t="n">
        <v>2500</v>
      </c>
      <c r="F876" s="110" t="inlineStr">
        <is>
          <t>Advogados - Honorários</t>
        </is>
      </c>
      <c r="G876" s="110" t="inlineStr">
        <is>
          <t>A PAGAR</t>
        </is>
      </c>
    </row>
    <row r="877">
      <c r="B877" s="110" t="inlineStr">
        <is>
          <t>THAYS CAROLINE FINANCEIRO</t>
        </is>
      </c>
      <c r="C877" s="109" t="n">
        <v>46363</v>
      </c>
      <c r="D877" s="110" t="inlineStr">
        <is>
          <t>PIX CODI BANCO BRASIL</t>
        </is>
      </c>
      <c r="E877" s="111" t="n">
        <v>3500</v>
      </c>
      <c r="F877" s="110" t="inlineStr">
        <is>
          <t>Assessoria Técnica Profissional</t>
        </is>
      </c>
      <c r="G877" s="110" t="inlineStr">
        <is>
          <t>A PAGAR</t>
        </is>
      </c>
    </row>
    <row r="878">
      <c r="B878" s="110" t="inlineStr">
        <is>
          <t>LIDER TECIDOS LIDERANCA COMERCIO LTDA</t>
        </is>
      </c>
      <c r="C878" s="109" t="n">
        <v>46366</v>
      </c>
      <c r="D878" s="110" t="inlineStr">
        <is>
          <t xml:space="preserve">CARTÃO DE CRÉDITO </t>
        </is>
      </c>
      <c r="E878" s="111" t="n">
        <v>3000</v>
      </c>
      <c r="F878" s="110" t="inlineStr">
        <is>
          <t>Tecidos</t>
        </is>
      </c>
      <c r="G878" s="110" t="inlineStr">
        <is>
          <t>A PAGAR</t>
        </is>
      </c>
    </row>
    <row r="879">
      <c r="B879" s="110" t="inlineStr">
        <is>
          <t>WIKI SISTEMAS</t>
        </is>
      </c>
      <c r="C879" s="109" t="n">
        <v>46366</v>
      </c>
      <c r="D879" s="110" t="inlineStr">
        <is>
          <t>BOLETO BANCÁRIO</t>
        </is>
      </c>
      <c r="E879" s="111" t="n">
        <v>1320</v>
      </c>
      <c r="F879" s="110" t="inlineStr">
        <is>
          <t>Web Site e Sistema ERP</t>
        </is>
      </c>
      <c r="G879" s="110" t="inlineStr">
        <is>
          <t>A PAGAR</t>
        </is>
      </c>
    </row>
    <row r="880">
      <c r="B880" s="110" t="inlineStr">
        <is>
          <t>CONSÓRCIO BANCO DO BRASIL</t>
        </is>
      </c>
      <c r="C880" s="109" t="n">
        <v>46366</v>
      </c>
      <c r="D880" s="110" t="inlineStr">
        <is>
          <t>TRANSFERÊNCIA</t>
        </is>
      </c>
      <c r="E880" s="111" t="n">
        <v>2055.6</v>
      </c>
      <c r="F880" s="110" t="inlineStr">
        <is>
          <t>Consórcio</t>
        </is>
      </c>
      <c r="G880" s="110" t="inlineStr">
        <is>
          <t>A PAGAR</t>
        </is>
      </c>
    </row>
    <row r="881">
      <c r="B881" s="110" t="inlineStr">
        <is>
          <t>LUCAS/ CONTADOR</t>
        </is>
      </c>
      <c r="C881" s="109" t="n">
        <v>46366</v>
      </c>
      <c r="D881" s="110" t="inlineStr">
        <is>
          <t>PIX CODI BANCO BRASIL</t>
        </is>
      </c>
      <c r="E881" s="111" t="n">
        <v>1100</v>
      </c>
      <c r="F881" s="110" t="inlineStr">
        <is>
          <t>Honorários Contábeis (Contabilidade)</t>
        </is>
      </c>
      <c r="G881" s="110" t="inlineStr">
        <is>
          <t>A PAGAR</t>
        </is>
      </c>
    </row>
    <row r="882">
      <c r="B882" s="110" t="inlineStr">
        <is>
          <t>ALUGUEL LORIVALDO</t>
        </is>
      </c>
      <c r="C882" s="109" t="n">
        <v>46366</v>
      </c>
      <c r="D882" s="110" t="inlineStr">
        <is>
          <t>PIX CODI BANCO BRASIL</t>
        </is>
      </c>
      <c r="E882" s="111" t="n">
        <v>6484</v>
      </c>
      <c r="F882" s="110" t="inlineStr">
        <is>
          <t>Aluguéis e Condomínios</t>
        </is>
      </c>
      <c r="G882" s="110" t="inlineStr">
        <is>
          <t>A PAGAR</t>
        </is>
      </c>
    </row>
    <row r="883">
      <c r="B883" s="110" t="inlineStr">
        <is>
          <t>ALVO TEXTIL LTDA</t>
        </is>
      </c>
      <c r="C883" s="109" t="n">
        <v>46368</v>
      </c>
      <c r="D883" s="110" t="inlineStr">
        <is>
          <t>CHEQUE - EMPRESA</t>
        </is>
      </c>
      <c r="E883" s="111" t="n">
        <v>4900</v>
      </c>
      <c r="F883" s="110" t="inlineStr">
        <is>
          <t>Tecidos</t>
        </is>
      </c>
      <c r="G883" s="110" t="inlineStr">
        <is>
          <t>A PAGAR</t>
        </is>
      </c>
    </row>
    <row r="884">
      <c r="B884" s="110" t="inlineStr">
        <is>
          <t>BLESSED LAVANDERIA</t>
        </is>
      </c>
      <c r="C884" s="109" t="n">
        <v>46368</v>
      </c>
      <c r="D884" s="110" t="inlineStr">
        <is>
          <t>CHEQUE - EMPRESA</t>
        </is>
      </c>
      <c r="E884" s="111" t="n">
        <v>4432.6</v>
      </c>
      <c r="F884" s="110" t="inlineStr">
        <is>
          <t>Lavanderia</t>
        </is>
      </c>
      <c r="G884" s="110" t="inlineStr">
        <is>
          <t>A PAGAR</t>
        </is>
      </c>
    </row>
    <row r="885">
      <c r="B885" s="110" t="inlineStr">
        <is>
          <t>LIDER TECIDOS LIDERANCA COMERCIO LTDA</t>
        </is>
      </c>
      <c r="C885" s="109" t="n">
        <v>46370</v>
      </c>
      <c r="D885" s="110" t="inlineStr">
        <is>
          <t>CHEQUE - EMPRESA</t>
        </is>
      </c>
      <c r="E885" s="111" t="n">
        <v>1213.64</v>
      </c>
      <c r="F885" s="110" t="inlineStr">
        <is>
          <t xml:space="preserve">PFROVISÃO CODI JEANS </t>
        </is>
      </c>
      <c r="G885" s="110" t="inlineStr">
        <is>
          <t>A PAGAR</t>
        </is>
      </c>
    </row>
    <row r="886">
      <c r="B886" s="110" t="inlineStr">
        <is>
          <t>LIDER TECIDOS LIDERANCA COMERCIO LTDA</t>
        </is>
      </c>
      <c r="C886" s="109" t="n">
        <v>46370</v>
      </c>
      <c r="D886" s="110" t="inlineStr">
        <is>
          <t>CHEQUE - EMPRESA</t>
        </is>
      </c>
      <c r="E886" s="111" t="n">
        <v>17634.68</v>
      </c>
      <c r="F886" s="110" t="inlineStr">
        <is>
          <t xml:space="preserve">PFROVISÃO CODI JEANS </t>
        </is>
      </c>
      <c r="G886" s="110" t="inlineStr">
        <is>
          <t>A PAGAR</t>
        </is>
      </c>
    </row>
    <row r="887">
      <c r="B887" s="110" t="inlineStr">
        <is>
          <t>LUIZ GUSTAVO SANTANA</t>
        </is>
      </c>
      <c r="C887" s="109" t="n">
        <v>46370</v>
      </c>
      <c r="D887" s="110" t="inlineStr">
        <is>
          <t>PIX CODI BANCO BRASIL</t>
        </is>
      </c>
      <c r="E887" s="111" t="n">
        <v>100</v>
      </c>
      <c r="F887" s="110" t="inlineStr">
        <is>
          <t>Vales e Adiantamentos</t>
        </is>
      </c>
      <c r="G887" s="110" t="inlineStr">
        <is>
          <t>A PAGAR</t>
        </is>
      </c>
    </row>
    <row r="888">
      <c r="B888" s="110" t="inlineStr">
        <is>
          <t>AJUDA DE CUSTO - SEMANA</t>
        </is>
      </c>
      <c r="C888" s="109" t="n">
        <v>46370</v>
      </c>
      <c r="D888" s="110" t="inlineStr">
        <is>
          <t>CHEQUE - EMPRESA</t>
        </is>
      </c>
      <c r="E888" s="111" t="n">
        <v>600</v>
      </c>
      <c r="F888" s="110" t="inlineStr">
        <is>
          <t>Vale Transporte</t>
        </is>
      </c>
      <c r="G888" s="110" t="inlineStr">
        <is>
          <t>A PAGAR</t>
        </is>
      </c>
    </row>
    <row r="889">
      <c r="B889" s="110" t="inlineStr">
        <is>
          <t>LIDER TECIDOS LIDERANCA COMERCIO LTDA</t>
        </is>
      </c>
      <c r="C889" s="109" t="n">
        <v>46371</v>
      </c>
      <c r="D889" s="110" t="inlineStr">
        <is>
          <t>CHEQUE - EMPRESA</t>
        </is>
      </c>
      <c r="E889" s="111" t="n">
        <v>2120.7</v>
      </c>
      <c r="F889" s="110" t="inlineStr">
        <is>
          <t xml:space="preserve">PFROVISÃO CODI JEANS </t>
        </is>
      </c>
      <c r="G889" s="110" t="inlineStr">
        <is>
          <t>A PAGAR</t>
        </is>
      </c>
    </row>
    <row r="890">
      <c r="B890" s="110" t="inlineStr">
        <is>
          <t>SHEILA ETIQUETAS</t>
        </is>
      </c>
      <c r="C890" s="109" t="n">
        <v>46371</v>
      </c>
      <c r="D890" s="110" t="inlineStr">
        <is>
          <t>CHEQUE - EMPRESA</t>
        </is>
      </c>
      <c r="E890" s="111" t="n">
        <v>2018.66</v>
      </c>
      <c r="F890" s="110" t="inlineStr">
        <is>
          <t xml:space="preserve">PFROVISÃO CODI JEANS </t>
        </is>
      </c>
      <c r="G890" s="110" t="inlineStr">
        <is>
          <t>A PAGAR</t>
        </is>
      </c>
    </row>
    <row r="891">
      <c r="B891" s="110" t="inlineStr">
        <is>
          <t>SERASA</t>
        </is>
      </c>
      <c r="C891" s="109" t="n">
        <v>46371</v>
      </c>
      <c r="D891" s="110" t="inlineStr">
        <is>
          <t>BOLETO BANCÁRIO</t>
        </is>
      </c>
      <c r="E891" s="111" t="n">
        <v>350</v>
      </c>
      <c r="F891" s="110" t="inlineStr">
        <is>
          <t>Consulta de Crédito Cliente</t>
        </is>
      </c>
      <c r="G891" s="110" t="inlineStr">
        <is>
          <t>A PAGAR</t>
        </is>
      </c>
    </row>
    <row r="892">
      <c r="B892" s="110" t="inlineStr">
        <is>
          <t>LIDER TECIDOS LIDERANCA COMERCIO LTDA</t>
        </is>
      </c>
      <c r="C892" s="109" t="n">
        <v>46373</v>
      </c>
      <c r="D892" s="110" t="inlineStr">
        <is>
          <t>CHEQUE - EMPRESA</t>
        </is>
      </c>
      <c r="E892" s="111" t="n">
        <v>4650</v>
      </c>
      <c r="F892" s="110" t="inlineStr">
        <is>
          <t>Tecidos</t>
        </is>
      </c>
      <c r="G892" s="110" t="inlineStr">
        <is>
          <t>A PAGAR</t>
        </is>
      </c>
    </row>
    <row r="893">
      <c r="B893" s="110" t="inlineStr">
        <is>
          <t>BLESSED LAVANDERIA</t>
        </is>
      </c>
      <c r="C893" s="109" t="n">
        <v>46373</v>
      </c>
      <c r="D893" s="110" t="inlineStr">
        <is>
          <t xml:space="preserve">CHEQUE CLIENTE </t>
        </is>
      </c>
      <c r="E893" s="111" t="n">
        <v>1320</v>
      </c>
      <c r="F893" s="110" t="inlineStr">
        <is>
          <t>Lavanderia</t>
        </is>
      </c>
      <c r="G893" s="110" t="inlineStr">
        <is>
          <t>A PAGAR</t>
        </is>
      </c>
    </row>
    <row r="894">
      <c r="B894" s="110" t="inlineStr">
        <is>
          <t>LIDER TECIDOS LIDERANCA COMERCIO LTDA</t>
        </is>
      </c>
      <c r="C894" s="109" t="n">
        <v>46373</v>
      </c>
      <c r="D894" s="110" t="inlineStr">
        <is>
          <t>CHEQUE CLIENTE</t>
        </is>
      </c>
      <c r="E894" s="111" t="n">
        <v>1320</v>
      </c>
      <c r="F894" s="110" t="inlineStr">
        <is>
          <t>Tecidos</t>
        </is>
      </c>
      <c r="G894" s="110" t="inlineStr">
        <is>
          <t>A PAGAR</t>
        </is>
      </c>
    </row>
    <row r="895">
      <c r="B895" s="110" t="inlineStr">
        <is>
          <t>ALVO TEXTIL LTDA</t>
        </is>
      </c>
      <c r="C895" s="109" t="n">
        <v>46374</v>
      </c>
      <c r="D895" s="110" t="inlineStr">
        <is>
          <t>CHEQUE - EMPRESA</t>
        </is>
      </c>
      <c r="E895" s="111" t="n">
        <v>4900</v>
      </c>
      <c r="F895" s="110" t="inlineStr">
        <is>
          <t>Tecidos</t>
        </is>
      </c>
      <c r="G895" s="110" t="inlineStr">
        <is>
          <t>A PAGAR</t>
        </is>
      </c>
    </row>
    <row r="896">
      <c r="B896" s="110" t="inlineStr">
        <is>
          <t>LIDER TECIDOS LIDERANCA COMERCIO LTDA</t>
        </is>
      </c>
      <c r="C896" s="109" t="n">
        <v>46374</v>
      </c>
      <c r="D896" s="110" t="inlineStr">
        <is>
          <t>CHEQUE - EMPRESA</t>
        </is>
      </c>
      <c r="E896" s="111" t="n">
        <v>73.86</v>
      </c>
      <c r="F896" s="110" t="inlineStr">
        <is>
          <t xml:space="preserve">PFROVISÃO CODI JEANS </t>
        </is>
      </c>
      <c r="G896" s="110" t="inlineStr">
        <is>
          <t>A PAGAR</t>
        </is>
      </c>
    </row>
    <row r="897">
      <c r="B897" s="110" t="inlineStr">
        <is>
          <t>ALVO TEXTIL LTDA</t>
        </is>
      </c>
      <c r="C897" s="109" t="n">
        <v>46374</v>
      </c>
      <c r="D897" s="110" t="inlineStr">
        <is>
          <t>CHEQUE - EMPRESA</t>
        </is>
      </c>
      <c r="E897" s="111" t="n">
        <v>1000</v>
      </c>
      <c r="F897" s="110" t="inlineStr">
        <is>
          <t>PFROVISÃO CODI JEANS</t>
        </is>
      </c>
      <c r="G897" s="110" t="inlineStr">
        <is>
          <t>A PAGAR</t>
        </is>
      </c>
    </row>
    <row r="898">
      <c r="B898" s="110" t="inlineStr">
        <is>
          <t>LIDER TECIDOS LIDERANCA COMERCIO LTDA</t>
        </is>
      </c>
      <c r="C898" s="109" t="n">
        <v>46374</v>
      </c>
      <c r="D898" s="110" t="inlineStr">
        <is>
          <t>CHEQUE - EMPRESA</t>
        </is>
      </c>
      <c r="E898" s="111" t="n">
        <v>14882.82</v>
      </c>
      <c r="F898" s="110" t="inlineStr">
        <is>
          <t>PFROVISÃO CODI JEANS</t>
        </is>
      </c>
      <c r="G898" s="110" t="inlineStr">
        <is>
          <t>A PAGAR</t>
        </is>
      </c>
    </row>
    <row r="899">
      <c r="B899" s="110" t="inlineStr">
        <is>
          <t>IMPOSTO CODI</t>
        </is>
      </c>
      <c r="C899" s="109" t="n">
        <v>46376</v>
      </c>
      <c r="D899" s="110" t="inlineStr">
        <is>
          <t>BOLETO BANCÁRIO</t>
        </is>
      </c>
      <c r="E899" s="111" t="n">
        <v>15000</v>
      </c>
      <c r="F899" s="110" t="inlineStr">
        <is>
          <t xml:space="preserve">PFROVISÃO CODI JEANS </t>
        </is>
      </c>
      <c r="G899" s="110" t="inlineStr">
        <is>
          <t>A PAGAR</t>
        </is>
      </c>
    </row>
    <row r="900">
      <c r="B900" s="110" t="inlineStr">
        <is>
          <t xml:space="preserve">AILTON TORRES FERREIRA - CORTADOR </t>
        </is>
      </c>
      <c r="C900" s="109" t="n">
        <v>46376</v>
      </c>
      <c r="D900" s="110" t="inlineStr">
        <is>
          <t>PIX CODI BANCO BRASIL</t>
        </is>
      </c>
      <c r="E900" s="111" t="n">
        <v>550</v>
      </c>
      <c r="F900" s="110" t="inlineStr">
        <is>
          <t>Acertos e Recisões</t>
        </is>
      </c>
      <c r="G900" s="110" t="inlineStr">
        <is>
          <t>A PAGAR</t>
        </is>
      </c>
    </row>
    <row r="901">
      <c r="B901" s="110" t="inlineStr">
        <is>
          <t xml:space="preserve">JOSÉ HAMILTON FERREIRA - CORTADOR  </t>
        </is>
      </c>
      <c r="C901" s="109" t="n">
        <v>46376</v>
      </c>
      <c r="D901" s="110" t="inlineStr">
        <is>
          <t>PIX CODI BANCO BRASIL</t>
        </is>
      </c>
      <c r="E901" s="111" t="n">
        <v>500</v>
      </c>
      <c r="F901" s="110" t="inlineStr">
        <is>
          <t>Acertos e Recisões</t>
        </is>
      </c>
      <c r="G901" s="110" t="inlineStr">
        <is>
          <t>A PAGAR</t>
        </is>
      </c>
    </row>
    <row r="902">
      <c r="B902" s="110" t="inlineStr">
        <is>
          <t>CAPITAL GIRO SANTANDER ALV PJ</t>
        </is>
      </c>
      <c r="C902" s="109" t="n">
        <v>46376</v>
      </c>
      <c r="D902" s="110" t="inlineStr">
        <is>
          <t>TRANSFERÊNCIA</t>
        </is>
      </c>
      <c r="E902" s="111" t="n">
        <v>2088</v>
      </c>
      <c r="F902" s="110" t="inlineStr">
        <is>
          <t>Empréstimos</t>
        </is>
      </c>
      <c r="G902" s="110" t="inlineStr">
        <is>
          <t>A PAGAR</t>
        </is>
      </c>
    </row>
    <row r="903">
      <c r="B903" s="110" t="inlineStr">
        <is>
          <t>AILTON TORRES FERREIRA - CORTADOR</t>
        </is>
      </c>
      <c r="C903" s="109" t="n">
        <v>46376</v>
      </c>
      <c r="D903" s="110" t="inlineStr">
        <is>
          <t>PIX CODI BANCO BRASIL</t>
        </is>
      </c>
      <c r="E903" s="111" t="n">
        <v>550</v>
      </c>
      <c r="F903" s="110" t="inlineStr">
        <is>
          <t>Vales e Adiantamentos</t>
        </is>
      </c>
      <c r="G903" s="110" t="inlineStr">
        <is>
          <t>A PAGAR</t>
        </is>
      </c>
    </row>
    <row r="904">
      <c r="B904" s="110" t="inlineStr">
        <is>
          <t>JOSÉ HAMILTON FERREIRA - CORTADOR</t>
        </is>
      </c>
      <c r="C904" s="109" t="n">
        <v>46376</v>
      </c>
      <c r="D904" s="110" t="inlineStr">
        <is>
          <t>PIX CODI BANCO BRASIL</t>
        </is>
      </c>
      <c r="E904" s="111" t="n">
        <v>500</v>
      </c>
      <c r="F904" s="110" t="inlineStr">
        <is>
          <t>Vales e Adiantamentos</t>
        </is>
      </c>
      <c r="G904" s="110" t="inlineStr">
        <is>
          <t>A PAGAR</t>
        </is>
      </c>
    </row>
    <row r="905">
      <c r="B905" s="110" t="inlineStr">
        <is>
          <t>DELVACY PEREIRA SILVA - G ESTOQUE</t>
        </is>
      </c>
      <c r="C905" s="109" t="n">
        <v>46376</v>
      </c>
      <c r="D905" s="110" t="inlineStr">
        <is>
          <t>PIX CODI BANCO BRASIL</t>
        </is>
      </c>
      <c r="E905" s="111" t="n">
        <v>300</v>
      </c>
      <c r="F905" s="110" t="inlineStr">
        <is>
          <t>Vales e Adiantamentos</t>
        </is>
      </c>
      <c r="G905" s="110" t="inlineStr">
        <is>
          <t>A PAGAR</t>
        </is>
      </c>
    </row>
    <row r="906">
      <c r="B906" s="110" t="inlineStr">
        <is>
          <t>WOZ COMUNICAÇÃO</t>
        </is>
      </c>
      <c r="C906" s="109" t="n">
        <v>46376</v>
      </c>
      <c r="D906" s="110" t="inlineStr">
        <is>
          <t>PIX CODI BANCO BRASIL</t>
        </is>
      </c>
      <c r="E906" s="111" t="n">
        <v>2147</v>
      </c>
      <c r="F906" s="110" t="inlineStr">
        <is>
          <t>SOCIAL MIDIA</t>
        </is>
      </c>
      <c r="G906" s="110" t="inlineStr">
        <is>
          <t>A PAGAR</t>
        </is>
      </c>
    </row>
    <row r="907">
      <c r="B907" s="110" t="inlineStr">
        <is>
          <t>GUARD SERVICE LTDA</t>
        </is>
      </c>
      <c r="C907" s="109" t="n">
        <v>46376</v>
      </c>
      <c r="D907" s="110" t="inlineStr">
        <is>
          <t>BOLETO BANCÁRIO</t>
        </is>
      </c>
      <c r="E907" s="111" t="n">
        <v>248</v>
      </c>
      <c r="F907" s="110" t="inlineStr">
        <is>
          <t>Segurança e Monitoramento</t>
        </is>
      </c>
      <c r="G907" s="110" t="inlineStr">
        <is>
          <t>A PAGAR</t>
        </is>
      </c>
    </row>
    <row r="908">
      <c r="B908" s="110" t="inlineStr">
        <is>
          <t>OI INTERNET</t>
        </is>
      </c>
      <c r="C908" s="109" t="n">
        <v>46376</v>
      </c>
      <c r="D908" s="110" t="inlineStr">
        <is>
          <t>BOLETO BANCÁRIO</t>
        </is>
      </c>
      <c r="E908" s="111" t="n">
        <v>130</v>
      </c>
      <c r="F908" s="110" t="inlineStr">
        <is>
          <t>Telefonia Fixa e Internet</t>
        </is>
      </c>
      <c r="G908" s="110" t="inlineStr">
        <is>
          <t>A PAGAR</t>
        </is>
      </c>
    </row>
    <row r="909">
      <c r="B909" s="110" t="inlineStr">
        <is>
          <t>CRISLANDIA DA SILVA SOUSA - ESTOQUE</t>
        </is>
      </c>
      <c r="C909" s="109" t="n">
        <v>46376</v>
      </c>
      <c r="D909" s="110" t="inlineStr">
        <is>
          <t>PIX CODI BANCO BRASIL</t>
        </is>
      </c>
      <c r="E909" s="111" t="n">
        <v>300</v>
      </c>
      <c r="F909" s="110" t="inlineStr">
        <is>
          <t>Vales e Adiantamentos</t>
        </is>
      </c>
      <c r="G909" s="110" t="inlineStr">
        <is>
          <t>A PAGAR</t>
        </is>
      </c>
    </row>
    <row r="910">
      <c r="B910" s="110" t="inlineStr">
        <is>
          <t>JHULLYA STEFANLY SOUZA REZENDE</t>
        </is>
      </c>
      <c r="C910" s="109" t="n">
        <v>46376</v>
      </c>
      <c r="D910" s="110" t="inlineStr">
        <is>
          <t>PIX CODI BANCO BRASIL</t>
        </is>
      </c>
      <c r="E910" s="111" t="n">
        <v>500</v>
      </c>
      <c r="F910" s="110" t="inlineStr">
        <is>
          <t>Vales e Adiantamentos</t>
        </is>
      </c>
      <c r="G910" s="110" t="inlineStr">
        <is>
          <t>A PAGAR</t>
        </is>
      </c>
    </row>
    <row r="911">
      <c r="B911" s="110" t="inlineStr">
        <is>
          <t>ADRIANA CARDOSO DA SILVA - VENDAS</t>
        </is>
      </c>
      <c r="C911" s="109" t="n">
        <v>46376</v>
      </c>
      <c r="D911" s="110" t="inlineStr">
        <is>
          <t>PIX CODI BANCO BRASIL</t>
        </is>
      </c>
      <c r="E911" s="111" t="n">
        <v>200</v>
      </c>
      <c r="F911" s="110" t="inlineStr">
        <is>
          <t>Vales e Adiantamentos</t>
        </is>
      </c>
      <c r="G911" s="110" t="inlineStr">
        <is>
          <t>A PAGAR</t>
        </is>
      </c>
    </row>
    <row r="912">
      <c r="B912" s="110" t="inlineStr">
        <is>
          <t>GABY FERREIRA - VENDAS</t>
        </is>
      </c>
      <c r="C912" s="109" t="n">
        <v>46376</v>
      </c>
      <c r="D912" s="110" t="inlineStr">
        <is>
          <t>PIX CODI BANCO BRASIL</t>
        </is>
      </c>
      <c r="E912" s="111" t="n">
        <v>400</v>
      </c>
      <c r="F912" s="110" t="inlineStr">
        <is>
          <t>Vales e Adiantamentos</t>
        </is>
      </c>
      <c r="G912" s="110" t="inlineStr">
        <is>
          <t>A PAGAR</t>
        </is>
      </c>
    </row>
    <row r="913">
      <c r="B913" s="110" t="inlineStr">
        <is>
          <t>LIDER TECIDOS LIDERANCA COMERCIO LTDA</t>
        </is>
      </c>
      <c r="C913" s="109" t="n">
        <v>46377</v>
      </c>
      <c r="D913" s="110" t="inlineStr">
        <is>
          <t>CHEQUE - EMPRESA</t>
        </is>
      </c>
      <c r="E913" s="111" t="n">
        <v>4650</v>
      </c>
      <c r="F913" s="110" t="inlineStr">
        <is>
          <t>Tecidos</t>
        </is>
      </c>
      <c r="G913" s="110" t="inlineStr">
        <is>
          <t>A PAGAR</t>
        </is>
      </c>
    </row>
    <row r="914">
      <c r="B914" s="110" t="inlineStr">
        <is>
          <t>LUIZ GUSTAVO SANTANA</t>
        </is>
      </c>
      <c r="C914" s="109" t="n">
        <v>46377</v>
      </c>
      <c r="D914" s="110" t="inlineStr">
        <is>
          <t>PIX CODI BANCO BRASIL</t>
        </is>
      </c>
      <c r="E914" s="111" t="n">
        <v>100</v>
      </c>
      <c r="F914" s="110" t="inlineStr">
        <is>
          <t>Vales e Adiantamentos</t>
        </is>
      </c>
      <c r="G914" s="110" t="inlineStr">
        <is>
          <t>A PAGAR</t>
        </is>
      </c>
    </row>
    <row r="915">
      <c r="B915" s="110" t="inlineStr">
        <is>
          <t>AJUDA DE CUSTO - SEMANA</t>
        </is>
      </c>
      <c r="C915" s="109" t="n">
        <v>46377</v>
      </c>
      <c r="D915" s="110" t="inlineStr">
        <is>
          <t>CHEQUE - EMPRESA</t>
        </is>
      </c>
      <c r="E915" s="111" t="n">
        <v>600</v>
      </c>
      <c r="F915" s="110" t="inlineStr">
        <is>
          <t>Vale Transporte</t>
        </is>
      </c>
      <c r="G915" s="110" t="inlineStr">
        <is>
          <t>A PAGAR</t>
        </is>
      </c>
    </row>
    <row r="916">
      <c r="B916" s="110" t="inlineStr">
        <is>
          <t>BANCO ITAU</t>
        </is>
      </c>
      <c r="C916" s="109" t="n">
        <v>46377</v>
      </c>
      <c r="D916" s="110" t="inlineStr">
        <is>
          <t>TRANSFERÊNCIA</t>
        </is>
      </c>
      <c r="E916" s="111" t="n">
        <v>42329</v>
      </c>
      <c r="F916" s="110" t="inlineStr">
        <is>
          <t>Empréstimos</t>
        </is>
      </c>
      <c r="G916" s="110" t="inlineStr">
        <is>
          <t>A PAGAR</t>
        </is>
      </c>
    </row>
    <row r="917">
      <c r="B917" s="110" t="inlineStr">
        <is>
          <t>ALVO TEXTIL LTDA</t>
        </is>
      </c>
      <c r="C917" s="109" t="n">
        <v>46378</v>
      </c>
      <c r="D917" s="110" t="inlineStr">
        <is>
          <t>CHEQUE - EMPRESA</t>
        </is>
      </c>
      <c r="E917" s="111" t="n">
        <v>4900</v>
      </c>
      <c r="F917" s="110" t="inlineStr">
        <is>
          <t>Tecidos</t>
        </is>
      </c>
      <c r="G917" s="110" t="inlineStr">
        <is>
          <t>A PAGAR</t>
        </is>
      </c>
    </row>
    <row r="918">
      <c r="B918" s="110" t="inlineStr">
        <is>
          <t>CAPITAL GIRO ITAU PF CLEITON</t>
        </is>
      </c>
      <c r="C918" s="109" t="n">
        <v>46379</v>
      </c>
      <c r="D918" s="110" t="inlineStr">
        <is>
          <t>TRANSFERÊNCIA</t>
        </is>
      </c>
      <c r="E918" s="111" t="n">
        <v>12445.02</v>
      </c>
      <c r="F918" s="110" t="inlineStr">
        <is>
          <t>Títulos de Capitalização</t>
        </is>
      </c>
      <c r="G918" s="110" t="inlineStr">
        <is>
          <t>A PAGAR</t>
        </is>
      </c>
    </row>
    <row r="919">
      <c r="B919" s="110" t="inlineStr">
        <is>
          <t>LIDER TECIDOS LIDERANCA COMERCIO LTDA</t>
        </is>
      </c>
      <c r="C919" s="109" t="n">
        <v>46380</v>
      </c>
      <c r="D919" s="110" t="inlineStr">
        <is>
          <t>CHEQUE - EMPRESA</t>
        </is>
      </c>
      <c r="E919" s="111" t="n">
        <v>4650</v>
      </c>
      <c r="F919" s="110" t="inlineStr">
        <is>
          <t>Tecidos</t>
        </is>
      </c>
      <c r="G919" s="110" t="inlineStr">
        <is>
          <t>A PAGAR</t>
        </is>
      </c>
    </row>
    <row r="920">
      <c r="B920" s="110" t="inlineStr">
        <is>
          <t>LIDER TECIDOS LIDERANCA COMERCIO LTDA</t>
        </is>
      </c>
      <c r="C920" s="109" t="n">
        <v>46381</v>
      </c>
      <c r="D920" s="110" t="inlineStr">
        <is>
          <t>CHEQUE - EMPRESA</t>
        </is>
      </c>
      <c r="E920" s="111" t="n">
        <v>2222.77</v>
      </c>
      <c r="F920" s="110" t="inlineStr">
        <is>
          <t xml:space="preserve">PFROVISÃO CODI JEANS </t>
        </is>
      </c>
      <c r="G920" s="110" t="inlineStr">
        <is>
          <t>A PAGAR</t>
        </is>
      </c>
    </row>
    <row r="921">
      <c r="B921" s="110" t="inlineStr">
        <is>
          <t>EQUATORIAL ENERGIA</t>
        </is>
      </c>
      <c r="C921" s="109" t="n">
        <v>46383</v>
      </c>
      <c r="D921" s="110" t="inlineStr">
        <is>
          <t>BOLETO BANCÁRIO</t>
        </is>
      </c>
      <c r="E921" s="111" t="n">
        <v>450</v>
      </c>
      <c r="F921" s="110" t="inlineStr">
        <is>
          <t>Energia Elétrica</t>
        </is>
      </c>
      <c r="G921" s="110" t="inlineStr">
        <is>
          <t>A PAGAR</t>
        </is>
      </c>
    </row>
    <row r="922">
      <c r="B922" s="110" t="inlineStr">
        <is>
          <t>LIDER TECIDOS LIDERANCA COMERCIO LTDA</t>
        </is>
      </c>
      <c r="C922" s="109" t="n">
        <v>46384</v>
      </c>
      <c r="D922" s="110" t="inlineStr">
        <is>
          <t>CHEQUE - EMPRESA</t>
        </is>
      </c>
      <c r="E922" s="111" t="n">
        <v>4650</v>
      </c>
      <c r="F922" s="110" t="inlineStr">
        <is>
          <t>Tecidos</t>
        </is>
      </c>
      <c r="G922" s="110" t="inlineStr">
        <is>
          <t>A PAGAR</t>
        </is>
      </c>
    </row>
    <row r="923">
      <c r="B923" s="110" t="inlineStr">
        <is>
          <t>LUIZ GUSTAVO SANTANA</t>
        </is>
      </c>
      <c r="C923" s="109" t="n">
        <v>46384</v>
      </c>
      <c r="D923" s="110" t="inlineStr">
        <is>
          <t>PIX CODI BANCO BRASIL</t>
        </is>
      </c>
      <c r="E923" s="111" t="n">
        <v>100</v>
      </c>
      <c r="F923" s="110" t="inlineStr">
        <is>
          <t>Vales e Adiantamentos</t>
        </is>
      </c>
      <c r="G923" s="110" t="inlineStr">
        <is>
          <t>A PAGAR</t>
        </is>
      </c>
    </row>
    <row r="924">
      <c r="B924" s="110" t="inlineStr">
        <is>
          <t>SANEAGO</t>
        </is>
      </c>
      <c r="C924" s="109" t="n">
        <v>46384</v>
      </c>
      <c r="D924" s="110" t="inlineStr">
        <is>
          <t>BOLETO BANCÁRIO</t>
        </is>
      </c>
      <c r="E924" s="111" t="n">
        <v>280</v>
      </c>
      <c r="F924" s="110" t="inlineStr">
        <is>
          <t>Água</t>
        </is>
      </c>
      <c r="G924" s="110" t="inlineStr">
        <is>
          <t>A PAGAR</t>
        </is>
      </c>
    </row>
    <row r="925">
      <c r="B925" s="110" t="inlineStr">
        <is>
          <t>BANCO SANTANDER</t>
        </is>
      </c>
      <c r="C925" s="109" t="n">
        <v>46384</v>
      </c>
      <c r="D925" s="110" t="inlineStr">
        <is>
          <t>TRANSFERÊNCIA</t>
        </is>
      </c>
      <c r="E925" s="111" t="n">
        <v>15436.91</v>
      </c>
      <c r="F925" s="110" t="inlineStr">
        <is>
          <t>Empréstimos</t>
        </is>
      </c>
      <c r="G925" s="110" t="inlineStr">
        <is>
          <t>A PAGAR</t>
        </is>
      </c>
    </row>
    <row r="926">
      <c r="B926" s="110" t="inlineStr">
        <is>
          <t>IMPOSTO ALV</t>
        </is>
      </c>
      <c r="C926" s="109" t="n">
        <v>46384</v>
      </c>
      <c r="D926" s="110" t="inlineStr">
        <is>
          <t>BOLETO BANCÁRIO</t>
        </is>
      </c>
      <c r="E926" s="111" t="n">
        <v>1272</v>
      </c>
      <c r="F926" s="110" t="inlineStr">
        <is>
          <t>Simples Nacional</t>
        </is>
      </c>
      <c r="G926" s="110" t="inlineStr">
        <is>
          <t>A PAGAR</t>
        </is>
      </c>
    </row>
    <row r="927">
      <c r="B927" s="110" t="inlineStr">
        <is>
          <t>AJUDA DE CUSTO - SEMANA</t>
        </is>
      </c>
      <c r="C927" s="109" t="n">
        <v>46384</v>
      </c>
      <c r="D927" s="110" t="inlineStr">
        <is>
          <t>CHEQUE - EMPRESA</t>
        </is>
      </c>
      <c r="E927" s="111" t="n">
        <v>600</v>
      </c>
      <c r="F927" s="110" t="inlineStr">
        <is>
          <t>Vale Transporte</t>
        </is>
      </c>
      <c r="G927" s="110" t="inlineStr">
        <is>
          <t>A PAGAR</t>
        </is>
      </c>
    </row>
    <row r="928">
      <c r="B928" s="110" t="inlineStr">
        <is>
          <t>LIDER TECIDOS LIDERANCA COMERCIO LTDA</t>
        </is>
      </c>
      <c r="C928" s="109" t="n">
        <v>46385</v>
      </c>
      <c r="D928" s="110" t="inlineStr">
        <is>
          <t>CHEQUE - EMPRESA</t>
        </is>
      </c>
      <c r="E928" s="111" t="n">
        <v>102.32</v>
      </c>
      <c r="F928" s="110" t="inlineStr">
        <is>
          <t xml:space="preserve">PFROVISÃO CODI JEANS </t>
        </is>
      </c>
      <c r="G928" s="110" t="inlineStr">
        <is>
          <t>A PAGAR</t>
        </is>
      </c>
    </row>
    <row r="929">
      <c r="B929" s="110" t="inlineStr">
        <is>
          <t>LIDER TECIDOS LIDERANCA COMERCIO LTDA</t>
        </is>
      </c>
      <c r="C929" s="109" t="n">
        <v>46385</v>
      </c>
      <c r="D929" s="110" t="inlineStr">
        <is>
          <t>CHEQUE - EMPRESA</t>
        </is>
      </c>
      <c r="E929" s="111" t="n">
        <v>1619.23</v>
      </c>
      <c r="F929" s="110" t="inlineStr">
        <is>
          <t xml:space="preserve">PFROVISÃO CODI JEANS </t>
        </is>
      </c>
      <c r="G929" s="110" t="inlineStr">
        <is>
          <t>A PAGAR</t>
        </is>
      </c>
    </row>
    <row r="930">
      <c r="B930" s="110" t="inlineStr">
        <is>
          <t>LIDER TECIDOS LIDERANCA COMERCIO LTDA</t>
        </is>
      </c>
      <c r="C930" s="109" t="n">
        <v>46390</v>
      </c>
      <c r="D930" s="110" t="inlineStr">
        <is>
          <t>CHEQUE - EMPRESA</t>
        </is>
      </c>
      <c r="E930" s="111" t="n">
        <v>114.81</v>
      </c>
      <c r="F930" s="110" t="inlineStr">
        <is>
          <t xml:space="preserve">PFROVISÃO CODI JEANS </t>
        </is>
      </c>
      <c r="G930" s="110" t="inlineStr">
        <is>
          <t>A PAGAR</t>
        </is>
      </c>
    </row>
    <row r="931">
      <c r="B931" s="110" t="inlineStr">
        <is>
          <t>CAPITAL GIRO BRADESCO ALV PJ</t>
        </is>
      </c>
      <c r="C931" s="109" t="n">
        <v>46391</v>
      </c>
      <c r="D931" s="110" t="inlineStr">
        <is>
          <t>TRANSFERÊNCIA</t>
        </is>
      </c>
      <c r="E931" s="111" t="n">
        <v>20101.44</v>
      </c>
      <c r="F931" s="110" t="inlineStr">
        <is>
          <t>Empréstimos</t>
        </is>
      </c>
      <c r="G931" s="110" t="inlineStr">
        <is>
          <t>A PAGAR</t>
        </is>
      </c>
    </row>
    <row r="932">
      <c r="B932" s="110" t="inlineStr">
        <is>
          <t>ROCHA DE MACEDO E FRANCO ADV</t>
        </is>
      </c>
      <c r="C932" s="109" t="n">
        <v>46394</v>
      </c>
      <c r="D932" s="110" t="inlineStr">
        <is>
          <t>PIX CODI BANCO BRASIL</t>
        </is>
      </c>
      <c r="E932" s="111" t="n">
        <v>2500</v>
      </c>
      <c r="F932" s="110" t="inlineStr">
        <is>
          <t>Advogados - Honorários</t>
        </is>
      </c>
      <c r="G932" s="110" t="inlineStr">
        <is>
          <t>A PAGAR</t>
        </is>
      </c>
    </row>
    <row r="933">
      <c r="B933" s="110" t="inlineStr">
        <is>
          <t>ALVO TEXTIL LTDA</t>
        </is>
      </c>
      <c r="C933" s="109" t="n">
        <v>46397</v>
      </c>
      <c r="D933" s="110" t="inlineStr">
        <is>
          <t>CHEQUE - EMPRESA</t>
        </is>
      </c>
      <c r="E933" s="111" t="n">
        <v>4900</v>
      </c>
      <c r="F933" s="110" t="inlineStr">
        <is>
          <t>Tecidos</t>
        </is>
      </c>
      <c r="G933" s="110" t="inlineStr">
        <is>
          <t>A PAGAR</t>
        </is>
      </c>
    </row>
    <row r="934">
      <c r="B934" s="110" t="inlineStr">
        <is>
          <t>WIKI SISTEMAS</t>
        </is>
      </c>
      <c r="C934" s="109" t="n">
        <v>46397</v>
      </c>
      <c r="D934" s="110" t="inlineStr">
        <is>
          <t>BOLETO BANCÁRIO</t>
        </is>
      </c>
      <c r="E934" s="111" t="n">
        <v>1320</v>
      </c>
      <c r="F934" s="110" t="inlineStr">
        <is>
          <t>Web Site e Sistema ERP</t>
        </is>
      </c>
      <c r="G934" s="110" t="inlineStr">
        <is>
          <t>A PAGAR</t>
        </is>
      </c>
    </row>
    <row r="935">
      <c r="B935" s="110" t="inlineStr">
        <is>
          <t>CONSÓRCIO BANCO DO BRASIL</t>
        </is>
      </c>
      <c r="C935" s="109" t="n">
        <v>46397</v>
      </c>
      <c r="D935" s="110" t="inlineStr">
        <is>
          <t>TRANSFERÊNCIA</t>
        </is>
      </c>
      <c r="E935" s="111" t="n">
        <v>2055.6</v>
      </c>
      <c r="F935" s="110" t="inlineStr">
        <is>
          <t>Consórcio</t>
        </is>
      </c>
      <c r="G935" s="110" t="inlineStr">
        <is>
          <t>A PAGAR</t>
        </is>
      </c>
    </row>
    <row r="936">
      <c r="B936" s="110" t="inlineStr">
        <is>
          <t>LIDER TECIDOS LIDERANCA COMERCIO LTDA</t>
        </is>
      </c>
      <c r="C936" s="109" t="n">
        <v>46400</v>
      </c>
      <c r="D936" s="110" t="inlineStr">
        <is>
          <t>CHEQUE - EMPRESA</t>
        </is>
      </c>
      <c r="E936" s="111" t="n">
        <v>17634.66</v>
      </c>
      <c r="F936" s="110" t="inlineStr">
        <is>
          <t xml:space="preserve">PFROVISÃO CODI JEANS </t>
        </is>
      </c>
      <c r="G936" s="110" t="inlineStr">
        <is>
          <t>A PAGAR</t>
        </is>
      </c>
    </row>
    <row r="937">
      <c r="B937" s="110" t="inlineStr">
        <is>
          <t>LIDER TECIDOS LIDERANCA COMERCIO LTDA</t>
        </is>
      </c>
      <c r="C937" s="109" t="n">
        <v>46401</v>
      </c>
      <c r="D937" s="110" t="inlineStr">
        <is>
          <t>CHEQUE - EMPRESA</t>
        </is>
      </c>
      <c r="E937" s="111" t="n">
        <v>1213.63</v>
      </c>
      <c r="F937" s="110" t="inlineStr">
        <is>
          <t xml:space="preserve">PFROVISÃO CODI JEANS </t>
        </is>
      </c>
      <c r="G937" s="110" t="inlineStr">
        <is>
          <t>A PAGAR</t>
        </is>
      </c>
    </row>
    <row r="938">
      <c r="B938" s="110" t="inlineStr">
        <is>
          <t>LIDER TECIDOS LIDERANCA COMERCIO LTDA</t>
        </is>
      </c>
      <c r="C938" s="109" t="n">
        <v>46401</v>
      </c>
      <c r="D938" s="110" t="inlineStr">
        <is>
          <t>CHEQUE - EMPRESA</t>
        </is>
      </c>
      <c r="E938" s="111" t="n">
        <v>2120.7</v>
      </c>
      <c r="F938" s="110" t="inlineStr">
        <is>
          <t xml:space="preserve">PFROVISÃO CODI JEANS </t>
        </is>
      </c>
      <c r="G938" s="110" t="inlineStr">
        <is>
          <t>A PAGAR</t>
        </is>
      </c>
    </row>
    <row r="939">
      <c r="B939" s="110" t="inlineStr">
        <is>
          <t>ALVO TEXTIL LTDA</t>
        </is>
      </c>
      <c r="C939" s="109" t="n">
        <v>46401</v>
      </c>
      <c r="D939" s="110" t="inlineStr">
        <is>
          <t>CHEQUE - EMPRESA</t>
        </is>
      </c>
      <c r="E939" s="111" t="n">
        <v>4900</v>
      </c>
      <c r="F939" s="110" t="inlineStr">
        <is>
          <t>Tecidos</t>
        </is>
      </c>
      <c r="G939" s="110" t="inlineStr">
        <is>
          <t>A PAGAR</t>
        </is>
      </c>
    </row>
    <row r="940">
      <c r="B940" s="110" t="inlineStr">
        <is>
          <t>LIDER TECIDOS LIDERANCA COMERCIO LTDA</t>
        </is>
      </c>
      <c r="C940" s="109" t="n">
        <v>46404</v>
      </c>
      <c r="D940" s="110" t="inlineStr">
        <is>
          <t>CHEQUE - EMPRESA</t>
        </is>
      </c>
      <c r="E940" s="111" t="n">
        <v>73.87</v>
      </c>
      <c r="F940" s="110" t="inlineStr">
        <is>
          <t xml:space="preserve">PFROVISÃO CODI JEANS </t>
        </is>
      </c>
      <c r="G940" s="110" t="inlineStr">
        <is>
          <t>A PAGAR</t>
        </is>
      </c>
    </row>
    <row r="941">
      <c r="B941" s="110" t="inlineStr">
        <is>
          <t>LIDER TECIDOS LIDERANCA COMERCIO LTDA</t>
        </is>
      </c>
      <c r="C941" s="109" t="n">
        <v>46404</v>
      </c>
      <c r="D941" s="110" t="inlineStr">
        <is>
          <t>CHEQUE - EMPRESA</t>
        </is>
      </c>
      <c r="E941" s="111" t="n">
        <v>14882.8</v>
      </c>
      <c r="F941" s="110" t="inlineStr">
        <is>
          <t>PFROVISÃO CODI JEANS</t>
        </is>
      </c>
      <c r="G941" s="110" t="inlineStr">
        <is>
          <t>A PAGAR</t>
        </is>
      </c>
    </row>
    <row r="942">
      <c r="B942" s="110" t="inlineStr">
        <is>
          <t>ALVO TEXTIL LTDA</t>
        </is>
      </c>
      <c r="C942" s="109" t="n">
        <v>46404</v>
      </c>
      <c r="D942" s="110" t="inlineStr">
        <is>
          <t>CHEQUE - EMPRESA</t>
        </is>
      </c>
      <c r="E942" s="111" t="n">
        <v>1000</v>
      </c>
      <c r="F942" s="110" t="inlineStr">
        <is>
          <t>PFROVISÃO CODI JEANS</t>
        </is>
      </c>
      <c r="G942" s="110" t="inlineStr">
        <is>
          <t>A PAGAR</t>
        </is>
      </c>
    </row>
    <row r="943">
      <c r="B943" s="110" t="inlineStr">
        <is>
          <t>ALVO TEXTIL LTDA</t>
        </is>
      </c>
      <c r="C943" s="109" t="n">
        <v>46405</v>
      </c>
      <c r="D943" s="110" t="inlineStr">
        <is>
          <t>CHEQUE - EMPRESA</t>
        </is>
      </c>
      <c r="E943" s="111" t="n">
        <v>4900</v>
      </c>
      <c r="F943" s="110" t="inlineStr">
        <is>
          <t>Tecidos</t>
        </is>
      </c>
      <c r="G943" s="110" t="inlineStr">
        <is>
          <t>A PAGAR</t>
        </is>
      </c>
    </row>
    <row r="944">
      <c r="B944" s="110" t="inlineStr">
        <is>
          <t xml:space="preserve">AILTON TORRES FERREIRA - CORTADOR </t>
        </is>
      </c>
      <c r="C944" s="109" t="n">
        <v>46407</v>
      </c>
      <c r="D944" s="110" t="inlineStr">
        <is>
          <t>PIX CODI BANCO BRASIL</t>
        </is>
      </c>
      <c r="E944" s="111" t="n">
        <v>550</v>
      </c>
      <c r="F944" s="110" t="inlineStr">
        <is>
          <t>Acertos e Recisões</t>
        </is>
      </c>
      <c r="G944" s="110" t="inlineStr">
        <is>
          <t>A PAGAR</t>
        </is>
      </c>
    </row>
    <row r="945">
      <c r="B945" s="110" t="inlineStr">
        <is>
          <t xml:space="preserve">JOSÉ HAMILTON FERREIRA - CORTADOR  </t>
        </is>
      </c>
      <c r="C945" s="109" t="n">
        <v>46407</v>
      </c>
      <c r="D945" s="110" t="inlineStr">
        <is>
          <t>PIX CODI BANCO BRASIL</t>
        </is>
      </c>
      <c r="E945" s="111" t="n">
        <v>500</v>
      </c>
      <c r="F945" s="110" t="inlineStr">
        <is>
          <t>Acertos e Recisões</t>
        </is>
      </c>
      <c r="G945" s="110" t="inlineStr">
        <is>
          <t>A PAGAR</t>
        </is>
      </c>
    </row>
    <row r="946">
      <c r="B946" s="110" t="inlineStr">
        <is>
          <t>CAPITAL GIRO SANTANDER ALV PJ</t>
        </is>
      </c>
      <c r="C946" s="109" t="n">
        <v>46407</v>
      </c>
      <c r="D946" s="110" t="inlineStr">
        <is>
          <t>TRANSFERÊNCIA</t>
        </is>
      </c>
      <c r="E946" s="111" t="n">
        <v>2088</v>
      </c>
      <c r="F946" s="110" t="inlineStr">
        <is>
          <t>Empréstimos</t>
        </is>
      </c>
      <c r="G946" s="110" t="inlineStr">
        <is>
          <t>A PAGAR</t>
        </is>
      </c>
    </row>
    <row r="947">
      <c r="B947" s="110" t="inlineStr">
        <is>
          <t>BANCO ITAU</t>
        </is>
      </c>
      <c r="C947" s="109" t="n">
        <v>46408</v>
      </c>
      <c r="D947" s="110" t="inlineStr">
        <is>
          <t>TRANSFERÊNCIA</t>
        </is>
      </c>
      <c r="E947" s="111" t="n">
        <v>42329</v>
      </c>
      <c r="F947" s="110" t="inlineStr">
        <is>
          <t>Empréstimos</t>
        </is>
      </c>
      <c r="G947" s="110" t="inlineStr">
        <is>
          <t>A PAGAR</t>
        </is>
      </c>
    </row>
    <row r="948">
      <c r="B948" s="110" t="inlineStr">
        <is>
          <t>ALVO TEXTIL LTDA</t>
        </is>
      </c>
      <c r="C948" s="109" t="n">
        <v>46409</v>
      </c>
      <c r="D948" s="110" t="inlineStr">
        <is>
          <t>CHEQUE - EMPRESA</t>
        </is>
      </c>
      <c r="E948" s="111" t="n">
        <v>4731.26</v>
      </c>
      <c r="F948" s="110" t="inlineStr">
        <is>
          <t>Tecidos</t>
        </is>
      </c>
      <c r="G948" s="110" t="inlineStr">
        <is>
          <t>A PAGAR</t>
        </is>
      </c>
    </row>
    <row r="949">
      <c r="B949" s="110" t="inlineStr">
        <is>
          <t>CAPITAL GIRO ITAU PF CLEITON</t>
        </is>
      </c>
      <c r="C949" s="109" t="n">
        <v>46410</v>
      </c>
      <c r="D949" s="110" t="inlineStr">
        <is>
          <t>TRANSFERÊNCIA</t>
        </is>
      </c>
      <c r="E949" s="111" t="n">
        <v>12445.02</v>
      </c>
      <c r="F949" s="110" t="inlineStr">
        <is>
          <t>Títulos de Capitalização</t>
        </is>
      </c>
      <c r="G949" s="110" t="inlineStr">
        <is>
          <t>A PAGAR</t>
        </is>
      </c>
    </row>
    <row r="950">
      <c r="B950" s="110" t="inlineStr">
        <is>
          <t>LIDER TECIDOS LIDERANCA COMERCIO LTDA</t>
        </is>
      </c>
      <c r="C950" s="109" t="n">
        <v>46411</v>
      </c>
      <c r="D950" s="110" t="inlineStr">
        <is>
          <t>CHEQUE - EMPRESA</t>
        </is>
      </c>
      <c r="E950" s="111" t="n">
        <v>2222.77</v>
      </c>
      <c r="F950" s="110" t="inlineStr">
        <is>
          <t xml:space="preserve">PFROVISÃO CODI JEANS </t>
        </is>
      </c>
      <c r="G950" s="110" t="inlineStr">
        <is>
          <t>A PAGAR</t>
        </is>
      </c>
    </row>
    <row r="951">
      <c r="B951" s="110" t="inlineStr">
        <is>
          <t>LIDER TECIDOS LIDERANCA COMERCIO LTDA</t>
        </is>
      </c>
      <c r="C951" s="109" t="n">
        <v>46415</v>
      </c>
      <c r="D951" s="110" t="inlineStr">
        <is>
          <t>CHEQUE - EMPRESA</t>
        </is>
      </c>
      <c r="E951" s="111" t="n">
        <v>102.33</v>
      </c>
      <c r="F951" s="110" t="inlineStr">
        <is>
          <t xml:space="preserve">PFROVISÃO CODI JEANS </t>
        </is>
      </c>
      <c r="G951" s="110" t="inlineStr">
        <is>
          <t>A PAGAR</t>
        </is>
      </c>
    </row>
    <row r="952">
      <c r="B952" s="110" t="inlineStr">
        <is>
          <t>LIDER TECIDOS LIDERANCA COMERCIO LTDA</t>
        </is>
      </c>
      <c r="C952" s="109" t="n">
        <v>46415</v>
      </c>
      <c r="D952" s="110" t="inlineStr">
        <is>
          <t>CHEQUE - EMPRESA</t>
        </is>
      </c>
      <c r="E952" s="111" t="n">
        <v>1619.23</v>
      </c>
      <c r="F952" s="110" t="inlineStr">
        <is>
          <t xml:space="preserve">PFROVISÃO CODI JEANS </t>
        </is>
      </c>
      <c r="G952" s="110" t="inlineStr">
        <is>
          <t>A PAGAR</t>
        </is>
      </c>
    </row>
    <row r="953">
      <c r="B953" s="110" t="inlineStr">
        <is>
          <t>BANCO SANTANDER</t>
        </is>
      </c>
      <c r="C953" s="109" t="n">
        <v>46415</v>
      </c>
      <c r="D953" s="110" t="inlineStr">
        <is>
          <t>TRANSFERÊNCIA</t>
        </is>
      </c>
      <c r="E953" s="111" t="n">
        <v>15436.91</v>
      </c>
      <c r="F953" s="110" t="inlineStr">
        <is>
          <t>Empréstimos</t>
        </is>
      </c>
      <c r="G953" s="110" t="inlineStr">
        <is>
          <t>A PAGAR</t>
        </is>
      </c>
    </row>
    <row r="954">
      <c r="B954" s="110" t="inlineStr">
        <is>
          <t>IMPOSTO ALV</t>
        </is>
      </c>
      <c r="C954" s="109" t="n">
        <v>46415</v>
      </c>
      <c r="D954" s="110" t="inlineStr">
        <is>
          <t>BOLETO BANCÁRIO</t>
        </is>
      </c>
      <c r="E954" s="111" t="n">
        <v>1272</v>
      </c>
      <c r="F954" s="110" t="inlineStr">
        <is>
          <t>Simples Nacional</t>
        </is>
      </c>
      <c r="G954" s="110" t="inlineStr">
        <is>
          <t>A PAGAR</t>
        </is>
      </c>
    </row>
    <row r="955">
      <c r="B955" s="110" t="inlineStr">
        <is>
          <t>CAPITAL GIRO BRADESCO ALV PJ</t>
        </is>
      </c>
      <c r="C955" s="109" t="n">
        <v>46419</v>
      </c>
      <c r="D955" s="110" t="inlineStr">
        <is>
          <t>TRANSFERÊNCIA</t>
        </is>
      </c>
      <c r="E955" s="111" t="n">
        <v>20101.44</v>
      </c>
      <c r="F955" s="110" t="inlineStr">
        <is>
          <t>Empréstimos</t>
        </is>
      </c>
      <c r="G955" s="110" t="inlineStr">
        <is>
          <t>A PAGAR</t>
        </is>
      </c>
    </row>
    <row r="956">
      <c r="B956" s="110" t="inlineStr">
        <is>
          <t>LIDER TECIDOS LIDERANCA COMERCIO LTDA</t>
        </is>
      </c>
      <c r="C956" s="109" t="n">
        <v>46421</v>
      </c>
      <c r="D956" s="110" t="inlineStr">
        <is>
          <t>CHEQUE - EMPRESA</t>
        </is>
      </c>
      <c r="E956" s="111" t="n">
        <v>114.81</v>
      </c>
      <c r="F956" s="110" t="inlineStr">
        <is>
          <t xml:space="preserve">PFROVISÃO CODI JEANS </t>
        </is>
      </c>
      <c r="G956" s="110" t="inlineStr">
        <is>
          <t>A PAGAR</t>
        </is>
      </c>
    </row>
    <row r="957">
      <c r="B957" s="110" t="inlineStr">
        <is>
          <t>CONSÓRCIO BANCO DO BRASIL</t>
        </is>
      </c>
      <c r="C957" s="109" t="n">
        <v>46428</v>
      </c>
      <c r="D957" s="110" t="inlineStr">
        <is>
          <t>TRANSFERÊNCIA</t>
        </is>
      </c>
      <c r="E957" s="111" t="n">
        <v>2055.6</v>
      </c>
      <c r="F957" s="110" t="inlineStr">
        <is>
          <t>Consórcio</t>
        </is>
      </c>
      <c r="G957" s="110" t="inlineStr">
        <is>
          <t>A PAGAR</t>
        </is>
      </c>
    </row>
    <row r="958">
      <c r="B958" s="110" t="inlineStr">
        <is>
          <t xml:space="preserve">AILTON TORRES FERREIRA - CORTADOR </t>
        </is>
      </c>
      <c r="C958" s="109" t="n">
        <v>46438</v>
      </c>
      <c r="D958" s="110" t="inlineStr">
        <is>
          <t>PIX CODI BANCO BRASIL</t>
        </is>
      </c>
      <c r="E958" s="111" t="n">
        <v>550</v>
      </c>
      <c r="F958" s="110" t="inlineStr">
        <is>
          <t>Acertos e Recisões</t>
        </is>
      </c>
      <c r="G958" s="110" t="inlineStr">
        <is>
          <t>A PAGAR</t>
        </is>
      </c>
    </row>
    <row r="959">
      <c r="B959" s="110" t="inlineStr">
        <is>
          <t xml:space="preserve">JOSÉ HAMILTON FERREIRA - CORTADOR  </t>
        </is>
      </c>
      <c r="C959" s="109" t="n">
        <v>46438</v>
      </c>
      <c r="D959" s="110" t="inlineStr">
        <is>
          <t>PIX CODI BANCO BRASIL</t>
        </is>
      </c>
      <c r="E959" s="111" t="n">
        <v>500</v>
      </c>
      <c r="F959" s="110" t="inlineStr">
        <is>
          <t>Acertos e Recisões</t>
        </is>
      </c>
      <c r="G959" s="110" t="inlineStr">
        <is>
          <t>A PAGAR</t>
        </is>
      </c>
    </row>
    <row r="960">
      <c r="B960" s="110" t="inlineStr">
        <is>
          <t>CAPITAL GIRO SANTANDER ALV PJ</t>
        </is>
      </c>
      <c r="C960" s="109" t="n">
        <v>46438</v>
      </c>
      <c r="D960" s="110" t="inlineStr">
        <is>
          <t>TRANSFERÊNCIA</t>
        </is>
      </c>
      <c r="E960" s="111" t="n">
        <v>2088</v>
      </c>
      <c r="F960" s="110" t="inlineStr">
        <is>
          <t>Empréstimos</t>
        </is>
      </c>
      <c r="G960" s="110" t="inlineStr">
        <is>
          <t>A PAGAR</t>
        </is>
      </c>
    </row>
    <row r="961">
      <c r="B961" s="110" t="inlineStr">
        <is>
          <t>BANCO ITAU</t>
        </is>
      </c>
      <c r="C961" s="109" t="n">
        <v>46439</v>
      </c>
      <c r="D961" s="110" t="inlineStr">
        <is>
          <t>TRANSFERÊNCIA</t>
        </is>
      </c>
      <c r="E961" s="111" t="n">
        <v>42329</v>
      </c>
      <c r="F961" s="110" t="inlineStr">
        <is>
          <t>Empréstimos</t>
        </is>
      </c>
      <c r="G961" s="110" t="inlineStr">
        <is>
          <t>A PAGAR</t>
        </is>
      </c>
    </row>
    <row r="962">
      <c r="B962" s="110" t="inlineStr">
        <is>
          <t>CAPITAL GIRO ITAU PF CLEITON</t>
        </is>
      </c>
      <c r="C962" s="109" t="n">
        <v>46441</v>
      </c>
      <c r="D962" s="110" t="inlineStr">
        <is>
          <t>TRANSFERÊNCIA</t>
        </is>
      </c>
      <c r="E962" s="111" t="n">
        <v>12445.02</v>
      </c>
      <c r="F962" s="110" t="inlineStr">
        <is>
          <t>Títulos de Capitalização</t>
        </is>
      </c>
      <c r="G962" s="110" t="inlineStr">
        <is>
          <t>A PAGAR</t>
        </is>
      </c>
    </row>
    <row r="963">
      <c r="B963" s="110" t="inlineStr">
        <is>
          <t>BANCO SANTANDER</t>
        </is>
      </c>
      <c r="C963" s="109" t="n">
        <v>46446</v>
      </c>
      <c r="D963" s="110" t="inlineStr">
        <is>
          <t>TRANSFERÊNCIA</t>
        </is>
      </c>
      <c r="E963" s="111" t="n">
        <v>15436.91</v>
      </c>
      <c r="F963" s="110" t="inlineStr">
        <is>
          <t>Empréstimos</t>
        </is>
      </c>
      <c r="G963" s="110" t="inlineStr">
        <is>
          <t>A PAGAR</t>
        </is>
      </c>
    </row>
    <row r="964">
      <c r="B964" s="110" t="inlineStr">
        <is>
          <t>IMPOSTO ALV</t>
        </is>
      </c>
      <c r="C964" s="109" t="n">
        <v>46446</v>
      </c>
      <c r="D964" s="110" t="inlineStr">
        <is>
          <t>BOLETO BANCÁRIO</t>
        </is>
      </c>
      <c r="E964" s="111" t="n">
        <v>1272</v>
      </c>
      <c r="F964" s="110" t="inlineStr">
        <is>
          <t>Simples Nacional</t>
        </is>
      </c>
      <c r="G964" s="110" t="inlineStr">
        <is>
          <t>A PAGAR</t>
        </is>
      </c>
    </row>
    <row r="965">
      <c r="B965" s="110" t="inlineStr">
        <is>
          <t>CAPITAL GIRO BRADESCO ALV PJ</t>
        </is>
      </c>
      <c r="C965" s="109" t="n">
        <v>46447</v>
      </c>
      <c r="D965" s="110" t="inlineStr">
        <is>
          <t>TRANSFERÊNCIA</t>
        </is>
      </c>
      <c r="E965" s="111" t="n">
        <v>20101.44</v>
      </c>
      <c r="F965" s="110" t="inlineStr">
        <is>
          <t>Empréstimos</t>
        </is>
      </c>
      <c r="G965" s="110" t="inlineStr">
        <is>
          <t>A PAGAR</t>
        </is>
      </c>
    </row>
    <row r="966">
      <c r="B966" s="110" t="inlineStr">
        <is>
          <t>CONSÓRCIO BANCO DO BRASIL</t>
        </is>
      </c>
      <c r="C966" s="109" t="n">
        <v>46456</v>
      </c>
      <c r="D966" s="110" t="inlineStr">
        <is>
          <t>TRANSFERÊNCIA</t>
        </is>
      </c>
      <c r="E966" s="111" t="n">
        <v>2055.6</v>
      </c>
      <c r="F966" s="110" t="inlineStr">
        <is>
          <t>Consórcio</t>
        </is>
      </c>
      <c r="G966" s="110" t="inlineStr">
        <is>
          <t>A PAGAR</t>
        </is>
      </c>
    </row>
    <row r="967">
      <c r="B967" s="110" t="inlineStr">
        <is>
          <t xml:space="preserve">AILTON TORRES FERREIRA - CORTADOR </t>
        </is>
      </c>
      <c r="C967" s="109" t="n">
        <v>46466</v>
      </c>
      <c r="D967" s="110" t="inlineStr">
        <is>
          <t>PIX CODI BANCO BRASIL</t>
        </is>
      </c>
      <c r="E967" s="111" t="n">
        <v>550</v>
      </c>
      <c r="F967" s="110" t="inlineStr">
        <is>
          <t>Acertos e Recisões</t>
        </is>
      </c>
      <c r="G967" s="110" t="inlineStr">
        <is>
          <t>A PAGAR</t>
        </is>
      </c>
    </row>
    <row r="968">
      <c r="B968" s="110" t="inlineStr">
        <is>
          <t xml:space="preserve">JOSÉ HAMILTON FERREIRA - CORTADOR  </t>
        </is>
      </c>
      <c r="C968" s="109" t="n">
        <v>46466</v>
      </c>
      <c r="D968" s="110" t="inlineStr">
        <is>
          <t>PIX CODI BANCO BRASIL</t>
        </is>
      </c>
      <c r="E968" s="111" t="n">
        <v>500</v>
      </c>
      <c r="F968" s="110" t="inlineStr">
        <is>
          <t>Acertos e Recisões</t>
        </is>
      </c>
      <c r="G968" s="110" t="inlineStr">
        <is>
          <t>A PAGAR</t>
        </is>
      </c>
    </row>
    <row r="969">
      <c r="B969" s="110" t="inlineStr">
        <is>
          <t>CAPITAL GIRO SANTANDER ALV PJ</t>
        </is>
      </c>
      <c r="C969" s="109" t="n">
        <v>46466</v>
      </c>
      <c r="D969" s="110" t="inlineStr">
        <is>
          <t>TRANSFERÊNCIA</t>
        </is>
      </c>
      <c r="E969" s="111" t="n">
        <v>2088</v>
      </c>
      <c r="F969" s="110" t="inlineStr">
        <is>
          <t>Empréstimos</t>
        </is>
      </c>
      <c r="G969" s="110" t="inlineStr">
        <is>
          <t>A PAGAR</t>
        </is>
      </c>
    </row>
    <row r="970">
      <c r="B970" s="110" t="inlineStr">
        <is>
          <t>BANCO ITAU</t>
        </is>
      </c>
      <c r="C970" s="109" t="n">
        <v>46467</v>
      </c>
      <c r="D970" s="110" t="inlineStr">
        <is>
          <t>TRANSFERÊNCIA</t>
        </is>
      </c>
      <c r="E970" s="111" t="n">
        <v>42329</v>
      </c>
      <c r="F970" s="110" t="inlineStr">
        <is>
          <t>Empréstimos</t>
        </is>
      </c>
      <c r="G970" s="110" t="inlineStr">
        <is>
          <t>A PAGAR</t>
        </is>
      </c>
    </row>
    <row r="971">
      <c r="B971" s="110" t="inlineStr">
        <is>
          <t>CAPITAL GIRO ITAU PF CLEITON</t>
        </is>
      </c>
      <c r="C971" s="109" t="n">
        <v>46469</v>
      </c>
      <c r="D971" s="110" t="inlineStr">
        <is>
          <t>TRANSFERÊNCIA</t>
        </is>
      </c>
      <c r="E971" s="111" t="n">
        <v>12445.02</v>
      </c>
      <c r="F971" s="110" t="inlineStr">
        <is>
          <t>Títulos de Capitalização</t>
        </is>
      </c>
      <c r="G971" s="110" t="inlineStr">
        <is>
          <t>A PAGAR</t>
        </is>
      </c>
    </row>
    <row r="972">
      <c r="B972" s="110" t="inlineStr">
        <is>
          <t>BANCO SANTANDER</t>
        </is>
      </c>
      <c r="C972" s="109" t="n">
        <v>46474</v>
      </c>
      <c r="D972" s="110" t="inlineStr">
        <is>
          <t>TRANSFERÊNCIA</t>
        </is>
      </c>
      <c r="E972" s="111" t="n">
        <v>15436.91</v>
      </c>
      <c r="F972" s="110" t="inlineStr">
        <is>
          <t>Empréstimos</t>
        </is>
      </c>
      <c r="G972" s="110" t="inlineStr">
        <is>
          <t>A PAGAR</t>
        </is>
      </c>
    </row>
    <row r="973">
      <c r="B973" s="110" t="inlineStr">
        <is>
          <t>IMPOSTO ALV</t>
        </is>
      </c>
      <c r="C973" s="109" t="n">
        <v>46474</v>
      </c>
      <c r="D973" s="110" t="inlineStr">
        <is>
          <t>BOLETO BANCÁRIO</t>
        </is>
      </c>
      <c r="E973" s="111" t="n">
        <v>1272</v>
      </c>
      <c r="F973" s="110" t="inlineStr">
        <is>
          <t>Simples Nacional</t>
        </is>
      </c>
      <c r="G973" s="110" t="inlineStr">
        <is>
          <t>A PAGAR</t>
        </is>
      </c>
    </row>
    <row r="974">
      <c r="B974" s="110" t="inlineStr">
        <is>
          <t>CAPITAL GIRO BRADESCO ALV PJ</t>
        </is>
      </c>
      <c r="C974" s="109" t="n">
        <v>46478</v>
      </c>
      <c r="D974" s="110" t="inlineStr">
        <is>
          <t>TRANSFERÊNCIA</t>
        </is>
      </c>
      <c r="E974" s="111" t="n">
        <v>20101.44</v>
      </c>
      <c r="F974" s="110" t="inlineStr">
        <is>
          <t>Empréstimos</t>
        </is>
      </c>
      <c r="G974" s="110" t="inlineStr">
        <is>
          <t>A PAGAR</t>
        </is>
      </c>
    </row>
    <row r="975">
      <c r="B975" s="110" t="inlineStr">
        <is>
          <t xml:space="preserve">AILTON TORRES FERREIRA - CORTADOR </t>
        </is>
      </c>
      <c r="C975" s="109" t="n">
        <v>46497</v>
      </c>
      <c r="D975" s="110" t="inlineStr">
        <is>
          <t>PIX CODI BANCO BRASIL</t>
        </is>
      </c>
      <c r="E975" s="111" t="n">
        <v>550</v>
      </c>
      <c r="F975" s="110" t="inlineStr">
        <is>
          <t>Acertos e Recisões</t>
        </is>
      </c>
      <c r="G975" s="110" t="inlineStr">
        <is>
          <t>A PAGAR</t>
        </is>
      </c>
    </row>
    <row r="976">
      <c r="B976" s="110" t="inlineStr">
        <is>
          <t xml:space="preserve">JOSÉ HAMILTON FERREIRA - CORTADOR  </t>
        </is>
      </c>
      <c r="C976" s="109" t="n">
        <v>46497</v>
      </c>
      <c r="D976" s="110" t="inlineStr">
        <is>
          <t>PIX CODI BANCO BRASIL</t>
        </is>
      </c>
      <c r="E976" s="111" t="n">
        <v>500</v>
      </c>
      <c r="F976" s="110" t="inlineStr">
        <is>
          <t>Acertos e Recisões</t>
        </is>
      </c>
      <c r="G976" s="110" t="inlineStr">
        <is>
          <t>A PAGAR</t>
        </is>
      </c>
    </row>
    <row r="977">
      <c r="B977" s="110" t="inlineStr">
        <is>
          <t>CAPITAL GIRO SANTANDER ALV PJ</t>
        </is>
      </c>
      <c r="C977" s="109" t="n">
        <v>46497</v>
      </c>
      <c r="D977" s="110" t="inlineStr">
        <is>
          <t>TRANSFERÊNCIA</t>
        </is>
      </c>
      <c r="E977" s="111" t="n">
        <v>2088</v>
      </c>
      <c r="F977" s="110" t="inlineStr">
        <is>
          <t>Empréstimos</t>
        </is>
      </c>
      <c r="G977" s="110" t="inlineStr">
        <is>
          <t>A PAGAR</t>
        </is>
      </c>
    </row>
    <row r="978">
      <c r="B978" s="110" t="inlineStr">
        <is>
          <t>BANCO ITAU</t>
        </is>
      </c>
      <c r="C978" s="109" t="n">
        <v>46498</v>
      </c>
      <c r="D978" s="110" t="inlineStr">
        <is>
          <t>TRANSFERÊNCIA</t>
        </is>
      </c>
      <c r="E978" s="111" t="n">
        <v>42329</v>
      </c>
      <c r="F978" s="110" t="inlineStr">
        <is>
          <t>Empréstimos</t>
        </is>
      </c>
      <c r="G978" s="110" t="inlineStr">
        <is>
          <t>A PAGAR</t>
        </is>
      </c>
    </row>
    <row r="979">
      <c r="B979" s="110" t="inlineStr">
        <is>
          <t>CAPITAL GIRO ITAU PF CLEITON</t>
        </is>
      </c>
      <c r="C979" s="109" t="n">
        <v>46500</v>
      </c>
      <c r="D979" s="110" t="inlineStr">
        <is>
          <t>TRANSFERÊNCIA</t>
        </is>
      </c>
      <c r="E979" s="111" t="n">
        <v>12445.02</v>
      </c>
      <c r="F979" s="110" t="inlineStr">
        <is>
          <t>Títulos de Capitalização</t>
        </is>
      </c>
      <c r="G979" s="110" t="inlineStr">
        <is>
          <t>A PAGAR</t>
        </is>
      </c>
    </row>
    <row r="980">
      <c r="B980" s="110" t="inlineStr">
        <is>
          <t>CONSÓRCIO BANCO DO BRASIL</t>
        </is>
      </c>
      <c r="C980" s="109" t="n">
        <v>46504</v>
      </c>
      <c r="D980" s="110" t="inlineStr">
        <is>
          <t>TRANSFERÊNCIA</t>
        </is>
      </c>
      <c r="E980" s="111" t="n">
        <v>2055.6</v>
      </c>
      <c r="F980" s="110" t="inlineStr">
        <is>
          <t>Consórcio</t>
        </is>
      </c>
      <c r="G980" s="110" t="inlineStr">
        <is>
          <t>A PAGAR</t>
        </is>
      </c>
    </row>
    <row r="981">
      <c r="B981" s="110" t="inlineStr">
        <is>
          <t>IMPOSTO ALV</t>
        </is>
      </c>
      <c r="C981" s="109" t="n">
        <v>46505</v>
      </c>
      <c r="D981" s="110" t="inlineStr">
        <is>
          <t>BOLETO BANCÁRIO</t>
        </is>
      </c>
      <c r="E981" s="111" t="n">
        <v>1272</v>
      </c>
      <c r="F981" s="110" t="inlineStr">
        <is>
          <t>Simples Nacional</t>
        </is>
      </c>
      <c r="G981" s="110" t="inlineStr">
        <is>
          <t>A PAGAR</t>
        </is>
      </c>
    </row>
    <row r="982">
      <c r="B982" s="110" t="inlineStr">
        <is>
          <t>BANCO SANTANDER</t>
        </is>
      </c>
      <c r="C982" s="109" t="n">
        <v>46505</v>
      </c>
      <c r="D982" s="110" t="inlineStr">
        <is>
          <t>TRANSFERÊNCIA</t>
        </is>
      </c>
      <c r="E982" s="111" t="n">
        <v>15436.91</v>
      </c>
      <c r="F982" s="110" t="inlineStr">
        <is>
          <t>Empréstimos</t>
        </is>
      </c>
      <c r="G982" s="110" t="inlineStr">
        <is>
          <t>A PAGAR</t>
        </is>
      </c>
    </row>
    <row r="983">
      <c r="B983" s="110" t="inlineStr">
        <is>
          <t>CAPITAL GIRO BRADESCO ALV PJ</t>
        </is>
      </c>
      <c r="C983" s="109" t="n">
        <v>46510</v>
      </c>
      <c r="D983" s="110" t="inlineStr">
        <is>
          <t>TRANSFERÊNCIA</t>
        </is>
      </c>
      <c r="E983" s="111" t="n">
        <v>20101.44</v>
      </c>
      <c r="F983" s="110" t="inlineStr">
        <is>
          <t>Empréstimos</t>
        </is>
      </c>
      <c r="G983" s="110" t="inlineStr">
        <is>
          <t>A PAGAR</t>
        </is>
      </c>
    </row>
    <row r="984">
      <c r="B984" s="110" t="inlineStr">
        <is>
          <t xml:space="preserve">AILTON TORRES FERREIRA - CORTADOR </t>
        </is>
      </c>
      <c r="C984" s="109" t="n">
        <v>46527</v>
      </c>
      <c r="D984" s="110" t="inlineStr">
        <is>
          <t>PIX CODI BANCO BRASIL</t>
        </is>
      </c>
      <c r="E984" s="111" t="n">
        <v>480</v>
      </c>
      <c r="F984" s="110" t="inlineStr">
        <is>
          <t>Acertos e Recisões</t>
        </is>
      </c>
      <c r="G984" s="110" t="inlineStr">
        <is>
          <t>A PAGAR</t>
        </is>
      </c>
    </row>
    <row r="985">
      <c r="B985" s="110" t="inlineStr">
        <is>
          <t xml:space="preserve">JOSÉ HAMILTON FERREIRA - CORTADOR  </t>
        </is>
      </c>
      <c r="C985" s="109" t="n">
        <v>46527</v>
      </c>
      <c r="D985" s="110" t="inlineStr">
        <is>
          <t>PIX CODI BANCO BRASIL</t>
        </is>
      </c>
      <c r="E985" s="111" t="n">
        <v>500</v>
      </c>
      <c r="F985" s="110" t="inlineStr">
        <is>
          <t>Acertos e Recisões</t>
        </is>
      </c>
      <c r="G985" s="110" t="inlineStr">
        <is>
          <t>A PAGAR</t>
        </is>
      </c>
    </row>
    <row r="986">
      <c r="B986" s="110" t="inlineStr">
        <is>
          <t>CAPITAL GIRO SANTANDER ALV PJ</t>
        </is>
      </c>
      <c r="C986" s="109" t="n">
        <v>46527</v>
      </c>
      <c r="D986" s="110" t="inlineStr">
        <is>
          <t>TRANSFERÊNCIA</t>
        </is>
      </c>
      <c r="E986" s="111" t="n">
        <v>2088</v>
      </c>
      <c r="F986" s="110" t="inlineStr">
        <is>
          <t>Empréstimos</t>
        </is>
      </c>
      <c r="G986" s="110" t="inlineStr">
        <is>
          <t>A PAGAR</t>
        </is>
      </c>
    </row>
    <row r="987">
      <c r="B987" s="110" t="inlineStr">
        <is>
          <t>BANCO ITAU</t>
        </is>
      </c>
      <c r="C987" s="109" t="n">
        <v>46528</v>
      </c>
      <c r="D987" s="110" t="inlineStr">
        <is>
          <t>TRANSFERÊNCIA</t>
        </is>
      </c>
      <c r="E987" s="111" t="n">
        <v>42329</v>
      </c>
      <c r="F987" s="110" t="inlineStr">
        <is>
          <t>Empréstimos</t>
        </is>
      </c>
      <c r="G987" s="110" t="inlineStr">
        <is>
          <t>A PAGAR</t>
        </is>
      </c>
    </row>
    <row r="988">
      <c r="B988" s="110" t="inlineStr">
        <is>
          <t>CONSÓRCIO BANCO DO BRASIL</t>
        </is>
      </c>
      <c r="C988" s="109" t="n">
        <v>46534</v>
      </c>
      <c r="D988" s="110" t="inlineStr">
        <is>
          <t>TRANSFERÊNCIA</t>
        </is>
      </c>
      <c r="E988" s="111" t="n">
        <v>2055.6</v>
      </c>
      <c r="F988" s="110" t="inlineStr">
        <is>
          <t>Consórcio</t>
        </is>
      </c>
      <c r="G988" s="110" t="inlineStr">
        <is>
          <t>A PAGAR</t>
        </is>
      </c>
    </row>
    <row r="989">
      <c r="B989" s="110" t="inlineStr">
        <is>
          <t>IMPOSTO ALV</t>
        </is>
      </c>
      <c r="C989" s="109" t="n">
        <v>46535</v>
      </c>
      <c r="D989" s="110" t="inlineStr">
        <is>
          <t>BOLETO BANCÁRIO</t>
        </is>
      </c>
      <c r="E989" s="111" t="n">
        <v>1272</v>
      </c>
      <c r="F989" s="110" t="inlineStr">
        <is>
          <t>Simples Nacional</t>
        </is>
      </c>
      <c r="G989" s="110" t="inlineStr">
        <is>
          <t>A PAGAR</t>
        </is>
      </c>
    </row>
    <row r="990">
      <c r="B990" s="110" t="inlineStr">
        <is>
          <t>BANCO SANTANDER</t>
        </is>
      </c>
      <c r="C990" s="109" t="n">
        <v>46535</v>
      </c>
      <c r="D990" s="110" t="inlineStr">
        <is>
          <t>TRANSFERÊNCIA</t>
        </is>
      </c>
      <c r="E990" s="111" t="n">
        <v>15436.91</v>
      </c>
      <c r="F990" s="110" t="inlineStr">
        <is>
          <t>Empréstimos</t>
        </is>
      </c>
      <c r="G990" s="110" t="inlineStr">
        <is>
          <t>A PAGAR</t>
        </is>
      </c>
    </row>
    <row r="991">
      <c r="B991" s="110" t="inlineStr">
        <is>
          <t>CAPITAL GIRO BRADESCO ALV PJ</t>
        </is>
      </c>
      <c r="C991" s="109" t="n">
        <v>46539</v>
      </c>
      <c r="D991" s="110" t="inlineStr">
        <is>
          <t>TRANSFERÊNCIA</t>
        </is>
      </c>
      <c r="E991" s="111" t="n">
        <v>20101.44</v>
      </c>
      <c r="F991" s="110" t="inlineStr">
        <is>
          <t>Empréstimos</t>
        </is>
      </c>
      <c r="G991" s="110" t="inlineStr">
        <is>
          <t>A PAGAR</t>
        </is>
      </c>
    </row>
    <row r="992">
      <c r="B992" s="110" t="inlineStr">
        <is>
          <t xml:space="preserve">JOSÉ HAMILTON FERREIRA - CORTADOR  </t>
        </is>
      </c>
      <c r="C992" s="109" t="n">
        <v>46558</v>
      </c>
      <c r="D992" s="110" t="inlineStr">
        <is>
          <t>PIX CODI BANCO BRASIL</t>
        </is>
      </c>
      <c r="E992" s="111" t="n">
        <v>500</v>
      </c>
      <c r="F992" s="110" t="inlineStr">
        <is>
          <t>Acertos e Recisões</t>
        </is>
      </c>
      <c r="G992" s="110" t="inlineStr">
        <is>
          <t>A PAGAR</t>
        </is>
      </c>
    </row>
    <row r="993">
      <c r="B993" s="110" t="inlineStr">
        <is>
          <t>CAPITAL GIRO SANTANDER ALV PJ</t>
        </is>
      </c>
      <c r="C993" s="109" t="n">
        <v>46558</v>
      </c>
      <c r="D993" s="110" t="inlineStr">
        <is>
          <t>TRANSFERÊNCIA</t>
        </is>
      </c>
      <c r="E993" s="111" t="n">
        <v>2088</v>
      </c>
      <c r="F993" s="110" t="inlineStr">
        <is>
          <t>Empréstimos</t>
        </is>
      </c>
      <c r="G993" s="110" t="inlineStr">
        <is>
          <t>A PAGAR</t>
        </is>
      </c>
    </row>
    <row r="994">
      <c r="B994" s="110" t="inlineStr">
        <is>
          <t>BANCO ITAU</t>
        </is>
      </c>
      <c r="C994" s="109" t="n">
        <v>46559</v>
      </c>
      <c r="D994" s="110" t="inlineStr">
        <is>
          <t>TRANSFERÊNCIA</t>
        </is>
      </c>
      <c r="E994" s="111" t="n">
        <v>42329</v>
      </c>
      <c r="F994" s="110" t="inlineStr">
        <is>
          <t>Empréstimos</t>
        </is>
      </c>
      <c r="G994" s="110" t="inlineStr">
        <is>
          <t>A PAGAR</t>
        </is>
      </c>
    </row>
    <row r="995">
      <c r="B995" s="110" t="inlineStr">
        <is>
          <t>CONSÓRCIO BANCO DO BRASIL</t>
        </is>
      </c>
      <c r="C995" s="109" t="n">
        <v>46565</v>
      </c>
      <c r="D995" s="110" t="inlineStr">
        <is>
          <t>TRANSFERÊNCIA</t>
        </is>
      </c>
      <c r="E995" s="111" t="n">
        <v>2055.6</v>
      </c>
      <c r="F995" s="110" t="inlineStr">
        <is>
          <t>Consórcio</t>
        </is>
      </c>
      <c r="G995" s="110" t="inlineStr">
        <is>
          <t>A PAGAR</t>
        </is>
      </c>
    </row>
    <row r="996">
      <c r="B996" s="110" t="inlineStr">
        <is>
          <t>IMPOSTO ALV</t>
        </is>
      </c>
      <c r="C996" s="109" t="n">
        <v>46566</v>
      </c>
      <c r="D996" s="110" t="inlineStr">
        <is>
          <t>BOLETO BANCÁRIO</t>
        </is>
      </c>
      <c r="E996" s="111" t="n">
        <v>1272</v>
      </c>
      <c r="F996" s="110" t="inlineStr">
        <is>
          <t>Simples Nacional</t>
        </is>
      </c>
      <c r="G996" s="110" t="inlineStr">
        <is>
          <t>A PAGAR</t>
        </is>
      </c>
    </row>
    <row r="997">
      <c r="B997" s="110" t="inlineStr">
        <is>
          <t>BANCO SANTANDER</t>
        </is>
      </c>
      <c r="C997" s="109" t="n">
        <v>46566</v>
      </c>
      <c r="D997" s="110" t="inlineStr">
        <is>
          <t>TRANSFERÊNCIA</t>
        </is>
      </c>
      <c r="E997" s="111" t="n">
        <v>15436.91</v>
      </c>
      <c r="F997" s="110" t="inlineStr">
        <is>
          <t>Empréstimos</t>
        </is>
      </c>
      <c r="G997" s="110" t="inlineStr">
        <is>
          <t>A PAGAR</t>
        </is>
      </c>
    </row>
    <row r="998">
      <c r="B998" s="110" t="inlineStr">
        <is>
          <t>CAPITAL GIRO BRADESCO ALV PJ</t>
        </is>
      </c>
      <c r="C998" s="109" t="n">
        <v>46569</v>
      </c>
      <c r="D998" s="110" t="inlineStr">
        <is>
          <t>TRANSFERÊNCIA</t>
        </is>
      </c>
      <c r="E998" s="111" t="n">
        <v>20101.44</v>
      </c>
      <c r="F998" s="110" t="inlineStr">
        <is>
          <t>Empréstimos</t>
        </is>
      </c>
      <c r="G998" s="110" t="inlineStr">
        <is>
          <t>A PAGAR</t>
        </is>
      </c>
    </row>
    <row r="999">
      <c r="B999" s="110" t="inlineStr">
        <is>
          <t xml:space="preserve">JOSÉ HAMILTON FERREIRA - CORTADOR  </t>
        </is>
      </c>
      <c r="C999" s="109" t="n">
        <v>46588</v>
      </c>
      <c r="D999" s="110" t="inlineStr">
        <is>
          <t>PIX CODI BANCO BRASIL</t>
        </is>
      </c>
      <c r="E999" s="111" t="n">
        <v>333</v>
      </c>
      <c r="F999" s="110" t="inlineStr">
        <is>
          <t>Acertos e Recisões</t>
        </is>
      </c>
      <c r="G999" s="110" t="inlineStr">
        <is>
          <t>A PAGAR</t>
        </is>
      </c>
    </row>
    <row r="1000">
      <c r="B1000" s="110" t="inlineStr">
        <is>
          <t>CAPITAL GIRO SANTANDER ALV PJ</t>
        </is>
      </c>
      <c r="C1000" s="109" t="n">
        <v>46588</v>
      </c>
      <c r="D1000" s="110" t="inlineStr">
        <is>
          <t>TRANSFERÊNCIA</t>
        </is>
      </c>
      <c r="E1000" s="111" t="n">
        <v>2088</v>
      </c>
      <c r="F1000" s="110" t="inlineStr">
        <is>
          <t>Empréstimos</t>
        </is>
      </c>
      <c r="G1000" s="110" t="inlineStr">
        <is>
          <t>A PAGAR</t>
        </is>
      </c>
    </row>
    <row r="1001">
      <c r="B1001" s="110" t="inlineStr">
        <is>
          <t>BANCO ITAU</t>
        </is>
      </c>
      <c r="C1001" s="109" t="n">
        <v>46589</v>
      </c>
      <c r="D1001" s="110" t="inlineStr">
        <is>
          <t>TRANSFERÊNCIA</t>
        </is>
      </c>
      <c r="E1001" s="111" t="n">
        <v>42329</v>
      </c>
      <c r="F1001" s="110" t="inlineStr">
        <is>
          <t>Empréstimos</t>
        </is>
      </c>
      <c r="G1001" s="110" t="inlineStr">
        <is>
          <t>A PAGAR</t>
        </is>
      </c>
    </row>
    <row r="1002">
      <c r="B1002" s="110" t="inlineStr">
        <is>
          <t>CONSÓRCIO BANCO DO BRASIL</t>
        </is>
      </c>
      <c r="C1002" s="109" t="n">
        <v>46595</v>
      </c>
      <c r="D1002" s="110" t="inlineStr">
        <is>
          <t>TRANSFERÊNCIA</t>
        </is>
      </c>
      <c r="E1002" s="111" t="n">
        <v>2055.6</v>
      </c>
      <c r="F1002" s="110" t="inlineStr">
        <is>
          <t>Consórcio</t>
        </is>
      </c>
      <c r="G1002" s="110" t="inlineStr">
        <is>
          <t>A PAGAR</t>
        </is>
      </c>
    </row>
    <row r="1003">
      <c r="B1003" s="110" t="inlineStr">
        <is>
          <t>IMPOSTO ALV</t>
        </is>
      </c>
      <c r="C1003" s="109" t="n">
        <v>46596</v>
      </c>
      <c r="D1003" s="110" t="inlineStr">
        <is>
          <t>BOLETO BANCÁRIO</t>
        </is>
      </c>
      <c r="E1003" s="111" t="n">
        <v>1272</v>
      </c>
      <c r="F1003" s="110" t="inlineStr">
        <is>
          <t>Simples Nacional</t>
        </is>
      </c>
      <c r="G1003" s="110" t="inlineStr">
        <is>
          <t>A PAGAR</t>
        </is>
      </c>
    </row>
    <row r="1004">
      <c r="B1004" s="110" t="inlineStr">
        <is>
          <t>BANCO SANTANDER</t>
        </is>
      </c>
      <c r="C1004" s="109" t="n">
        <v>46596</v>
      </c>
      <c r="D1004" s="110" t="inlineStr">
        <is>
          <t>TRANSFERÊNCIA</t>
        </is>
      </c>
      <c r="E1004" s="111" t="n">
        <v>15436.91</v>
      </c>
      <c r="F1004" s="110" t="inlineStr">
        <is>
          <t>Empréstimos</t>
        </is>
      </c>
      <c r="G1004" s="110" t="inlineStr">
        <is>
          <t>A PAGAR</t>
        </is>
      </c>
    </row>
    <row r="1005">
      <c r="B1005" s="110" t="inlineStr">
        <is>
          <t>CAPITAL GIRO BRADESCO ALV PJ</t>
        </is>
      </c>
      <c r="C1005" s="109" t="n">
        <v>46601</v>
      </c>
      <c r="D1005" s="110" t="inlineStr">
        <is>
          <t>TRANSFERÊNCIA</t>
        </is>
      </c>
      <c r="E1005" s="111" t="n">
        <v>20101.44</v>
      </c>
      <c r="F1005" s="110" t="inlineStr">
        <is>
          <t>Empréstimos</t>
        </is>
      </c>
      <c r="G1005" s="110" t="inlineStr">
        <is>
          <t>A PAGAR</t>
        </is>
      </c>
    </row>
    <row r="1006">
      <c r="B1006" s="110" t="inlineStr">
        <is>
          <t>BANCO ITAU</t>
        </is>
      </c>
      <c r="C1006" s="109" t="n">
        <v>46620</v>
      </c>
      <c r="D1006" s="110" t="inlineStr">
        <is>
          <t>TRANSFERÊNCIA</t>
        </is>
      </c>
      <c r="E1006" s="111" t="n">
        <v>42329</v>
      </c>
      <c r="F1006" s="110" t="inlineStr">
        <is>
          <t>Empréstimos</t>
        </is>
      </c>
      <c r="G1006" s="110" t="inlineStr">
        <is>
          <t>A PAGAR</t>
        </is>
      </c>
    </row>
    <row r="1007">
      <c r="B1007" s="110" t="inlineStr">
        <is>
          <t>CONSÓRCIO BANCO DO BRASIL</t>
        </is>
      </c>
      <c r="C1007" s="109" t="n">
        <v>46626</v>
      </c>
      <c r="D1007" s="110" t="inlineStr">
        <is>
          <t>TRANSFERÊNCIA</t>
        </is>
      </c>
      <c r="E1007" s="111" t="n">
        <v>2055.6</v>
      </c>
      <c r="F1007" s="110" t="inlineStr">
        <is>
          <t>Consórcio</t>
        </is>
      </c>
      <c r="G1007" s="110" t="inlineStr">
        <is>
          <t>A PAGAR</t>
        </is>
      </c>
    </row>
    <row r="1008">
      <c r="B1008" s="110" t="inlineStr">
        <is>
          <t>IMPOSTO ALV</t>
        </is>
      </c>
      <c r="C1008" s="109" t="n">
        <v>46627</v>
      </c>
      <c r="D1008" s="110" t="inlineStr">
        <is>
          <t>BOLETO BANCÁRIO</t>
        </is>
      </c>
      <c r="E1008" s="111" t="n">
        <v>1272</v>
      </c>
      <c r="F1008" s="110" t="inlineStr">
        <is>
          <t>Simples Nacional</t>
        </is>
      </c>
      <c r="G1008" s="110" t="inlineStr">
        <is>
          <t>A PAGAR</t>
        </is>
      </c>
    </row>
    <row r="1009">
      <c r="B1009" s="110" t="inlineStr">
        <is>
          <t>BANCO SANTANDER</t>
        </is>
      </c>
      <c r="C1009" s="109" t="n">
        <v>46627</v>
      </c>
      <c r="D1009" s="110" t="inlineStr">
        <is>
          <t>TRANSFERÊNCIA</t>
        </is>
      </c>
      <c r="E1009" s="111" t="n">
        <v>15436.91</v>
      </c>
      <c r="F1009" s="110" t="inlineStr">
        <is>
          <t>Empréstimos</t>
        </is>
      </c>
      <c r="G1009" s="110" t="inlineStr">
        <is>
          <t>A PAGAR</t>
        </is>
      </c>
    </row>
    <row r="1010">
      <c r="B1010" s="110" t="inlineStr">
        <is>
          <t>CAPITAL GIRO BRADESCO ALV PJ</t>
        </is>
      </c>
      <c r="C1010" s="109" t="n">
        <v>46631</v>
      </c>
      <c r="D1010" s="110" t="inlineStr">
        <is>
          <t>TRANSFERÊNCIA</t>
        </is>
      </c>
      <c r="E1010" s="111" t="n">
        <v>20101.44</v>
      </c>
      <c r="F1010" s="110" t="inlineStr">
        <is>
          <t>Empréstimos</t>
        </is>
      </c>
      <c r="G1010" s="110" t="inlineStr">
        <is>
          <t>A PAGAR</t>
        </is>
      </c>
    </row>
    <row r="1011">
      <c r="B1011" s="110" t="inlineStr">
        <is>
          <t>BANCO ITAU</t>
        </is>
      </c>
      <c r="C1011" s="109" t="n">
        <v>46651</v>
      </c>
      <c r="D1011" s="110" t="inlineStr">
        <is>
          <t>TRANSFERÊNCIA</t>
        </is>
      </c>
      <c r="E1011" s="111" t="n">
        <v>42329</v>
      </c>
      <c r="F1011" s="110" t="inlineStr">
        <is>
          <t>Empréstimos</t>
        </is>
      </c>
      <c r="G1011" s="110" t="inlineStr">
        <is>
          <t>A PAGAR</t>
        </is>
      </c>
    </row>
    <row r="1012">
      <c r="B1012" s="110" t="inlineStr">
        <is>
          <t>CONSÓRCIO BANCO DO BRASIL</t>
        </is>
      </c>
      <c r="C1012" s="109" t="n">
        <v>46657</v>
      </c>
      <c r="D1012" s="110" t="inlineStr">
        <is>
          <t>TRANSFERÊNCIA</t>
        </is>
      </c>
      <c r="E1012" s="111" t="n">
        <v>2055.6</v>
      </c>
      <c r="F1012" s="110" t="inlineStr">
        <is>
          <t>Consórcio</t>
        </is>
      </c>
      <c r="G1012" s="110" t="inlineStr">
        <is>
          <t>A PAGAR</t>
        </is>
      </c>
    </row>
    <row r="1013">
      <c r="B1013" s="110" t="inlineStr">
        <is>
          <t>BANCO SANTANDER</t>
        </is>
      </c>
      <c r="C1013" s="109" t="n">
        <v>46658</v>
      </c>
      <c r="D1013" s="110" t="inlineStr">
        <is>
          <t>TRANSFERÊNCIA</t>
        </is>
      </c>
      <c r="E1013" s="111" t="n">
        <v>15436.91</v>
      </c>
      <c r="F1013" s="110" t="inlineStr">
        <is>
          <t>Empréstimos</t>
        </is>
      </c>
      <c r="G1013" s="110" t="inlineStr">
        <is>
          <t>A PAGAR</t>
        </is>
      </c>
    </row>
    <row r="1014">
      <c r="B1014" s="110" t="inlineStr">
        <is>
          <t>IMPOSTO ALV</t>
        </is>
      </c>
      <c r="C1014" s="109" t="n">
        <v>46658</v>
      </c>
      <c r="D1014" s="110" t="inlineStr">
        <is>
          <t>BOLETO BANCÁRIO</t>
        </is>
      </c>
      <c r="E1014" s="111" t="n">
        <v>1272</v>
      </c>
      <c r="F1014" s="110" t="inlineStr">
        <is>
          <t>Simples Nacional</t>
        </is>
      </c>
      <c r="G1014" s="110" t="inlineStr">
        <is>
          <t>A PAGAR</t>
        </is>
      </c>
    </row>
    <row r="1015">
      <c r="B1015" s="110" t="inlineStr">
        <is>
          <t>CAPITAL GIRO BRADESCO ALV PJ</t>
        </is>
      </c>
      <c r="C1015" s="109" t="n">
        <v>46661</v>
      </c>
      <c r="D1015" s="110" t="inlineStr">
        <is>
          <t>TRANSFERÊNCIA</t>
        </is>
      </c>
      <c r="E1015" s="111" t="n">
        <v>20101.44</v>
      </c>
      <c r="F1015" s="110" t="inlineStr">
        <is>
          <t>Empréstimos</t>
        </is>
      </c>
      <c r="G1015" s="110" t="inlineStr">
        <is>
          <t>A PAGAR</t>
        </is>
      </c>
    </row>
    <row r="1016">
      <c r="B1016" s="110" t="inlineStr">
        <is>
          <t>BANCO ITAU</t>
        </is>
      </c>
      <c r="C1016" s="109" t="n">
        <v>46681</v>
      </c>
      <c r="D1016" s="110" t="inlineStr">
        <is>
          <t>TRANSFERÊNCIA</t>
        </is>
      </c>
      <c r="E1016" s="111" t="n">
        <v>42329</v>
      </c>
      <c r="F1016" s="110" t="inlineStr">
        <is>
          <t>Empréstimos</t>
        </is>
      </c>
      <c r="G1016" s="110" t="inlineStr">
        <is>
          <t>A PAGAR</t>
        </is>
      </c>
    </row>
    <row r="1017">
      <c r="B1017" s="110" t="inlineStr">
        <is>
          <t>CONSÓRCIO BANCO DO BRASIL</t>
        </is>
      </c>
      <c r="C1017" s="109" t="n">
        <v>46687</v>
      </c>
      <c r="D1017" s="110" t="inlineStr">
        <is>
          <t>TRANSFERÊNCIA</t>
        </is>
      </c>
      <c r="E1017" s="111" t="n">
        <v>2055.6</v>
      </c>
      <c r="F1017" s="110" t="inlineStr">
        <is>
          <t>Consórcio</t>
        </is>
      </c>
      <c r="G1017" s="110" t="inlineStr">
        <is>
          <t>A PAGAR</t>
        </is>
      </c>
    </row>
    <row r="1018">
      <c r="B1018" s="110" t="inlineStr">
        <is>
          <t>IMPOSTO ALV</t>
        </is>
      </c>
      <c r="C1018" s="109" t="n">
        <v>46688</v>
      </c>
      <c r="D1018" s="110" t="inlineStr">
        <is>
          <t>BOLETO BANCÁRIO</t>
        </is>
      </c>
      <c r="E1018" s="111" t="n">
        <v>1272</v>
      </c>
      <c r="F1018" s="110" t="inlineStr">
        <is>
          <t>Simples Nacional</t>
        </is>
      </c>
      <c r="G1018" s="110" t="inlineStr">
        <is>
          <t>A PAGAR</t>
        </is>
      </c>
    </row>
    <row r="1019">
      <c r="B1019" s="110" t="inlineStr">
        <is>
          <t>BANCO SANTANDER</t>
        </is>
      </c>
      <c r="C1019" s="109" t="n">
        <v>46688</v>
      </c>
      <c r="D1019" s="110" t="inlineStr">
        <is>
          <t>TRANSFERÊNCIA</t>
        </is>
      </c>
      <c r="E1019" s="111" t="n">
        <v>15436.91</v>
      </c>
      <c r="F1019" s="110" t="inlineStr">
        <is>
          <t>Empréstimos</t>
        </is>
      </c>
      <c r="G1019" s="110" t="inlineStr">
        <is>
          <t>A PAGAR</t>
        </is>
      </c>
    </row>
    <row r="1020">
      <c r="B1020" s="110" t="inlineStr">
        <is>
          <t>CAPITAL GIRO BRADESCO ALV PJ</t>
        </is>
      </c>
      <c r="C1020" s="109" t="n">
        <v>46692</v>
      </c>
      <c r="D1020" s="110" t="inlineStr">
        <is>
          <t>TRANSFERÊNCIA</t>
        </is>
      </c>
      <c r="E1020" s="111" t="n">
        <v>20101.44</v>
      </c>
      <c r="F1020" s="110" t="inlineStr">
        <is>
          <t>Empréstimos</t>
        </is>
      </c>
      <c r="G1020" s="110" t="inlineStr">
        <is>
          <t>A PAGAR</t>
        </is>
      </c>
    </row>
    <row r="1021">
      <c r="B1021" s="110" t="inlineStr">
        <is>
          <t>BANCO ITAU</t>
        </is>
      </c>
      <c r="C1021" s="109" t="n">
        <v>46712</v>
      </c>
      <c r="D1021" s="110" t="inlineStr">
        <is>
          <t>TRANSFERÊNCIA</t>
        </is>
      </c>
      <c r="E1021" s="111" t="n">
        <v>42329</v>
      </c>
      <c r="F1021" s="110" t="inlineStr">
        <is>
          <t>Empréstimos</t>
        </is>
      </c>
      <c r="G1021" s="110" t="inlineStr">
        <is>
          <t>A PAGAR</t>
        </is>
      </c>
    </row>
    <row r="1022">
      <c r="B1022" s="110" t="inlineStr">
        <is>
          <t>CONSÓRCIO BANCO DO BRASIL</t>
        </is>
      </c>
      <c r="C1022" s="109" t="n">
        <v>46718</v>
      </c>
      <c r="D1022" s="110" t="inlineStr">
        <is>
          <t>TRANSFERÊNCIA</t>
        </is>
      </c>
      <c r="E1022" s="111" t="n">
        <v>2055.6</v>
      </c>
      <c r="F1022" s="110" t="inlineStr">
        <is>
          <t>Consórcio</t>
        </is>
      </c>
      <c r="G1022" s="110" t="inlineStr">
        <is>
          <t>A PAGAR</t>
        </is>
      </c>
    </row>
    <row r="1023">
      <c r="B1023" s="110" t="inlineStr">
        <is>
          <t>IMPOSTO ALV</t>
        </is>
      </c>
      <c r="C1023" s="109" t="n">
        <v>46719</v>
      </c>
      <c r="D1023" s="110" t="inlineStr">
        <is>
          <t>BOLETO BANCÁRIO</t>
        </is>
      </c>
      <c r="E1023" s="111" t="n">
        <v>1272</v>
      </c>
      <c r="F1023" s="110" t="inlineStr">
        <is>
          <t>Simples Nacional</t>
        </is>
      </c>
      <c r="G1023" s="110" t="inlineStr">
        <is>
          <t>A PAGAR</t>
        </is>
      </c>
    </row>
    <row r="1024">
      <c r="B1024" s="110" t="inlineStr">
        <is>
          <t>BANCO SANTANDER</t>
        </is>
      </c>
      <c r="C1024" s="109" t="n">
        <v>46719</v>
      </c>
      <c r="D1024" s="110" t="inlineStr">
        <is>
          <t>TRANSFERÊNCIA</t>
        </is>
      </c>
      <c r="E1024" s="111" t="n">
        <v>15436.91</v>
      </c>
      <c r="F1024" s="110" t="inlineStr">
        <is>
          <t>Empréstimos</t>
        </is>
      </c>
      <c r="G1024" s="110" t="inlineStr">
        <is>
          <t>A PAGAR</t>
        </is>
      </c>
    </row>
    <row r="1025">
      <c r="B1025" s="110" t="inlineStr">
        <is>
          <t>CAPITAL GIRO BRADESCO ALV PJ</t>
        </is>
      </c>
      <c r="C1025" s="109" t="n">
        <v>46722</v>
      </c>
      <c r="D1025" s="110" t="inlineStr">
        <is>
          <t>TRANSFERÊNCIA</t>
        </is>
      </c>
      <c r="E1025" s="111" t="n">
        <v>20101.44</v>
      </c>
      <c r="F1025" s="110" t="inlineStr">
        <is>
          <t>Empréstimos</t>
        </is>
      </c>
      <c r="G1025" s="110" t="inlineStr">
        <is>
          <t>A PAGAR</t>
        </is>
      </c>
    </row>
    <row r="1026">
      <c r="B1026" s="110" t="inlineStr">
        <is>
          <t>BANCO ITAU</t>
        </is>
      </c>
      <c r="C1026" s="109" t="n">
        <v>46742</v>
      </c>
      <c r="D1026" s="110" t="inlineStr">
        <is>
          <t>TRANSFERÊNCIA</t>
        </is>
      </c>
      <c r="E1026" s="111" t="n">
        <v>42329</v>
      </c>
      <c r="F1026" s="110" t="inlineStr">
        <is>
          <t>Empréstimos</t>
        </is>
      </c>
      <c r="G1026" s="110" t="inlineStr">
        <is>
          <t>A PAGAR</t>
        </is>
      </c>
    </row>
    <row r="1027">
      <c r="B1027" s="110" t="inlineStr">
        <is>
          <t>CONSÓRCIO BANCO DO BRASIL</t>
        </is>
      </c>
      <c r="C1027" s="109" t="n">
        <v>46748</v>
      </c>
      <c r="D1027" s="110" t="inlineStr">
        <is>
          <t>TRANSFERÊNCIA</t>
        </is>
      </c>
      <c r="E1027" s="111" t="n">
        <v>2055.6</v>
      </c>
      <c r="F1027" s="110" t="inlineStr">
        <is>
          <t>Consórcio</t>
        </is>
      </c>
      <c r="G1027" s="110" t="inlineStr">
        <is>
          <t>A PAGAR</t>
        </is>
      </c>
    </row>
    <row r="1028">
      <c r="B1028" s="110" t="inlineStr">
        <is>
          <t>IMPOSTO ALV</t>
        </is>
      </c>
      <c r="C1028" s="109" t="n">
        <v>46749</v>
      </c>
      <c r="D1028" s="110" t="inlineStr">
        <is>
          <t>BOLETO BANCÁRIO</t>
        </is>
      </c>
      <c r="E1028" s="111" t="n">
        <v>1272</v>
      </c>
      <c r="F1028" s="110" t="inlineStr">
        <is>
          <t>Simples Nacional</t>
        </is>
      </c>
      <c r="G1028" s="110" t="inlineStr">
        <is>
          <t>A PAGAR</t>
        </is>
      </c>
    </row>
    <row r="1029">
      <c r="B1029" s="110" t="inlineStr">
        <is>
          <t>CAPITAL GIRO BRADESCO ALV PJ</t>
        </is>
      </c>
      <c r="C1029" s="109" t="n">
        <v>46755</v>
      </c>
      <c r="D1029" s="110" t="inlineStr">
        <is>
          <t>TRANSFERÊNCIA</t>
        </is>
      </c>
      <c r="E1029" s="111" t="n">
        <v>20101.44</v>
      </c>
      <c r="F1029" s="110" t="inlineStr">
        <is>
          <t>Empréstimos</t>
        </is>
      </c>
      <c r="G1029" s="110" t="inlineStr">
        <is>
          <t>A PAGAR</t>
        </is>
      </c>
    </row>
    <row r="1030">
      <c r="B1030" s="110" t="inlineStr">
        <is>
          <t>BANCO ITAU</t>
        </is>
      </c>
      <c r="C1030" s="109" t="n">
        <v>46773</v>
      </c>
      <c r="D1030" s="110" t="inlineStr">
        <is>
          <t>TRANSFERÊNCIA</t>
        </is>
      </c>
      <c r="E1030" s="111" t="n">
        <v>42329</v>
      </c>
      <c r="F1030" s="110" t="inlineStr">
        <is>
          <t>Empréstimos</t>
        </is>
      </c>
      <c r="G1030" s="110" t="inlineStr">
        <is>
          <t>A PAGAR</t>
        </is>
      </c>
    </row>
    <row r="1031">
      <c r="B1031" s="110" t="inlineStr">
        <is>
          <t>CONSÓRCIO BANCO DO BRASIL</t>
        </is>
      </c>
      <c r="C1031" s="109" t="n">
        <v>46779</v>
      </c>
      <c r="D1031" s="110" t="inlineStr">
        <is>
          <t>TRANSFERÊNCIA</t>
        </is>
      </c>
      <c r="E1031" s="111" t="n">
        <v>2055.6</v>
      </c>
      <c r="F1031" s="110" t="inlineStr">
        <is>
          <t>Consórcio</t>
        </is>
      </c>
      <c r="G1031" s="110" t="inlineStr">
        <is>
          <t>A PAGAR</t>
        </is>
      </c>
    </row>
    <row r="1032">
      <c r="B1032" s="110" t="inlineStr">
        <is>
          <t>IMPOSTO ALV</t>
        </is>
      </c>
      <c r="C1032" s="109" t="n">
        <v>46780</v>
      </c>
      <c r="D1032" s="110" t="inlineStr">
        <is>
          <t>BOLETO BANCÁRIO</t>
        </is>
      </c>
      <c r="E1032" s="111" t="n">
        <v>1272</v>
      </c>
      <c r="F1032" s="110" t="inlineStr">
        <is>
          <t>Simples Nacional</t>
        </is>
      </c>
      <c r="G1032" s="110" t="inlineStr">
        <is>
          <t>A PAGAR</t>
        </is>
      </c>
    </row>
    <row r="1033">
      <c r="B1033" s="110" t="inlineStr">
        <is>
          <t>CAPITAL GIRO BRADESCO ALV PJ</t>
        </is>
      </c>
      <c r="C1033" s="109" t="n">
        <v>46784</v>
      </c>
      <c r="D1033" s="110" t="inlineStr">
        <is>
          <t>TRANSFERÊNCIA</t>
        </is>
      </c>
      <c r="E1033" s="111" t="n">
        <v>20101.44</v>
      </c>
      <c r="F1033" s="110" t="inlineStr">
        <is>
          <t>Empréstimos</t>
        </is>
      </c>
      <c r="G1033" s="110" t="inlineStr">
        <is>
          <t>A PAGAR</t>
        </is>
      </c>
    </row>
    <row r="1034">
      <c r="B1034" s="110" t="inlineStr">
        <is>
          <t>BANCO ITAU</t>
        </is>
      </c>
      <c r="C1034" s="109" t="n">
        <v>46804</v>
      </c>
      <c r="D1034" s="110" t="inlineStr">
        <is>
          <t>TRANSFERÊNCIA</t>
        </is>
      </c>
      <c r="E1034" s="111" t="n">
        <v>42329</v>
      </c>
      <c r="F1034" s="110" t="inlineStr">
        <is>
          <t>Empréstimos</t>
        </is>
      </c>
      <c r="G1034" s="110" t="inlineStr">
        <is>
          <t>A PAGAR</t>
        </is>
      </c>
    </row>
    <row r="1035">
      <c r="B1035" s="110" t="inlineStr">
        <is>
          <t>CONSÓRCIO BANCO DO BRASIL</t>
        </is>
      </c>
      <c r="C1035" s="109" t="n">
        <v>46810</v>
      </c>
      <c r="D1035" s="110" t="inlineStr">
        <is>
          <t>TRANSFERÊNCIA</t>
        </is>
      </c>
      <c r="E1035" s="111" t="n">
        <v>2055.6</v>
      </c>
      <c r="F1035" s="110" t="inlineStr">
        <is>
          <t>Consórcio</t>
        </is>
      </c>
      <c r="G1035" s="110" t="inlineStr">
        <is>
          <t>A PAGAR</t>
        </is>
      </c>
    </row>
    <row r="1036">
      <c r="B1036" s="110" t="inlineStr">
        <is>
          <t>IMPOSTO ALV</t>
        </is>
      </c>
      <c r="C1036" s="109" t="n">
        <v>46811</v>
      </c>
      <c r="D1036" s="110" t="inlineStr">
        <is>
          <t>BOLETO BANCÁRIO</t>
        </is>
      </c>
      <c r="E1036" s="111" t="n">
        <v>1272</v>
      </c>
      <c r="F1036" s="110" t="inlineStr">
        <is>
          <t>Simples Nacional</t>
        </is>
      </c>
      <c r="G1036" s="110" t="inlineStr">
        <is>
          <t>A PAGAR</t>
        </is>
      </c>
    </row>
    <row r="1037">
      <c r="B1037" s="110" t="inlineStr">
        <is>
          <t>CAPITAL GIRO BRADESCO ALV PJ</t>
        </is>
      </c>
      <c r="C1037" s="109" t="n">
        <v>46813</v>
      </c>
      <c r="D1037" s="110" t="inlineStr">
        <is>
          <t>TRANSFERÊNCIA</t>
        </is>
      </c>
      <c r="E1037" s="111" t="n">
        <v>20101.44</v>
      </c>
      <c r="F1037" s="110" t="inlineStr">
        <is>
          <t>Empréstimos</t>
        </is>
      </c>
      <c r="G1037" s="110" t="inlineStr">
        <is>
          <t>A PAGAR</t>
        </is>
      </c>
    </row>
    <row r="1038">
      <c r="B1038" s="110" t="inlineStr">
        <is>
          <t>BANCO ITAU</t>
        </is>
      </c>
      <c r="C1038" s="109" t="n">
        <v>46833</v>
      </c>
      <c r="D1038" s="110" t="inlineStr">
        <is>
          <t>TRANSFERÊNCIA</t>
        </is>
      </c>
      <c r="E1038" s="111" t="n">
        <v>42329</v>
      </c>
      <c r="F1038" s="110" t="inlineStr">
        <is>
          <t>Empréstimos</t>
        </is>
      </c>
      <c r="G1038" s="110" t="inlineStr">
        <is>
          <t>A PAGAR</t>
        </is>
      </c>
    </row>
    <row r="1039">
      <c r="B1039" s="110" t="inlineStr">
        <is>
          <t>CONSÓRCIO BANCO DO BRASIL</t>
        </is>
      </c>
      <c r="C1039" s="109" t="n">
        <v>46839</v>
      </c>
      <c r="D1039" s="110" t="inlineStr">
        <is>
          <t>TRANSFERÊNCIA</t>
        </is>
      </c>
      <c r="E1039" s="111" t="n">
        <v>2055.6</v>
      </c>
      <c r="F1039" s="110" t="inlineStr">
        <is>
          <t>Consórcio</t>
        </is>
      </c>
      <c r="G1039" s="110" t="inlineStr">
        <is>
          <t>A PAGAR</t>
        </is>
      </c>
    </row>
    <row r="1040">
      <c r="B1040" s="110" t="inlineStr">
        <is>
          <t>IMPOSTO ALV</t>
        </is>
      </c>
      <c r="C1040" s="109" t="n">
        <v>46840</v>
      </c>
      <c r="D1040" s="110" t="inlineStr">
        <is>
          <t>BOLETO BANCÁRIO</t>
        </is>
      </c>
      <c r="E1040" s="111" t="n">
        <v>1272</v>
      </c>
      <c r="F1040" s="110" t="inlineStr">
        <is>
          <t>Simples Nacional</t>
        </is>
      </c>
      <c r="G1040" s="110" t="inlineStr">
        <is>
          <t>A PAGAR</t>
        </is>
      </c>
    </row>
    <row r="1041">
      <c r="B1041" s="110" t="inlineStr">
        <is>
          <t>CAPITAL GIRO BRADESCO ALV PJ</t>
        </is>
      </c>
      <c r="C1041" s="109" t="n">
        <v>46846</v>
      </c>
      <c r="D1041" s="110" t="inlineStr">
        <is>
          <t>TRANSFERÊNCIA</t>
        </is>
      </c>
      <c r="E1041" s="111" t="n">
        <v>20101.44</v>
      </c>
      <c r="F1041" s="110" t="inlineStr">
        <is>
          <t>Empréstimos</t>
        </is>
      </c>
      <c r="G1041" s="110" t="inlineStr">
        <is>
          <t>A PAGAR</t>
        </is>
      </c>
    </row>
    <row r="1042">
      <c r="B1042" s="110" t="inlineStr">
        <is>
          <t>BANCO ITAU</t>
        </is>
      </c>
      <c r="C1042" s="109" t="n">
        <v>46864</v>
      </c>
      <c r="D1042" s="110" t="inlineStr">
        <is>
          <t>TRANSFERÊNCIA</t>
        </is>
      </c>
      <c r="E1042" s="111" t="n">
        <v>42329</v>
      </c>
      <c r="F1042" s="110" t="inlineStr">
        <is>
          <t>Empréstimos</t>
        </is>
      </c>
      <c r="G1042" s="110" t="inlineStr">
        <is>
          <t>A PAGAR</t>
        </is>
      </c>
    </row>
    <row r="1043">
      <c r="B1043" s="110" t="inlineStr">
        <is>
          <t>CONSÓRCIO BANCO DO BRASIL</t>
        </is>
      </c>
      <c r="C1043" s="109" t="n">
        <v>46870</v>
      </c>
      <c r="D1043" s="110" t="inlineStr">
        <is>
          <t>TRANSFERÊNCIA</t>
        </is>
      </c>
      <c r="E1043" s="111" t="n">
        <v>2055.6</v>
      </c>
      <c r="F1043" s="110" t="inlineStr">
        <is>
          <t>Consórcio</t>
        </is>
      </c>
      <c r="G1043" s="110" t="inlineStr">
        <is>
          <t>A PAGAR</t>
        </is>
      </c>
    </row>
    <row r="1044">
      <c r="B1044" s="110" t="inlineStr">
        <is>
          <t>IMPOSTO ALV</t>
        </is>
      </c>
      <c r="C1044" s="109" t="n">
        <v>46871</v>
      </c>
      <c r="D1044" s="110" t="inlineStr">
        <is>
          <t>BOLETO BANCÁRIO</t>
        </is>
      </c>
      <c r="E1044" s="111" t="n">
        <v>1272</v>
      </c>
      <c r="F1044" s="110" t="inlineStr">
        <is>
          <t>Simples Nacional</t>
        </is>
      </c>
      <c r="G1044" s="110" t="inlineStr">
        <is>
          <t>A PAGAR</t>
        </is>
      </c>
    </row>
    <row r="1045">
      <c r="B1045" s="110" t="inlineStr">
        <is>
          <t>CAPITAL GIRO BRADESCO ALV PJ</t>
        </is>
      </c>
      <c r="C1045" s="109" t="n">
        <v>46875</v>
      </c>
      <c r="D1045" s="110" t="inlineStr">
        <is>
          <t>TRANSFERÊNCIA</t>
        </is>
      </c>
      <c r="E1045" s="111" t="n">
        <v>20101.44</v>
      </c>
      <c r="F1045" s="110" t="inlineStr">
        <is>
          <t>Empréstimos</t>
        </is>
      </c>
      <c r="G1045" s="110" t="inlineStr">
        <is>
          <t>A PAGAR</t>
        </is>
      </c>
    </row>
    <row r="1046">
      <c r="B1046" s="110" t="inlineStr">
        <is>
          <t>BANCO ITAU</t>
        </is>
      </c>
      <c r="C1046" s="109" t="n">
        <v>46894</v>
      </c>
      <c r="D1046" s="110" t="inlineStr">
        <is>
          <t>TRANSFERÊNCIA</t>
        </is>
      </c>
      <c r="E1046" s="111" t="n">
        <v>42329</v>
      </c>
      <c r="F1046" s="110" t="inlineStr">
        <is>
          <t>Empréstimos</t>
        </is>
      </c>
      <c r="G1046" s="110" t="inlineStr">
        <is>
          <t>A PAGAR</t>
        </is>
      </c>
    </row>
    <row r="1047">
      <c r="B1047" s="110" t="inlineStr">
        <is>
          <t>CONSÓRCIO BANCO DO BRASIL</t>
        </is>
      </c>
      <c r="C1047" s="109" t="n">
        <v>46900</v>
      </c>
      <c r="D1047" s="110" t="inlineStr">
        <is>
          <t>TRANSFERÊNCIA</t>
        </is>
      </c>
      <c r="E1047" s="111" t="n">
        <v>2055.6</v>
      </c>
      <c r="F1047" s="110" t="inlineStr">
        <is>
          <t>Consórcio</t>
        </is>
      </c>
      <c r="G1047" s="110" t="inlineStr">
        <is>
          <t>A PAGAR</t>
        </is>
      </c>
    </row>
    <row r="1048">
      <c r="B1048" s="110" t="inlineStr">
        <is>
          <t>IMPOSTO ALV</t>
        </is>
      </c>
      <c r="C1048" s="109" t="n">
        <v>46901</v>
      </c>
      <c r="D1048" s="110" t="inlineStr">
        <is>
          <t>BOLETO BANCÁRIO</t>
        </is>
      </c>
      <c r="E1048" s="111" t="n">
        <v>1272</v>
      </c>
      <c r="F1048" s="110" t="inlineStr">
        <is>
          <t>Simples Nacional</t>
        </is>
      </c>
      <c r="G1048" s="110" t="inlineStr">
        <is>
          <t>A PAGAR</t>
        </is>
      </c>
    </row>
    <row r="1049">
      <c r="B1049" s="110" t="inlineStr">
        <is>
          <t>CAPITAL GIRO BRADESCO ALV PJ</t>
        </is>
      </c>
      <c r="C1049" s="109" t="n">
        <v>46905</v>
      </c>
      <c r="D1049" s="110" t="inlineStr">
        <is>
          <t>TRANSFERÊNCIA</t>
        </is>
      </c>
      <c r="E1049" s="111" t="n">
        <v>20101.44</v>
      </c>
      <c r="F1049" s="110" t="inlineStr">
        <is>
          <t>Empréstimos</t>
        </is>
      </c>
      <c r="G1049" s="110" t="inlineStr">
        <is>
          <t>A PAGAR</t>
        </is>
      </c>
    </row>
    <row r="1050">
      <c r="B1050" s="110" t="inlineStr">
        <is>
          <t>BANCO ITAU</t>
        </is>
      </c>
      <c r="C1050" s="109" t="n">
        <v>46925</v>
      </c>
      <c r="D1050" s="110" t="inlineStr">
        <is>
          <t>TRANSFERÊNCIA</t>
        </is>
      </c>
      <c r="E1050" s="111" t="n">
        <v>42329</v>
      </c>
      <c r="F1050" s="110" t="inlineStr">
        <is>
          <t>Empréstimos</t>
        </is>
      </c>
      <c r="G1050" s="110" t="inlineStr">
        <is>
          <t>A PAGAR</t>
        </is>
      </c>
    </row>
    <row r="1051">
      <c r="B1051" s="110" t="inlineStr">
        <is>
          <t>CONSÓRCIO BANCO DO BRASIL</t>
        </is>
      </c>
      <c r="C1051" s="109" t="n">
        <v>46931</v>
      </c>
      <c r="D1051" s="110" t="inlineStr">
        <is>
          <t>TRANSFERÊNCIA</t>
        </is>
      </c>
      <c r="E1051" s="111" t="n">
        <v>2055.6</v>
      </c>
      <c r="F1051" s="110" t="inlineStr">
        <is>
          <t>Consórcio</t>
        </is>
      </c>
      <c r="G1051" s="110" t="inlineStr">
        <is>
          <t>A PAGAR</t>
        </is>
      </c>
    </row>
    <row r="1052">
      <c r="B1052" s="110" t="inlineStr">
        <is>
          <t>IMPOSTO ALV</t>
        </is>
      </c>
      <c r="C1052" s="109" t="n">
        <v>46932</v>
      </c>
      <c r="D1052" s="110" t="inlineStr">
        <is>
          <t>BOLETO BANCÁRIO</t>
        </is>
      </c>
      <c r="E1052" s="111" t="n">
        <v>1272</v>
      </c>
      <c r="F1052" s="110" t="inlineStr">
        <is>
          <t>Simples Nacional</t>
        </is>
      </c>
      <c r="G1052" s="110" t="inlineStr">
        <is>
          <t>A PAGAR</t>
        </is>
      </c>
    </row>
    <row r="1053">
      <c r="B1053" s="110" t="inlineStr">
        <is>
          <t>CAPITAL GIRO BRADESCO ALV PJ</t>
        </is>
      </c>
      <c r="C1053" s="109" t="n">
        <v>46937</v>
      </c>
      <c r="D1053" s="110" t="inlineStr">
        <is>
          <t>TRANSFERÊNCIA</t>
        </is>
      </c>
      <c r="E1053" s="111" t="n">
        <v>20101.44</v>
      </c>
      <c r="F1053" s="110" t="inlineStr">
        <is>
          <t>Empréstimos</t>
        </is>
      </c>
      <c r="G1053" s="110" t="inlineStr">
        <is>
          <t>A PAGAR</t>
        </is>
      </c>
    </row>
    <row r="1054">
      <c r="B1054" s="110" t="inlineStr">
        <is>
          <t>BANCO ITAU</t>
        </is>
      </c>
      <c r="C1054" s="109" t="n">
        <v>46955</v>
      </c>
      <c r="D1054" s="110" t="inlineStr">
        <is>
          <t>TRANSFERÊNCIA</t>
        </is>
      </c>
      <c r="E1054" s="111" t="n">
        <v>42329</v>
      </c>
      <c r="F1054" s="110" t="inlineStr">
        <is>
          <t>Empréstimos</t>
        </is>
      </c>
      <c r="G1054" s="110" t="inlineStr">
        <is>
          <t>A PAGAR</t>
        </is>
      </c>
    </row>
    <row r="1055">
      <c r="B1055" s="110" t="inlineStr">
        <is>
          <t>CONSÓRCIO BANCO DO BRASIL</t>
        </is>
      </c>
      <c r="C1055" s="109" t="n">
        <v>46961</v>
      </c>
      <c r="D1055" s="110" t="inlineStr">
        <is>
          <t>TRANSFERÊNCIA</t>
        </is>
      </c>
      <c r="E1055" s="111" t="n">
        <v>2055.6</v>
      </c>
      <c r="F1055" s="110" t="inlineStr">
        <is>
          <t>Consórcio</t>
        </is>
      </c>
      <c r="G1055" s="110" t="inlineStr">
        <is>
          <t>A PAGAR</t>
        </is>
      </c>
    </row>
    <row r="1056">
      <c r="B1056" s="110" t="inlineStr">
        <is>
          <t>IMPOSTO ALV</t>
        </is>
      </c>
      <c r="C1056" s="109" t="n">
        <v>46962</v>
      </c>
      <c r="D1056" s="110" t="inlineStr">
        <is>
          <t>BOLETO BANCÁRIO</t>
        </is>
      </c>
      <c r="E1056" s="111" t="n">
        <v>1272</v>
      </c>
      <c r="F1056" s="110" t="inlineStr">
        <is>
          <t>Simples Nacional</t>
        </is>
      </c>
      <c r="G1056" s="110" t="inlineStr">
        <is>
          <t>A PAGAR</t>
        </is>
      </c>
    </row>
    <row r="1057">
      <c r="B1057" s="110" t="inlineStr">
        <is>
          <t>CAPITAL GIRO BRADESCO ALV PJ</t>
        </is>
      </c>
      <c r="C1057" s="109" t="n">
        <v>46966</v>
      </c>
      <c r="D1057" s="110" t="inlineStr">
        <is>
          <t>TRANSFERÊNCIA</t>
        </is>
      </c>
      <c r="E1057" s="111" t="n">
        <v>20101.44</v>
      </c>
      <c r="F1057" s="110" t="inlineStr">
        <is>
          <t>Empréstimos</t>
        </is>
      </c>
      <c r="G1057" s="110" t="inlineStr">
        <is>
          <t>A PAGAR</t>
        </is>
      </c>
    </row>
    <row r="1058">
      <c r="B1058" s="110" t="inlineStr">
        <is>
          <t>BANCO ITAU</t>
        </is>
      </c>
      <c r="C1058" s="109" t="n">
        <v>46986</v>
      </c>
      <c r="D1058" s="110" t="inlineStr">
        <is>
          <t>TRANSFERÊNCIA</t>
        </is>
      </c>
      <c r="E1058" s="111" t="n">
        <v>42329</v>
      </c>
      <c r="F1058" s="110" t="inlineStr">
        <is>
          <t>Empréstimos</t>
        </is>
      </c>
      <c r="G1058" s="110" t="inlineStr">
        <is>
          <t>A PAGAR</t>
        </is>
      </c>
    </row>
    <row r="1059">
      <c r="B1059" s="110" t="inlineStr">
        <is>
          <t>CONSÓRCIO BANCO DO BRASIL</t>
        </is>
      </c>
      <c r="C1059" s="109" t="n">
        <v>46992</v>
      </c>
      <c r="D1059" s="110" t="inlineStr">
        <is>
          <t>TRANSFERÊNCIA</t>
        </is>
      </c>
      <c r="E1059" s="111" t="n">
        <v>2055.6</v>
      </c>
      <c r="F1059" s="110" t="inlineStr">
        <is>
          <t>Consórcio</t>
        </is>
      </c>
      <c r="G1059" s="110" t="inlineStr">
        <is>
          <t>A PAGAR</t>
        </is>
      </c>
    </row>
    <row r="1060">
      <c r="B1060" s="110" t="inlineStr">
        <is>
          <t>IMPOSTO ALV</t>
        </is>
      </c>
      <c r="C1060" s="109" t="n">
        <v>46993</v>
      </c>
      <c r="D1060" s="110" t="inlineStr">
        <is>
          <t>BOLETO BANCÁRIO</t>
        </is>
      </c>
      <c r="E1060" s="111" t="n">
        <v>1272</v>
      </c>
      <c r="F1060" s="110" t="inlineStr">
        <is>
          <t>Simples Nacional</t>
        </is>
      </c>
      <c r="G1060" s="110" t="inlineStr">
        <is>
          <t>A PAGAR</t>
        </is>
      </c>
    </row>
    <row r="1061">
      <c r="B1061" s="110" t="inlineStr">
        <is>
          <t>CAPITAL GIRO BRADESCO ALV PJ</t>
        </is>
      </c>
      <c r="C1061" s="109" t="n">
        <v>46997</v>
      </c>
      <c r="D1061" s="110" t="inlineStr">
        <is>
          <t>TRANSFERÊNCIA</t>
        </is>
      </c>
      <c r="E1061" s="111" t="n">
        <v>20101.44</v>
      </c>
      <c r="F1061" s="110" t="inlineStr">
        <is>
          <t>Empréstimos</t>
        </is>
      </c>
      <c r="G1061" s="110" t="inlineStr">
        <is>
          <t>A PAGAR</t>
        </is>
      </c>
    </row>
    <row r="1062">
      <c r="B1062" s="110" t="inlineStr">
        <is>
          <t>BANCO ITAU</t>
        </is>
      </c>
      <c r="C1062" s="109" t="n">
        <v>47017</v>
      </c>
      <c r="D1062" s="110" t="inlineStr">
        <is>
          <t>TRANSFERÊNCIA</t>
        </is>
      </c>
      <c r="E1062" s="111" t="n">
        <v>42329</v>
      </c>
      <c r="F1062" s="110" t="inlineStr">
        <is>
          <t>Empréstimos</t>
        </is>
      </c>
      <c r="G1062" s="110" t="inlineStr">
        <is>
          <t>A PAGAR</t>
        </is>
      </c>
    </row>
    <row r="1063">
      <c r="B1063" s="110" t="inlineStr">
        <is>
          <t>CONSÓRCIO BANCO DO BRASIL</t>
        </is>
      </c>
      <c r="C1063" s="109" t="n">
        <v>47023</v>
      </c>
      <c r="D1063" s="110" t="inlineStr">
        <is>
          <t>TRANSFERÊNCIA</t>
        </is>
      </c>
      <c r="E1063" s="111" t="n">
        <v>2055.6</v>
      </c>
      <c r="F1063" s="110" t="inlineStr">
        <is>
          <t>Consórcio</t>
        </is>
      </c>
      <c r="G1063" s="110" t="inlineStr">
        <is>
          <t>A PAGAR</t>
        </is>
      </c>
    </row>
    <row r="1064">
      <c r="B1064" s="110" t="inlineStr">
        <is>
          <t>IMPOSTO ALV</t>
        </is>
      </c>
      <c r="C1064" s="109" t="n">
        <v>47024</v>
      </c>
      <c r="D1064" s="110" t="inlineStr">
        <is>
          <t>BOLETO BANCÁRIO</t>
        </is>
      </c>
      <c r="E1064" s="111" t="n">
        <v>1272</v>
      </c>
      <c r="F1064" s="110" t="inlineStr">
        <is>
          <t>Simples Nacional</t>
        </is>
      </c>
      <c r="G1064" s="110" t="inlineStr">
        <is>
          <t>A PAGAR</t>
        </is>
      </c>
    </row>
    <row r="1065">
      <c r="B1065" s="110" t="inlineStr">
        <is>
          <t>CAPITAL GIRO BRADESCO ALV PJ</t>
        </is>
      </c>
      <c r="C1065" s="109" t="n">
        <v>47028</v>
      </c>
      <c r="D1065" s="110" t="inlineStr">
        <is>
          <t>TRANSFERÊNCIA</t>
        </is>
      </c>
      <c r="E1065" s="111" t="n">
        <v>20101.44</v>
      </c>
      <c r="F1065" s="110" t="inlineStr">
        <is>
          <t>Empréstimos</t>
        </is>
      </c>
      <c r="G1065" s="110" t="inlineStr">
        <is>
          <t>A PAGAR</t>
        </is>
      </c>
    </row>
    <row r="1066">
      <c r="B1066" s="110" t="inlineStr">
        <is>
          <t>BANCO ITAU</t>
        </is>
      </c>
      <c r="C1066" s="109" t="n">
        <v>47047</v>
      </c>
      <c r="D1066" s="110" t="inlineStr">
        <is>
          <t>TRANSFERÊNCIA</t>
        </is>
      </c>
      <c r="E1066" s="111" t="n">
        <v>42329</v>
      </c>
      <c r="F1066" s="110" t="inlineStr">
        <is>
          <t>Empréstimos</t>
        </is>
      </c>
      <c r="G1066" s="110" t="inlineStr">
        <is>
          <t>A PAGAR</t>
        </is>
      </c>
    </row>
    <row r="1067">
      <c r="B1067" s="110" t="inlineStr">
        <is>
          <t>CONSÓRCIO BANCO DO BRASIL</t>
        </is>
      </c>
      <c r="C1067" s="109" t="n">
        <v>47053</v>
      </c>
      <c r="D1067" s="110" t="inlineStr">
        <is>
          <t>TRANSFERÊNCIA</t>
        </is>
      </c>
      <c r="E1067" s="111" t="n">
        <v>2055.6</v>
      </c>
      <c r="F1067" s="110" t="inlineStr">
        <is>
          <t>Consórcio</t>
        </is>
      </c>
      <c r="G1067" s="110" t="inlineStr">
        <is>
          <t>A PAGAR</t>
        </is>
      </c>
    </row>
    <row r="1068">
      <c r="B1068" s="110" t="inlineStr">
        <is>
          <t>IMPOSTO ALV</t>
        </is>
      </c>
      <c r="C1068" s="109" t="n">
        <v>47054</v>
      </c>
      <c r="D1068" s="110" t="inlineStr">
        <is>
          <t>BOLETO BANCÁRIO</t>
        </is>
      </c>
      <c r="E1068" s="111" t="n">
        <v>1272</v>
      </c>
      <c r="F1068" s="110" t="inlineStr">
        <is>
          <t>Simples Nacional</t>
        </is>
      </c>
      <c r="G1068" s="110" t="inlineStr">
        <is>
          <t>A PAGAR</t>
        </is>
      </c>
    </row>
    <row r="1069">
      <c r="B1069" s="110" t="inlineStr">
        <is>
          <t>CAPITAL GIRO BRADESCO ALV PJ</t>
        </is>
      </c>
      <c r="C1069" s="109" t="n">
        <v>47058</v>
      </c>
      <c r="D1069" s="110" t="inlineStr">
        <is>
          <t>TRANSFERÊNCIA</t>
        </is>
      </c>
      <c r="E1069" s="111" t="n">
        <v>20101.44</v>
      </c>
      <c r="F1069" s="110" t="inlineStr">
        <is>
          <t>Empréstimos</t>
        </is>
      </c>
      <c r="G1069" s="110" t="inlineStr">
        <is>
          <t>A PAGAR</t>
        </is>
      </c>
    </row>
    <row r="1070">
      <c r="B1070" s="110" t="inlineStr">
        <is>
          <t>BANCO ITAU</t>
        </is>
      </c>
      <c r="C1070" s="109" t="n">
        <v>47078</v>
      </c>
      <c r="D1070" s="110" t="inlineStr">
        <is>
          <t>TRANSFERÊNCIA</t>
        </is>
      </c>
      <c r="E1070" s="111" t="n">
        <v>42329</v>
      </c>
      <c r="F1070" s="110" t="inlineStr">
        <is>
          <t>Empréstimos</t>
        </is>
      </c>
      <c r="G1070" s="110" t="inlineStr">
        <is>
          <t>A PAGAR</t>
        </is>
      </c>
    </row>
    <row r="1071">
      <c r="B1071" s="110" t="inlineStr">
        <is>
          <t>CONSÓRCIO BANCO DO BRASIL</t>
        </is>
      </c>
      <c r="C1071" s="109" t="n">
        <v>47084</v>
      </c>
      <c r="D1071" s="110" t="inlineStr">
        <is>
          <t>TRANSFERÊNCIA</t>
        </is>
      </c>
      <c r="E1071" s="111" t="n">
        <v>2055.6</v>
      </c>
      <c r="F1071" s="110" t="inlineStr">
        <is>
          <t>Consórcio</t>
        </is>
      </c>
      <c r="G1071" s="110" t="inlineStr">
        <is>
          <t>A PAGAR</t>
        </is>
      </c>
    </row>
    <row r="1072">
      <c r="B1072" s="110" t="inlineStr">
        <is>
          <t>IMPOSTO ALV</t>
        </is>
      </c>
      <c r="C1072" s="109" t="n">
        <v>47085</v>
      </c>
      <c r="D1072" s="110" t="inlineStr">
        <is>
          <t>BOLETO BANCÁRIO</t>
        </is>
      </c>
      <c r="E1072" s="111" t="n">
        <v>1272</v>
      </c>
      <c r="F1072" s="110" t="inlineStr">
        <is>
          <t>Simples Nacional</t>
        </is>
      </c>
      <c r="G1072" s="110" t="inlineStr">
        <is>
          <t>A PAGAR</t>
        </is>
      </c>
    </row>
    <row r="1073">
      <c r="B1073" s="110" t="inlineStr">
        <is>
          <t>CAPITAL GIRO BRADESCO ALV PJ</t>
        </is>
      </c>
      <c r="C1073" s="109" t="n">
        <v>47088</v>
      </c>
      <c r="D1073" s="110" t="inlineStr">
        <is>
          <t>TRANSFERÊNCIA</t>
        </is>
      </c>
      <c r="E1073" s="111" t="n">
        <v>20101.44</v>
      </c>
      <c r="F1073" s="110" t="inlineStr">
        <is>
          <t>Empréstimos</t>
        </is>
      </c>
      <c r="G1073" s="110" t="inlineStr">
        <is>
          <t>A PAGAR</t>
        </is>
      </c>
    </row>
    <row r="1074">
      <c r="B1074" s="110" t="inlineStr">
        <is>
          <t>BANCO ITAU</t>
        </is>
      </c>
      <c r="C1074" s="109" t="n">
        <v>47108</v>
      </c>
      <c r="D1074" s="110" t="inlineStr">
        <is>
          <t>TRANSFERÊNCIA</t>
        </is>
      </c>
      <c r="E1074" s="111" t="n">
        <v>42329</v>
      </c>
      <c r="F1074" s="110" t="inlineStr">
        <is>
          <t>Empréstimos</t>
        </is>
      </c>
      <c r="G1074" s="110" t="inlineStr">
        <is>
          <t>A PAGAR</t>
        </is>
      </c>
    </row>
    <row r="1075">
      <c r="B1075" s="110" t="inlineStr">
        <is>
          <t>CONSÓRCIO BANCO DO BRASIL</t>
        </is>
      </c>
      <c r="C1075" s="109" t="n">
        <v>47114</v>
      </c>
      <c r="D1075" s="110" t="inlineStr">
        <is>
          <t>TRANSFERÊNCIA</t>
        </is>
      </c>
      <c r="E1075" s="111" t="n">
        <v>2055.6</v>
      </c>
      <c r="F1075" s="110" t="inlineStr">
        <is>
          <t>Consórcio</t>
        </is>
      </c>
      <c r="G1075" s="110" t="inlineStr">
        <is>
          <t>A PAGAR</t>
        </is>
      </c>
    </row>
    <row r="1076">
      <c r="B1076" s="110" t="inlineStr">
        <is>
          <t>IMPOSTO ALV</t>
        </is>
      </c>
      <c r="C1076" s="109" t="n">
        <v>47115</v>
      </c>
      <c r="D1076" s="110" t="inlineStr">
        <is>
          <t>BOLETO BANCÁRIO</t>
        </is>
      </c>
      <c r="E1076" s="111" t="n">
        <v>1272</v>
      </c>
      <c r="F1076" s="110" t="inlineStr">
        <is>
          <t>Simples Nacional</t>
        </is>
      </c>
      <c r="G1076" s="110" t="inlineStr">
        <is>
          <t>A PAGAR</t>
        </is>
      </c>
    </row>
    <row r="1077">
      <c r="B1077" s="110" t="inlineStr">
        <is>
          <t>CAPITAL GIRO BRADESCO ALV PJ</t>
        </is>
      </c>
      <c r="C1077" s="109" t="n">
        <v>47120</v>
      </c>
      <c r="D1077" s="110" t="inlineStr">
        <is>
          <t>TRANSFERÊNCIA</t>
        </is>
      </c>
      <c r="E1077" s="111" t="n">
        <v>20101.44</v>
      </c>
      <c r="F1077" s="110" t="inlineStr">
        <is>
          <t>Empréstimos</t>
        </is>
      </c>
      <c r="G1077" s="110" t="inlineStr">
        <is>
          <t>A PAGAR</t>
        </is>
      </c>
    </row>
    <row r="1078">
      <c r="B1078" s="110" t="inlineStr">
        <is>
          <t>CONSÓRCIO BANCO DO BRASIL</t>
        </is>
      </c>
      <c r="C1078" s="109" t="n">
        <v>47145</v>
      </c>
      <c r="D1078" s="110" t="inlineStr">
        <is>
          <t>TRANSFERÊNCIA</t>
        </is>
      </c>
      <c r="E1078" s="111" t="n">
        <v>2055.6</v>
      </c>
      <c r="F1078" s="110" t="inlineStr">
        <is>
          <t>Consórcio</t>
        </is>
      </c>
      <c r="G1078" s="110" t="inlineStr">
        <is>
          <t>A PAGAR</t>
        </is>
      </c>
    </row>
    <row r="1079">
      <c r="B1079" s="110" t="inlineStr">
        <is>
          <t>IMPOSTO ALV</t>
        </is>
      </c>
      <c r="C1079" s="109" t="n">
        <v>47146</v>
      </c>
      <c r="D1079" s="110" t="inlineStr">
        <is>
          <t>BOLETO BANCÁRIO</t>
        </is>
      </c>
      <c r="E1079" s="111" t="n">
        <v>1272</v>
      </c>
      <c r="F1079" s="110" t="inlineStr">
        <is>
          <t>Simples Nacional</t>
        </is>
      </c>
      <c r="G1079" s="110" t="inlineStr">
        <is>
          <t>A PAGAR</t>
        </is>
      </c>
    </row>
    <row r="1080">
      <c r="B1080" s="110" t="inlineStr">
        <is>
          <t>CAPITAL GIRO BRADESCO ALV PJ</t>
        </is>
      </c>
      <c r="C1080" s="109" t="n">
        <v>47150</v>
      </c>
      <c r="D1080" s="110" t="inlineStr">
        <is>
          <t>TRANSFERÊNCIA</t>
        </is>
      </c>
      <c r="E1080" s="111" t="n">
        <v>20101.44</v>
      </c>
      <c r="F1080" s="110" t="inlineStr">
        <is>
          <t>Empréstimos</t>
        </is>
      </c>
      <c r="G1080" s="110" t="inlineStr">
        <is>
          <t>A PAGAR</t>
        </is>
      </c>
    </row>
    <row r="1081">
      <c r="B1081" s="110" t="inlineStr">
        <is>
          <t>CONSÓRCIO BANCO DO BRASIL</t>
        </is>
      </c>
      <c r="C1081" s="109" t="n">
        <v>47176</v>
      </c>
      <c r="D1081" s="110" t="inlineStr">
        <is>
          <t>TRANSFERÊNCIA</t>
        </is>
      </c>
      <c r="E1081" s="111" t="n">
        <v>2055.6</v>
      </c>
      <c r="F1081" s="110" t="inlineStr">
        <is>
          <t>Consórcio</t>
        </is>
      </c>
      <c r="G1081" s="110" t="inlineStr">
        <is>
          <t>A PAGAR</t>
        </is>
      </c>
    </row>
    <row r="1082">
      <c r="B1082" s="110" t="inlineStr">
        <is>
          <t>IMPOSTO ALV</t>
        </is>
      </c>
      <c r="C1082" s="109" t="n">
        <v>47177</v>
      </c>
      <c r="D1082" s="110" t="inlineStr">
        <is>
          <t>BOLETO BANCÁRIO</t>
        </is>
      </c>
      <c r="E1082" s="111" t="n">
        <v>1272</v>
      </c>
      <c r="F1082" s="110" t="inlineStr">
        <is>
          <t>Simples Nacional</t>
        </is>
      </c>
      <c r="G1082" s="110" t="inlineStr">
        <is>
          <t>A PAGAR</t>
        </is>
      </c>
    </row>
    <row r="1083">
      <c r="B1083" s="110" t="inlineStr">
        <is>
          <t>CAPITAL GIRO BRADESCO ALV PJ</t>
        </is>
      </c>
      <c r="C1083" s="109" t="n">
        <v>47178</v>
      </c>
      <c r="D1083" s="110" t="inlineStr">
        <is>
          <t>TRANSFERÊNCIA</t>
        </is>
      </c>
      <c r="E1083" s="111" t="n">
        <v>20101.44</v>
      </c>
      <c r="F1083" s="110" t="inlineStr">
        <is>
          <t>Empréstimos</t>
        </is>
      </c>
      <c r="G1083" s="110" t="inlineStr">
        <is>
          <t>A PAGAR</t>
        </is>
      </c>
    </row>
    <row r="1084">
      <c r="B1084" s="110" t="inlineStr">
        <is>
          <t>CONSÓRCIO BANCO DO BRASIL</t>
        </is>
      </c>
      <c r="C1084" s="109" t="n">
        <v>47204</v>
      </c>
      <c r="D1084" s="110" t="inlineStr">
        <is>
          <t>TRANSFERÊNCIA</t>
        </is>
      </c>
      <c r="E1084" s="111" t="n">
        <v>2055.6</v>
      </c>
      <c r="F1084" s="110" t="inlineStr">
        <is>
          <t>Consórcio</t>
        </is>
      </c>
      <c r="G1084" s="110" t="inlineStr">
        <is>
          <t>A PAGAR</t>
        </is>
      </c>
    </row>
    <row r="1085">
      <c r="B1085" s="110" t="inlineStr">
        <is>
          <t>IMPOSTO ALV</t>
        </is>
      </c>
      <c r="C1085" s="109" t="n">
        <v>47205</v>
      </c>
      <c r="D1085" s="110" t="inlineStr">
        <is>
          <t>BOLETO BANCÁRIO</t>
        </is>
      </c>
      <c r="E1085" s="111" t="n">
        <v>1272</v>
      </c>
      <c r="F1085" s="110" t="inlineStr">
        <is>
          <t>Simples Nacional</t>
        </is>
      </c>
      <c r="G1085" s="110" t="inlineStr">
        <is>
          <t>A PAGAR</t>
        </is>
      </c>
    </row>
    <row r="1086">
      <c r="B1086" s="110" t="inlineStr">
        <is>
          <t>CAPITAL GIRO BRADESCO ALV PJ</t>
        </is>
      </c>
      <c r="C1086" s="109" t="n">
        <v>47210</v>
      </c>
      <c r="D1086" s="110" t="inlineStr">
        <is>
          <t>TRANSFERÊNCIA</t>
        </is>
      </c>
      <c r="E1086" s="111" t="n">
        <v>20101.44</v>
      </c>
      <c r="F1086" s="110" t="inlineStr">
        <is>
          <t>Empréstimos</t>
        </is>
      </c>
      <c r="G1086" s="110" t="inlineStr">
        <is>
          <t>A PAGAR</t>
        </is>
      </c>
    </row>
    <row r="1087">
      <c r="B1087" s="110" t="inlineStr">
        <is>
          <t>CONSÓRCIO BANCO DO BRASIL</t>
        </is>
      </c>
      <c r="C1087" s="109" t="n">
        <v>47235</v>
      </c>
      <c r="D1087" s="110" t="inlineStr">
        <is>
          <t>TRANSFERÊNCIA</t>
        </is>
      </c>
      <c r="E1087" s="111" t="n">
        <v>2055.6</v>
      </c>
      <c r="F1087" s="110" t="inlineStr">
        <is>
          <t>Consórcio</t>
        </is>
      </c>
      <c r="G1087" s="110" t="inlineStr">
        <is>
          <t>A PAGAR</t>
        </is>
      </c>
    </row>
    <row r="1088">
      <c r="B1088" s="110" t="inlineStr">
        <is>
          <t>IMPOSTO ALV</t>
        </is>
      </c>
      <c r="C1088" s="109" t="n">
        <v>47236</v>
      </c>
      <c r="D1088" s="110" t="inlineStr">
        <is>
          <t>BOLETO BANCÁRIO</t>
        </is>
      </c>
      <c r="E1088" s="111" t="n">
        <v>1272</v>
      </c>
      <c r="F1088" s="110" t="inlineStr">
        <is>
          <t>Simples Nacional</t>
        </is>
      </c>
      <c r="G1088" s="110" t="inlineStr">
        <is>
          <t>A PAGAR</t>
        </is>
      </c>
    </row>
    <row r="1089">
      <c r="B1089" s="110" t="inlineStr">
        <is>
          <t>CAPITAL GIRO BRADESCO ALV PJ</t>
        </is>
      </c>
      <c r="C1089" s="109" t="n">
        <v>47240</v>
      </c>
      <c r="D1089" s="110" t="inlineStr">
        <is>
          <t>TRANSFERÊNCIA</t>
        </is>
      </c>
      <c r="E1089" s="111" t="n">
        <v>20101.44</v>
      </c>
      <c r="F1089" s="110" t="inlineStr">
        <is>
          <t>Empréstimos</t>
        </is>
      </c>
      <c r="G1089" s="110" t="inlineStr">
        <is>
          <t>A PAGAR</t>
        </is>
      </c>
    </row>
    <row r="1090">
      <c r="B1090" s="110" t="inlineStr">
        <is>
          <t>CONSÓRCIO BANCO DO BRASIL</t>
        </is>
      </c>
      <c r="C1090" s="109" t="n">
        <v>47265</v>
      </c>
      <c r="D1090" s="110" t="inlineStr">
        <is>
          <t>TRANSFERÊNCIA</t>
        </is>
      </c>
      <c r="E1090" s="111" t="n">
        <v>2055.6</v>
      </c>
      <c r="F1090" s="110" t="inlineStr">
        <is>
          <t>Consórcio</t>
        </is>
      </c>
      <c r="G1090" s="110" t="inlineStr">
        <is>
          <t>A PAGAR</t>
        </is>
      </c>
    </row>
    <row r="1091">
      <c r="B1091" s="110" t="inlineStr">
        <is>
          <t>IMPOSTO ALV</t>
        </is>
      </c>
      <c r="C1091" s="109" t="n">
        <v>47266</v>
      </c>
      <c r="D1091" s="110" t="inlineStr">
        <is>
          <t>BOLETO BANCÁRIO</t>
        </is>
      </c>
      <c r="E1091" s="111" t="n">
        <v>1272</v>
      </c>
      <c r="F1091" s="110" t="inlineStr">
        <is>
          <t>Simples Nacional</t>
        </is>
      </c>
      <c r="G1091" s="110" t="inlineStr">
        <is>
          <t>A PAGAR</t>
        </is>
      </c>
    </row>
    <row r="1092">
      <c r="B1092" s="110" t="inlineStr">
        <is>
          <t>CAPITAL GIRO BRADESCO ALV PJ</t>
        </is>
      </c>
      <c r="C1092" s="109" t="n">
        <v>47270</v>
      </c>
      <c r="D1092" s="110" t="inlineStr">
        <is>
          <t>TRANSFERÊNCIA</t>
        </is>
      </c>
      <c r="E1092" s="111" t="n">
        <v>20101.44</v>
      </c>
      <c r="F1092" s="110" t="inlineStr">
        <is>
          <t>Empréstimos</t>
        </is>
      </c>
      <c r="G1092" s="110" t="inlineStr">
        <is>
          <t>A PAGAR</t>
        </is>
      </c>
    </row>
    <row r="1093">
      <c r="B1093" s="110" t="inlineStr">
        <is>
          <t>CONSÓRCIO BANCO DO BRASIL</t>
        </is>
      </c>
      <c r="C1093" s="109" t="n">
        <v>47296</v>
      </c>
      <c r="D1093" s="110" t="inlineStr">
        <is>
          <t>TRANSFERÊNCIA</t>
        </is>
      </c>
      <c r="E1093" s="111" t="n">
        <v>2055.6</v>
      </c>
      <c r="F1093" s="110" t="inlineStr">
        <is>
          <t>Consórcio</t>
        </is>
      </c>
      <c r="G1093" s="110" t="inlineStr">
        <is>
          <t>A PAGAR</t>
        </is>
      </c>
    </row>
    <row r="1094">
      <c r="B1094" s="110" t="inlineStr">
        <is>
          <t>IMPOSTO ALV</t>
        </is>
      </c>
      <c r="C1094" s="109" t="n">
        <v>47297</v>
      </c>
      <c r="D1094" s="110" t="inlineStr">
        <is>
          <t>BOLETO BANCÁRIO</t>
        </is>
      </c>
      <c r="E1094" s="111" t="n">
        <v>1272</v>
      </c>
      <c r="F1094" s="110" t="inlineStr">
        <is>
          <t>Simples Nacional</t>
        </is>
      </c>
      <c r="G1094" s="110" t="inlineStr">
        <is>
          <t>A PAGAR</t>
        </is>
      </c>
    </row>
    <row r="1095">
      <c r="B1095" s="110" t="inlineStr">
        <is>
          <t>CAPITAL GIRO BRADESCO ALV PJ</t>
        </is>
      </c>
      <c r="C1095" s="109" t="n">
        <v>47301</v>
      </c>
      <c r="D1095" s="110" t="inlineStr">
        <is>
          <t>TRANSFERÊNCIA</t>
        </is>
      </c>
      <c r="E1095" s="111" t="n">
        <v>20101.44</v>
      </c>
      <c r="F1095" s="110" t="inlineStr">
        <is>
          <t>Empréstimos</t>
        </is>
      </c>
      <c r="G1095" s="110" t="inlineStr">
        <is>
          <t>A PAGAR</t>
        </is>
      </c>
    </row>
    <row r="1096">
      <c r="B1096" s="110" t="inlineStr">
        <is>
          <t>CONSÓRCIO BANCO DO BRASIL</t>
        </is>
      </c>
      <c r="C1096" s="109" t="n">
        <v>47326</v>
      </c>
      <c r="D1096" s="110" t="inlineStr">
        <is>
          <t>TRANSFERÊNCIA</t>
        </is>
      </c>
      <c r="E1096" s="111" t="n">
        <v>2055.6</v>
      </c>
      <c r="F1096" s="110" t="inlineStr">
        <is>
          <t>Consórcio</t>
        </is>
      </c>
      <c r="G1096" s="110" t="inlineStr">
        <is>
          <t>A PAGAR</t>
        </is>
      </c>
    </row>
    <row r="1097">
      <c r="B1097" s="110" t="inlineStr">
        <is>
          <t>IMPOSTO ALV</t>
        </is>
      </c>
      <c r="C1097" s="109" t="n">
        <v>47327</v>
      </c>
      <c r="D1097" s="110" t="inlineStr">
        <is>
          <t>BOLETO BANCÁRIO</t>
        </is>
      </c>
      <c r="E1097" s="111" t="n">
        <v>1272</v>
      </c>
      <c r="F1097" s="110" t="inlineStr">
        <is>
          <t>Simples Nacional</t>
        </is>
      </c>
      <c r="G1097" s="110" t="inlineStr">
        <is>
          <t>A PAGAR</t>
        </is>
      </c>
    </row>
    <row r="1098">
      <c r="B1098" s="110" t="inlineStr">
        <is>
          <t>CAPITAL GIRO BRADESCO ALV PJ</t>
        </is>
      </c>
      <c r="C1098" s="109" t="n">
        <v>47331</v>
      </c>
      <c r="D1098" s="110" t="inlineStr">
        <is>
          <t>TRANSFERÊNCIA</t>
        </is>
      </c>
      <c r="E1098" s="111" t="n">
        <v>20101.44</v>
      </c>
      <c r="F1098" s="110" t="inlineStr">
        <is>
          <t>Empréstimos</t>
        </is>
      </c>
      <c r="G1098" s="110" t="inlineStr">
        <is>
          <t>A PAGAR</t>
        </is>
      </c>
    </row>
    <row r="1099">
      <c r="B1099" s="110" t="inlineStr">
        <is>
          <t>CONSÓRCIO BANCO DO BRASIL</t>
        </is>
      </c>
      <c r="C1099" s="109" t="n">
        <v>47357</v>
      </c>
      <c r="D1099" s="110" t="inlineStr">
        <is>
          <t>TRANSFERÊNCIA</t>
        </is>
      </c>
      <c r="E1099" s="111" t="n">
        <v>2055.6</v>
      </c>
      <c r="F1099" s="110" t="inlineStr">
        <is>
          <t>Consórcio</t>
        </is>
      </c>
      <c r="G1099" s="110" t="inlineStr">
        <is>
          <t>A PAGAR</t>
        </is>
      </c>
    </row>
    <row r="1100">
      <c r="B1100" s="110" t="inlineStr">
        <is>
          <t>IMPOSTO ALV</t>
        </is>
      </c>
      <c r="C1100" s="109" t="n">
        <v>47358</v>
      </c>
      <c r="D1100" s="110" t="inlineStr">
        <is>
          <t>BOLETO BANCÁRIO</t>
        </is>
      </c>
      <c r="E1100" s="111" t="n">
        <v>1272</v>
      </c>
      <c r="F1100" s="110" t="inlineStr">
        <is>
          <t>Simples Nacional</t>
        </is>
      </c>
      <c r="G1100" s="110" t="inlineStr">
        <is>
          <t>A PAGAR</t>
        </is>
      </c>
    </row>
    <row r="1101">
      <c r="B1101" s="110" t="inlineStr">
        <is>
          <t>CAPITAL GIRO BRADESCO ALV PJ</t>
        </is>
      </c>
      <c r="C1101" s="109" t="n">
        <v>47364</v>
      </c>
      <c r="D1101" s="110" t="inlineStr">
        <is>
          <t>TRANSFERÊNCIA</t>
        </is>
      </c>
      <c r="E1101" s="111" t="n">
        <v>20101.44</v>
      </c>
      <c r="F1101" s="110" t="inlineStr">
        <is>
          <t>Empréstimos</t>
        </is>
      </c>
      <c r="G1101" s="110" t="inlineStr">
        <is>
          <t>A PAGAR</t>
        </is>
      </c>
    </row>
    <row r="1102">
      <c r="B1102" s="110" t="inlineStr">
        <is>
          <t>CONSÓRCIO BANCO DO BRASIL</t>
        </is>
      </c>
      <c r="C1102" s="109" t="n">
        <v>47388</v>
      </c>
      <c r="D1102" s="110" t="inlineStr">
        <is>
          <t>TRANSFERÊNCIA</t>
        </is>
      </c>
      <c r="E1102" s="111" t="n">
        <v>2055.6</v>
      </c>
      <c r="F1102" s="110" t="inlineStr">
        <is>
          <t>Consórcio</t>
        </is>
      </c>
      <c r="G1102" s="110" t="inlineStr">
        <is>
          <t>A PAGAR</t>
        </is>
      </c>
    </row>
    <row r="1103">
      <c r="B1103" s="110" t="inlineStr">
        <is>
          <t>IMPOSTO ALV</t>
        </is>
      </c>
      <c r="C1103" s="109" t="n">
        <v>47389</v>
      </c>
      <c r="D1103" s="110" t="inlineStr">
        <is>
          <t>BOLETO BANCÁRIO</t>
        </is>
      </c>
      <c r="E1103" s="111" t="n">
        <v>1272</v>
      </c>
      <c r="F1103" s="110" t="inlineStr">
        <is>
          <t>Simples Nacional</t>
        </is>
      </c>
      <c r="G1103" s="110" t="inlineStr">
        <is>
          <t>A PAGAR</t>
        </is>
      </c>
    </row>
    <row r="1104">
      <c r="B1104" s="110" t="inlineStr">
        <is>
          <t>CONSÓRCIO BANCO DO BRASIL</t>
        </is>
      </c>
      <c r="C1104" s="109" t="n">
        <v>47418</v>
      </c>
      <c r="D1104" s="110" t="inlineStr">
        <is>
          <t>TRANSFERÊNCIA</t>
        </is>
      </c>
      <c r="E1104" s="111" t="n">
        <v>2055.6</v>
      </c>
      <c r="F1104" s="110" t="inlineStr">
        <is>
          <t>Consórcio</t>
        </is>
      </c>
      <c r="G1104" s="110" t="inlineStr">
        <is>
          <t>A PAGAR</t>
        </is>
      </c>
    </row>
    <row r="1105">
      <c r="B1105" s="110" t="inlineStr">
        <is>
          <t>IMPOSTO ALV</t>
        </is>
      </c>
      <c r="C1105" s="109" t="n">
        <v>47419</v>
      </c>
      <c r="D1105" s="110" t="inlineStr">
        <is>
          <t>BOLETO BANCÁRIO</t>
        </is>
      </c>
      <c r="E1105" s="111" t="n">
        <v>1272</v>
      </c>
      <c r="F1105" s="110" t="inlineStr">
        <is>
          <t>Simples Nacional</t>
        </is>
      </c>
      <c r="G1105" s="110" t="inlineStr">
        <is>
          <t>A PAGAR</t>
        </is>
      </c>
    </row>
    <row r="1106">
      <c r="B1106" s="110" t="inlineStr">
        <is>
          <t>IMPOSTO ALV</t>
        </is>
      </c>
      <c r="C1106" s="109" t="n">
        <v>47450</v>
      </c>
      <c r="D1106" s="110" t="inlineStr">
        <is>
          <t>BOLETO BANCÁRIO</t>
        </is>
      </c>
      <c r="E1106" s="111" t="n">
        <v>1272</v>
      </c>
      <c r="F1106" s="110" t="inlineStr">
        <is>
          <t>Simples Nacional</t>
        </is>
      </c>
      <c r="G1106" s="110" t="inlineStr">
        <is>
          <t>A PAGAR</t>
        </is>
      </c>
    </row>
    <row r="1107">
      <c r="B1107" s="110" t="inlineStr">
        <is>
          <t>IMPOSTO ALV</t>
        </is>
      </c>
      <c r="C1107" s="109" t="n">
        <v>47480</v>
      </c>
      <c r="D1107" s="110" t="inlineStr">
        <is>
          <t>BOLETO BANCÁRIO</t>
        </is>
      </c>
      <c r="E1107" s="111" t="n">
        <v>1272</v>
      </c>
      <c r="F1107" s="110" t="inlineStr">
        <is>
          <t>Simples Nacional</t>
        </is>
      </c>
      <c r="G1107" s="110" t="inlineStr">
        <is>
          <t>A PAGAR</t>
        </is>
      </c>
    </row>
    <row r="1108">
      <c r="B1108" s="110" t="inlineStr">
        <is>
          <t>IMPOSTO ALV</t>
        </is>
      </c>
      <c r="C1108" s="109" t="n">
        <v>47511</v>
      </c>
      <c r="D1108" s="110" t="inlineStr">
        <is>
          <t>BOLETO BANCÁRIO</t>
        </is>
      </c>
      <c r="E1108" s="111" t="n">
        <v>1272</v>
      </c>
      <c r="F1108" s="110" t="inlineStr">
        <is>
          <t>Simples Nacional</t>
        </is>
      </c>
      <c r="G1108" s="110" t="inlineStr">
        <is>
          <t>A PAGAR</t>
        </is>
      </c>
    </row>
    <row r="1109">
      <c r="B1109" s="110" t="inlineStr">
        <is>
          <t>IMPOSTO ALV</t>
        </is>
      </c>
      <c r="C1109" s="109" t="n">
        <v>47542</v>
      </c>
      <c r="D1109" s="110" t="inlineStr">
        <is>
          <t>BOLETO BANCÁRIO</t>
        </is>
      </c>
      <c r="E1109" s="111" t="n">
        <v>1272</v>
      </c>
      <c r="F1109" s="110" t="inlineStr">
        <is>
          <t>Simples Nacional</t>
        </is>
      </c>
      <c r="G1109" s="110" t="inlineStr">
        <is>
          <t>A PAGAR</t>
        </is>
      </c>
    </row>
    <row r="1110">
      <c r="B1110" s="110" t="inlineStr">
        <is>
          <t>IMPOSTO ALV</t>
        </is>
      </c>
      <c r="C1110" s="109" t="n">
        <v>47570</v>
      </c>
      <c r="D1110" s="110" t="inlineStr">
        <is>
          <t>BOLETO BANCÁRIO</t>
        </is>
      </c>
      <c r="E1110" s="111" t="n">
        <v>1272</v>
      </c>
      <c r="F1110" s="110" t="inlineStr">
        <is>
          <t>Simples Nacional</t>
        </is>
      </c>
      <c r="G1110" s="110" t="inlineStr">
        <is>
          <t>A PAGAR</t>
        </is>
      </c>
    </row>
    <row r="1111">
      <c r="B1111" s="110" t="inlineStr">
        <is>
          <t>IMPOSTO ALV</t>
        </is>
      </c>
      <c r="C1111" s="109" t="n">
        <v>47601</v>
      </c>
      <c r="D1111" s="110" t="inlineStr">
        <is>
          <t>BOLETO BANCÁRIO</t>
        </is>
      </c>
      <c r="E1111" s="111" t="n">
        <v>1272</v>
      </c>
      <c r="F1111" s="110" t="inlineStr">
        <is>
          <t>Simples Nacional</t>
        </is>
      </c>
      <c r="G1111" s="110" t="inlineStr">
        <is>
          <t>A PAGAR</t>
        </is>
      </c>
    </row>
    <row r="1112">
      <c r="B1112" s="110" t="inlineStr">
        <is>
          <t>IMPOSTO ALV</t>
        </is>
      </c>
      <c r="C1112" s="109" t="n">
        <v>47631</v>
      </c>
      <c r="D1112" s="110" t="inlineStr">
        <is>
          <t>BOLETO BANCÁRIO</t>
        </is>
      </c>
      <c r="E1112" s="111" t="n">
        <v>1272</v>
      </c>
      <c r="F1112" s="110" t="inlineStr">
        <is>
          <t>Simples Nacional</t>
        </is>
      </c>
      <c r="G1112" s="110" t="inlineStr">
        <is>
          <t>A PAGAR</t>
        </is>
      </c>
    </row>
    <row r="1113">
      <c r="B1113" s="110" t="inlineStr">
        <is>
          <t>IMPOSTO ALV</t>
        </is>
      </c>
      <c r="C1113" s="109" t="n">
        <v>47662</v>
      </c>
      <c r="D1113" s="110" t="inlineStr">
        <is>
          <t>BOLETO BANCÁRIO</t>
        </is>
      </c>
      <c r="E1113" s="111" t="n">
        <v>1272</v>
      </c>
      <c r="F1113" s="110" t="inlineStr">
        <is>
          <t>Simples Nacional</t>
        </is>
      </c>
      <c r="G1113" s="110" t="inlineStr">
        <is>
          <t>A PAGAR</t>
        </is>
      </c>
    </row>
    <row r="1114">
      <c r="B1114" s="110" t="inlineStr">
        <is>
          <t>IMPOSTO ALV</t>
        </is>
      </c>
      <c r="C1114" s="109" t="n">
        <v>47692</v>
      </c>
      <c r="D1114" s="110" t="inlineStr">
        <is>
          <t>BOLETO BANCÁRIO</t>
        </is>
      </c>
      <c r="E1114" s="111" t="n">
        <v>1272</v>
      </c>
      <c r="F1114" s="110" t="inlineStr">
        <is>
          <t>Simples Nacional</t>
        </is>
      </c>
      <c r="G1114" s="110" t="inlineStr">
        <is>
          <t>A PAGAR</t>
        </is>
      </c>
    </row>
    <row r="1115">
      <c r="B1115" s="110" t="inlineStr">
        <is>
          <t>IMPOSTO ALV</t>
        </is>
      </c>
      <c r="C1115" s="109" t="n">
        <v>47723</v>
      </c>
      <c r="D1115" s="110" t="inlineStr">
        <is>
          <t>BOLETO BANCÁRIO</t>
        </is>
      </c>
      <c r="E1115" s="111" t="n">
        <v>1272</v>
      </c>
      <c r="F1115" s="110" t="inlineStr">
        <is>
          <t>Simples Nacional</t>
        </is>
      </c>
      <c r="G1115" s="110" t="inlineStr">
        <is>
          <t>A PAGAR</t>
        </is>
      </c>
    </row>
    <row r="1116">
      <c r="B1116" s="110" t="inlineStr">
        <is>
          <t>IMPOSTO ALV</t>
        </is>
      </c>
      <c r="C1116" s="109" t="n">
        <v>47754</v>
      </c>
      <c r="D1116" s="110" t="inlineStr">
        <is>
          <t>BOLETO BANCÁRIO</t>
        </is>
      </c>
      <c r="E1116" s="111" t="n">
        <v>1272</v>
      </c>
      <c r="F1116" s="110" t="inlineStr">
        <is>
          <t>Simples Nacional</t>
        </is>
      </c>
      <c r="G1116" s="110" t="inlineStr">
        <is>
          <t>A PAGAR</t>
        </is>
      </c>
    </row>
    <row r="1117">
      <c r="B1117" s="110" t="inlineStr">
        <is>
          <t>IMPOSTO ALV</t>
        </is>
      </c>
      <c r="C1117" s="109" t="n">
        <v>47784</v>
      </c>
      <c r="D1117" s="110" t="inlineStr">
        <is>
          <t>BOLETO BANCÁRIO</t>
        </is>
      </c>
      <c r="E1117" s="111" t="n">
        <v>1272</v>
      </c>
      <c r="F1117" s="110" t="inlineStr">
        <is>
          <t>Simples Nacional</t>
        </is>
      </c>
      <c r="G1117" s="110" t="inlineStr">
        <is>
          <t>A PAGAR</t>
        </is>
      </c>
    </row>
    <row r="1118">
      <c r="B1118" s="110" t="inlineStr">
        <is>
          <t>IMPOSTO ALV</t>
        </is>
      </c>
      <c r="C1118" s="109" t="n">
        <v>47815</v>
      </c>
      <c r="D1118" s="110" t="inlineStr">
        <is>
          <t>BOLETO BANCÁRIO</t>
        </is>
      </c>
      <c r="E1118" s="111" t="n">
        <v>1272</v>
      </c>
      <c r="F1118" s="110" t="inlineStr">
        <is>
          <t>Simples Nacional</t>
        </is>
      </c>
      <c r="G1118" s="110" t="inlineStr">
        <is>
          <t>A PAGAR</t>
        </is>
      </c>
    </row>
    <row r="1119">
      <c r="B1119" s="110" t="inlineStr">
        <is>
          <t>IMPOSTO ALV</t>
        </is>
      </c>
      <c r="C1119" s="109" t="n">
        <v>47845</v>
      </c>
      <c r="D1119" s="110" t="inlineStr">
        <is>
          <t>BOLETO BANCÁRIO</t>
        </is>
      </c>
      <c r="E1119" s="111" t="n">
        <v>1272</v>
      </c>
      <c r="F1119" s="110" t="inlineStr">
        <is>
          <t>Simples Nacional</t>
        </is>
      </c>
      <c r="G1119" s="110" t="inlineStr">
        <is>
          <t>A PAGAR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F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85" min="1" max="1"/>
    <col width="14" customWidth="1" style="85" min="2" max="2"/>
    <col width="18" customWidth="1" style="85" min="3" max="6"/>
  </cols>
  <sheetData>
    <row r="2" ht="19.5" customHeight="1" s="86">
      <c r="B2" s="93" t="inlineStr">
        <is>
          <t>Fluxo de Caixa Mensal</t>
        </is>
      </c>
    </row>
    <row r="3" ht="15" customHeight="1" s="86">
      <c r="B3" s="116" t="inlineStr">
        <is>
          <t>Regime de CAIXA (data de baixa). Resumo mensal automático.</t>
        </is>
      </c>
    </row>
    <row r="5" ht="15" customHeight="1" s="86">
      <c r="B5" s="117" t="inlineStr">
        <is>
          <t>Saldo inicial:</t>
        </is>
      </c>
      <c r="C5" s="118" t="n">
        <v>0</v>
      </c>
    </row>
    <row r="7" ht="26.25" customHeight="1" s="86">
      <c r="B7" s="94" t="inlineStr">
        <is>
          <t>Mês</t>
        </is>
      </c>
      <c r="C7" s="94" t="inlineStr">
        <is>
          <t>Entradas</t>
        </is>
      </c>
      <c r="D7" s="94" t="inlineStr">
        <is>
          <t>Saídas</t>
        </is>
      </c>
      <c r="E7" s="94" t="inlineStr">
        <is>
          <t>Resultado do Mês</t>
        </is>
      </c>
      <c r="F7" s="94" t="inlineStr">
        <is>
          <t>Saldo Acumulado</t>
        </is>
      </c>
    </row>
    <row r="8" ht="15" customHeight="1" s="86">
      <c r="B8" s="119" t="inlineStr">
        <is>
          <t>01/2025</t>
        </is>
      </c>
      <c r="C8" s="167" t="n">
        <v>216780.26</v>
      </c>
      <c r="D8" s="168" t="n">
        <v>504430.38</v>
      </c>
      <c r="E8" s="169" t="n">
        <v>-287650.12</v>
      </c>
      <c r="F8" s="170" t="n">
        <v>-287650.12</v>
      </c>
    </row>
    <row r="9" ht="15" customHeight="1" s="86">
      <c r="B9" s="119" t="inlineStr">
        <is>
          <t>02/2025</t>
        </is>
      </c>
      <c r="C9" s="167" t="n">
        <v>326133.08</v>
      </c>
      <c r="D9" s="168" t="n">
        <v>426765.11</v>
      </c>
      <c r="E9" s="169" t="n">
        <v>-100632.03</v>
      </c>
      <c r="F9" s="170" t="n">
        <v>-388282.15</v>
      </c>
    </row>
    <row r="10" ht="15" customHeight="1" s="86">
      <c r="B10" s="119" t="inlineStr">
        <is>
          <t>03/2025</t>
        </is>
      </c>
      <c r="C10" s="167" t="n">
        <v>357019.64</v>
      </c>
      <c r="D10" s="168" t="n">
        <v>414394.77</v>
      </c>
      <c r="E10" s="169" t="n">
        <v>-57375.13</v>
      </c>
      <c r="F10" s="170" t="n">
        <v>-445657.28</v>
      </c>
    </row>
    <row r="11" ht="15" customHeight="1" s="86">
      <c r="B11" s="119" t="inlineStr">
        <is>
          <t>04/2025</t>
        </is>
      </c>
      <c r="C11" s="167" t="n">
        <v>148595.57</v>
      </c>
      <c r="D11" s="168" t="n">
        <v>514246.64</v>
      </c>
      <c r="E11" s="169" t="n">
        <v>-365651.07</v>
      </c>
      <c r="F11" s="170" t="n">
        <v>-811308.35</v>
      </c>
    </row>
    <row r="12" ht="15" customHeight="1" s="86">
      <c r="B12" s="119" t="inlineStr">
        <is>
          <t>05/2025</t>
        </is>
      </c>
      <c r="C12" s="167" t="n">
        <v>403279.55</v>
      </c>
      <c r="D12" s="168" t="n">
        <v>538520.08</v>
      </c>
      <c r="E12" s="169" t="n">
        <v>-135240.53</v>
      </c>
      <c r="F12" s="170" t="n">
        <v>-946548.88</v>
      </c>
    </row>
    <row r="13" ht="15" customHeight="1" s="86">
      <c r="B13" s="119" t="inlineStr">
        <is>
          <t>06/2025</t>
        </is>
      </c>
      <c r="C13" s="167" t="n">
        <v>531416.6899999999</v>
      </c>
      <c r="D13" s="168" t="n">
        <v>653783.4399999999</v>
      </c>
      <c r="E13" s="169" t="n">
        <v>-122366.75</v>
      </c>
      <c r="F13" s="170" t="n">
        <v>-1068915.63</v>
      </c>
    </row>
    <row r="14" ht="15" customHeight="1" s="86">
      <c r="B14" s="119" t="inlineStr">
        <is>
          <t>07/2025</t>
        </is>
      </c>
      <c r="C14" s="167" t="n">
        <v>429681.99</v>
      </c>
      <c r="D14" s="168" t="n">
        <v>730441.4399999999</v>
      </c>
      <c r="E14" s="169" t="n">
        <v>-300759.45</v>
      </c>
      <c r="F14" s="170" t="n">
        <v>-1369675.08</v>
      </c>
    </row>
    <row r="15" ht="15" customHeight="1" s="86">
      <c r="B15" s="119" t="inlineStr">
        <is>
          <t>08/2025</t>
        </is>
      </c>
      <c r="C15" s="167" t="n">
        <v>488467.9</v>
      </c>
      <c r="D15" s="168" t="n">
        <v>726444.46</v>
      </c>
      <c r="E15" s="169" t="n">
        <v>-237976.56</v>
      </c>
      <c r="F15" s="170" t="n">
        <v>-1607651.64</v>
      </c>
    </row>
    <row r="16" ht="15" customHeight="1" s="86">
      <c r="B16" s="119" t="inlineStr">
        <is>
          <t>09/2025</t>
        </is>
      </c>
      <c r="C16" s="167" t="n">
        <v>136741.02</v>
      </c>
      <c r="D16" s="168" t="n">
        <v>765819.04</v>
      </c>
      <c r="E16" s="169" t="n">
        <v>-629078.02</v>
      </c>
      <c r="F16" s="170" t="n">
        <v>-2236729.66</v>
      </c>
    </row>
    <row r="17" ht="15" customHeight="1" s="86">
      <c r="B17" s="119" t="inlineStr">
        <is>
          <t>10/2025</t>
        </is>
      </c>
      <c r="C17" s="167" t="n">
        <v>696917.65</v>
      </c>
      <c r="D17" s="168" t="n">
        <v>520316.77</v>
      </c>
      <c r="E17" s="169" t="n">
        <v>176600.88</v>
      </c>
      <c r="F17" s="170" t="n">
        <v>-2060128.78</v>
      </c>
    </row>
    <row r="18" ht="15" customHeight="1" s="86">
      <c r="B18" s="119" t="inlineStr">
        <is>
          <t>11/2025</t>
        </is>
      </c>
      <c r="C18" s="167" t="n">
        <v>420192.87</v>
      </c>
      <c r="D18" s="168" t="n">
        <v>507711.69</v>
      </c>
      <c r="E18" s="169" t="n">
        <v>-87518.82000000001</v>
      </c>
      <c r="F18" s="170" t="n">
        <v>-2147647.6</v>
      </c>
    </row>
    <row r="19" ht="15" customHeight="1" s="86">
      <c r="B19" s="119" t="inlineStr">
        <is>
          <t>12/2025</t>
        </is>
      </c>
      <c r="C19" s="167" t="n">
        <v>913033.5699999999</v>
      </c>
      <c r="D19" s="168" t="n">
        <v>432106.43</v>
      </c>
      <c r="E19" s="169" t="n">
        <v>480927.14</v>
      </c>
      <c r="F19" s="170" t="n">
        <v>-1666720.46</v>
      </c>
    </row>
    <row r="20" ht="15" customHeight="1" s="86">
      <c r="B20" s="119" t="inlineStr">
        <is>
          <t>01/2026</t>
        </is>
      </c>
      <c r="C20" s="167" t="n">
        <v>253321.24</v>
      </c>
      <c r="D20" s="168" t="n">
        <v>278911.47</v>
      </c>
      <c r="E20" s="169" t="n">
        <v>-25590.23</v>
      </c>
      <c r="F20" s="170" t="n">
        <v>-1692310.69</v>
      </c>
    </row>
    <row r="21" ht="15" customHeight="1" s="86">
      <c r="B21" s="119" t="inlineStr">
        <is>
          <t>02/2026</t>
        </is>
      </c>
      <c r="C21" s="167" t="n">
        <v>427629.89</v>
      </c>
      <c r="D21" s="168" t="n">
        <v>291255.29</v>
      </c>
      <c r="E21" s="169" t="n">
        <v>136374.6</v>
      </c>
      <c r="F21" s="170" t="n">
        <v>-1555936.09</v>
      </c>
    </row>
    <row r="22" ht="15" customHeight="1" s="86">
      <c r="B22" s="119" t="inlineStr">
        <is>
          <t>03/2026</t>
        </is>
      </c>
      <c r="C22" s="167" t="n">
        <v>370421.41</v>
      </c>
      <c r="D22" s="168" t="n">
        <v>383546.64</v>
      </c>
      <c r="E22" s="169" t="n">
        <v>-13125.23</v>
      </c>
      <c r="F22" s="170" t="n">
        <v>-1569061.32</v>
      </c>
    </row>
    <row r="23" ht="15" customHeight="1" s="86">
      <c r="B23" s="119" t="inlineStr">
        <is>
          <t>04/2026</t>
        </is>
      </c>
      <c r="C23" s="167" t="n">
        <v>329308.02</v>
      </c>
      <c r="D23" s="168" t="n">
        <v>295659.26</v>
      </c>
      <c r="E23" s="169" t="n">
        <v>33648.76</v>
      </c>
      <c r="F23" s="170" t="n">
        <v>-1535412.56</v>
      </c>
    </row>
    <row r="24" ht="15" customHeight="1" s="86">
      <c r="B24" s="119" t="inlineStr">
        <is>
          <t>05/2026</t>
        </is>
      </c>
      <c r="C24" s="167" t="n">
        <v>512600.68</v>
      </c>
      <c r="D24" s="168" t="n">
        <v>330121.16</v>
      </c>
      <c r="E24" s="169" t="n">
        <v>182479.52</v>
      </c>
      <c r="F24" s="170" t="n">
        <v>-1352933.04</v>
      </c>
    </row>
    <row r="25" ht="15" customHeight="1" s="86">
      <c r="B25" s="119" t="inlineStr">
        <is>
          <t>06/2026</t>
        </is>
      </c>
      <c r="C25" s="167" t="n">
        <v>548296</v>
      </c>
      <c r="D25" s="168" t="n">
        <v>413696.63</v>
      </c>
      <c r="E25" s="169" t="n">
        <v>134599.37</v>
      </c>
      <c r="F25" s="170" t="n">
        <v>-1218333.67</v>
      </c>
    </row>
    <row r="26" ht="15" customHeight="1" s="86">
      <c r="B26" s="119" t="inlineStr">
        <is>
          <t>07/2026</t>
        </is>
      </c>
      <c r="C26" s="167" t="n">
        <v>485404.47</v>
      </c>
      <c r="D26" s="168" t="n">
        <v>581493.71</v>
      </c>
      <c r="E26" s="169" t="n">
        <v>-96089.24000000001</v>
      </c>
      <c r="F26" s="170" t="n">
        <v>-1314422.91</v>
      </c>
    </row>
    <row r="27" ht="15" customHeight="1" s="86">
      <c r="B27" s="119" t="inlineStr">
        <is>
          <t>08/2026</t>
        </is>
      </c>
      <c r="C27" s="167" t="n">
        <v>516875.94</v>
      </c>
      <c r="D27" s="168" t="n">
        <v>560654.62</v>
      </c>
      <c r="E27" s="169" t="n">
        <v>-43778.68</v>
      </c>
      <c r="F27" s="170" t="n">
        <v>-1358201.59</v>
      </c>
    </row>
    <row r="28" ht="15" customHeight="1" s="86">
      <c r="B28" s="119" t="inlineStr">
        <is>
          <t>09/2026</t>
        </is>
      </c>
      <c r="C28" s="167" t="n">
        <v>443447.23</v>
      </c>
      <c r="D28" s="168" t="n">
        <v>502513.55</v>
      </c>
      <c r="E28" s="169" t="n">
        <v>-59066.32</v>
      </c>
      <c r="F28" s="170" t="n">
        <v>-1417267.91</v>
      </c>
    </row>
    <row r="29" ht="15" customHeight="1" s="86">
      <c r="B29" s="124" t="inlineStr">
        <is>
          <t>TOTAL</t>
        </is>
      </c>
      <c r="C29" s="171" t="n">
        <v>8955564.67</v>
      </c>
      <c r="D29" s="171" t="n">
        <v>10372832.58</v>
      </c>
      <c r="E29" s="171" t="n">
        <v>-1417267.91</v>
      </c>
      <c r="F29" s="174" t="n"/>
    </row>
    <row r="30" ht="15" customHeight="1" s="86">
      <c r="B30" s="129" t="n"/>
      <c r="C30" s="129" t="n"/>
      <c r="D30" s="129" t="n"/>
      <c r="E30" s="129" t="n"/>
      <c r="F30" s="129" t="n"/>
    </row>
    <row r="31" ht="15" customHeight="1" s="86">
      <c r="B31" s="129" t="n"/>
      <c r="C31" s="129" t="n"/>
      <c r="D31" s="129" t="n"/>
      <c r="E31" s="129" t="n"/>
      <c r="F31" s="129" t="n"/>
    </row>
    <row r="32" ht="15" customHeight="1" s="86">
      <c r="B32" s="129" t="n"/>
      <c r="C32" s="129" t="n"/>
      <c r="D32" s="129" t="n"/>
      <c r="E32" s="129" t="n"/>
      <c r="F32" s="129" t="n"/>
    </row>
    <row r="33" ht="15" customHeight="1" s="86">
      <c r="B33" s="129" t="n"/>
      <c r="C33" s="129" t="n"/>
      <c r="D33" s="129" t="n"/>
      <c r="E33" s="129" t="n"/>
      <c r="F33" s="129" t="n"/>
    </row>
    <row r="34" ht="15" customHeight="1" s="86">
      <c r="B34" s="129" t="n"/>
      <c r="C34" s="129" t="n"/>
      <c r="D34" s="129" t="n"/>
      <c r="E34" s="129" t="n"/>
      <c r="F34" s="129" t="n"/>
    </row>
    <row r="35" ht="15" customHeight="1" s="86">
      <c r="B35" s="129" t="n"/>
      <c r="C35" s="129" t="n"/>
      <c r="D35" s="129" t="n"/>
      <c r="E35" s="129" t="n"/>
      <c r="F35" s="129" t="n"/>
    </row>
    <row r="36" ht="15" customHeight="1" s="86">
      <c r="B36" s="129" t="n"/>
      <c r="C36" s="129" t="n"/>
      <c r="D36" s="129" t="n"/>
      <c r="E36" s="129" t="n"/>
      <c r="F36" s="129" t="n"/>
    </row>
    <row r="37" ht="15" customHeight="1" s="86">
      <c r="B37" s="129" t="n"/>
      <c r="C37" s="129" t="n"/>
      <c r="D37" s="129" t="n"/>
      <c r="E37" s="129" t="n"/>
      <c r="F37" s="129" t="n"/>
    </row>
    <row r="38" ht="15" customHeight="1" s="86">
      <c r="B38" s="129" t="n"/>
      <c r="C38" s="129" t="n"/>
      <c r="D38" s="129" t="n"/>
      <c r="E38" s="129" t="n"/>
      <c r="F38" s="129" t="n"/>
    </row>
    <row r="39" ht="15" customHeight="1" s="86">
      <c r="B39" s="129" t="n"/>
      <c r="C39" s="129" t="n"/>
      <c r="D39" s="129" t="n"/>
      <c r="E39" s="129" t="n"/>
      <c r="F39" s="129" t="n"/>
    </row>
    <row r="40" ht="15" customHeight="1" s="86">
      <c r="B40" s="129" t="n"/>
      <c r="C40" s="129" t="n"/>
      <c r="D40" s="129" t="n"/>
      <c r="E40" s="129" t="n"/>
      <c r="F40" s="129" t="n"/>
    </row>
    <row r="41" ht="15" customHeight="1" s="86">
      <c r="B41" s="129" t="n"/>
      <c r="C41" s="129" t="n"/>
      <c r="D41" s="129" t="n"/>
      <c r="E41" s="129" t="n"/>
      <c r="F41" s="129" t="n"/>
    </row>
    <row r="42" ht="15" customHeight="1" s="86">
      <c r="B42" s="129" t="n"/>
      <c r="C42" s="129" t="n"/>
      <c r="D42" s="129" t="n"/>
      <c r="E42" s="129" t="n"/>
      <c r="F42" s="129" t="n"/>
    </row>
    <row r="43" ht="15" customHeight="1" s="86">
      <c r="B43" s="129" t="n"/>
      <c r="C43" s="129" t="n"/>
      <c r="D43" s="129" t="n"/>
      <c r="E43" s="129" t="n"/>
      <c r="F43" s="129" t="n"/>
    </row>
    <row r="44" ht="15" customHeight="1" s="86">
      <c r="B44" s="129" t="n"/>
      <c r="C44" s="129" t="n"/>
      <c r="D44" s="129" t="n"/>
      <c r="E44" s="129" t="n"/>
      <c r="F44" s="129" t="n"/>
    </row>
    <row r="45">
      <c r="B45" s="129" t="n"/>
      <c r="C45" s="129" t="n"/>
      <c r="D45" s="129" t="n"/>
      <c r="E45" s="129" t="n"/>
      <c r="F45" s="129" t="n"/>
    </row>
    <row r="46">
      <c r="B46" s="129" t="n"/>
      <c r="C46" s="129" t="n"/>
      <c r="D46" s="129" t="n"/>
      <c r="E46" s="129" t="n"/>
      <c r="F46" s="129" t="n"/>
    </row>
    <row r="47">
      <c r="B47" s="129" t="n"/>
      <c r="C47" s="129" t="n"/>
      <c r="D47" s="129" t="n"/>
      <c r="E47" s="129" t="n"/>
      <c r="F47" s="129" t="n"/>
    </row>
    <row r="48">
      <c r="B48" s="129" t="n"/>
      <c r="C48" s="129" t="n"/>
      <c r="D48" s="129" t="n"/>
      <c r="E48" s="129" t="n"/>
      <c r="F48" s="129" t="n"/>
    </row>
    <row r="49">
      <c r="B49" s="129" t="n"/>
      <c r="C49" s="129" t="n"/>
      <c r="D49" s="129" t="n"/>
      <c r="E49" s="129" t="n"/>
      <c r="F49" s="129" t="n"/>
    </row>
    <row r="50">
      <c r="B50" s="129" t="n"/>
      <c r="C50" s="129" t="n"/>
      <c r="D50" s="129" t="n"/>
      <c r="E50" s="129" t="n"/>
      <c r="F50" s="129" t="n"/>
    </row>
    <row r="51">
      <c r="B51" s="129" t="n"/>
      <c r="C51" s="129" t="n"/>
      <c r="D51" s="129" t="n"/>
      <c r="E51" s="129" t="n"/>
      <c r="F51" s="129" t="n"/>
    </row>
    <row r="52">
      <c r="B52" s="129" t="n"/>
      <c r="C52" s="129" t="n"/>
      <c r="D52" s="129" t="n"/>
      <c r="E52" s="129" t="n"/>
      <c r="F52" s="129" t="n"/>
    </row>
    <row r="53">
      <c r="B53" s="129" t="n"/>
      <c r="C53" s="129" t="n"/>
      <c r="D53" s="129" t="n"/>
      <c r="E53" s="129" t="n"/>
      <c r="F53" s="129" t="n"/>
    </row>
    <row r="54">
      <c r="B54" s="129" t="n"/>
      <c r="C54" s="129" t="n"/>
      <c r="D54" s="129" t="n"/>
      <c r="E54" s="129" t="n"/>
      <c r="F54" s="129" t="n"/>
    </row>
    <row r="55">
      <c r="B55" s="129" t="n"/>
      <c r="C55" s="129" t="n"/>
      <c r="D55" s="129" t="n"/>
      <c r="E55" s="129" t="n"/>
      <c r="F55" s="129" t="n"/>
    </row>
    <row r="56">
      <c r="B56" s="129" t="n"/>
      <c r="C56" s="129" t="n"/>
      <c r="D56" s="129" t="n"/>
      <c r="E56" s="129" t="n"/>
      <c r="F56" s="129" t="n"/>
    </row>
    <row r="57">
      <c r="B57" s="129" t="n"/>
      <c r="C57" s="129" t="n"/>
      <c r="D57" s="129" t="n"/>
      <c r="E57" s="129" t="n"/>
      <c r="F57" s="129" t="n"/>
    </row>
    <row r="58">
      <c r="B58" s="129" t="n"/>
      <c r="C58" s="129" t="n"/>
      <c r="D58" s="129" t="n"/>
      <c r="E58" s="129" t="n"/>
      <c r="F58" s="129" t="n"/>
    </row>
    <row r="59">
      <c r="B59" s="129" t="n"/>
      <c r="C59" s="129" t="n"/>
      <c r="D59" s="129" t="n"/>
      <c r="E59" s="129" t="n"/>
      <c r="F59" s="129" t="n"/>
    </row>
    <row r="60">
      <c r="B60" s="129" t="n"/>
      <c r="C60" s="129" t="n"/>
      <c r="D60" s="129" t="n"/>
      <c r="E60" s="129" t="n"/>
      <c r="F60" s="129" t="n"/>
    </row>
    <row r="61">
      <c r="B61" s="129" t="n"/>
      <c r="C61" s="129" t="n"/>
      <c r="D61" s="129" t="n"/>
      <c r="E61" s="129" t="n"/>
      <c r="F61" s="129" t="n"/>
    </row>
    <row r="62">
      <c r="B62" s="129" t="n"/>
      <c r="C62" s="129" t="n"/>
      <c r="D62" s="129" t="n"/>
      <c r="E62" s="129" t="n"/>
      <c r="F62" s="129" t="n"/>
    </row>
    <row r="63">
      <c r="B63" s="129" t="n"/>
      <c r="C63" s="129" t="n"/>
      <c r="D63" s="129" t="n"/>
      <c r="E63" s="129" t="n"/>
      <c r="F63" s="129" t="n"/>
    </row>
    <row r="64">
      <c r="B64" s="129" t="n"/>
      <c r="C64" s="129" t="n"/>
      <c r="D64" s="129" t="n"/>
      <c r="E64" s="129" t="n"/>
      <c r="F64" s="129" t="n"/>
    </row>
    <row r="65">
      <c r="B65" s="129" t="n"/>
      <c r="C65" s="129" t="n"/>
      <c r="D65" s="129" t="n"/>
      <c r="E65" s="129" t="n"/>
      <c r="F65" s="129" t="n"/>
    </row>
    <row r="66">
      <c r="B66" s="129" t="n"/>
      <c r="C66" s="129" t="n"/>
      <c r="D66" s="129" t="n"/>
      <c r="E66" s="129" t="n"/>
      <c r="F66" s="129" t="n"/>
    </row>
    <row r="67">
      <c r="B67" s="129" t="n"/>
      <c r="C67" s="129" t="n"/>
      <c r="D67" s="129" t="n"/>
      <c r="E67" s="129" t="n"/>
      <c r="F67" s="129" t="n"/>
    </row>
    <row r="68">
      <c r="B68" s="129" t="n"/>
      <c r="C68" s="129" t="n"/>
      <c r="D68" s="129" t="n"/>
      <c r="E68" s="129" t="n"/>
      <c r="F68" s="129" t="n"/>
    </row>
    <row r="69">
      <c r="B69" s="129" t="n"/>
      <c r="C69" s="129" t="n"/>
      <c r="D69" s="129" t="n"/>
      <c r="E69" s="129" t="n"/>
      <c r="F69" s="129" t="n"/>
    </row>
  </sheetData>
  <mergeCells count="2">
    <mergeCell ref="B2:F2"/>
    <mergeCell ref="B3:F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0"/>
    <pageSetUpPr/>
  </sheetPr>
  <dimension ref="B2:AC1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86" min="1" max="1"/>
    <col width="42" customWidth="1" style="86" min="2" max="2"/>
    <col width="13" customWidth="1" style="86" min="3" max="3"/>
    <col width="13" customWidth="1" style="86" min="4" max="4"/>
    <col width="13" customWidth="1" style="86" min="5" max="5"/>
    <col width="13" customWidth="1" style="86" min="6" max="6"/>
    <col width="13" customWidth="1" style="86" min="7" max="7"/>
    <col width="13" customWidth="1" style="86" min="8" max="8"/>
    <col width="13" customWidth="1" style="86" min="9" max="9"/>
    <col width="13" customWidth="1" style="86" min="10" max="10"/>
    <col width="13" customWidth="1" style="86" min="11" max="11"/>
    <col width="13" customWidth="1" style="86" min="12" max="12"/>
    <col width="13" customWidth="1" style="86" min="13" max="13"/>
    <col width="13" customWidth="1" style="86" min="14" max="14"/>
    <col width="13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6" customWidth="1" style="86" min="27" max="27"/>
    <col width="11" customWidth="1" style="86" min="28" max="28"/>
    <col width="11" customWidth="1" style="86" min="29" max="29"/>
  </cols>
  <sheetData>
    <row r="2">
      <c r="B2" s="130" t="inlineStr">
        <is>
          <t>DRE Gerencial - Competência (mês a mês)</t>
        </is>
      </c>
    </row>
    <row r="3">
      <c r="B3" s="131" t="inlineStr">
        <is>
          <t>Regime de COMPETÊNCIA (data de vencimento)</t>
        </is>
      </c>
    </row>
    <row r="4">
      <c r="B4" s="180" t="inlineStr">
        <is>
          <t>Descrição</t>
        </is>
      </c>
      <c r="C4" s="178" t="inlineStr">
        <is>
          <t>09/2024</t>
        </is>
      </c>
      <c r="D4" s="178" t="inlineStr">
        <is>
          <t>11/2024</t>
        </is>
      </c>
      <c r="E4" s="178" t="inlineStr">
        <is>
          <t>12/2024</t>
        </is>
      </c>
      <c r="F4" s="178" t="inlineStr">
        <is>
          <t>01/2025</t>
        </is>
      </c>
      <c r="G4" s="178" t="inlineStr">
        <is>
          <t>02/2025</t>
        </is>
      </c>
      <c r="H4" s="178" t="inlineStr">
        <is>
          <t>03/2025</t>
        </is>
      </c>
      <c r="I4" s="178" t="inlineStr">
        <is>
          <t>04/2025</t>
        </is>
      </c>
      <c r="J4" s="178" t="inlineStr">
        <is>
          <t>05/2025</t>
        </is>
      </c>
      <c r="K4" s="178" t="inlineStr">
        <is>
          <t>06/2025</t>
        </is>
      </c>
      <c r="L4" s="178" t="inlineStr">
        <is>
          <t>07/2025</t>
        </is>
      </c>
      <c r="M4" s="178" t="inlineStr">
        <is>
          <t>08/2025</t>
        </is>
      </c>
      <c r="N4" s="178" t="inlineStr">
        <is>
          <t>09/2025</t>
        </is>
      </c>
      <c r="O4" s="178" t="inlineStr">
        <is>
          <t>10/2025</t>
        </is>
      </c>
      <c r="P4" s="178" t="inlineStr">
        <is>
          <t>11/2025</t>
        </is>
      </c>
      <c r="Q4" s="178" t="inlineStr">
        <is>
          <t>12/2025</t>
        </is>
      </c>
      <c r="R4" s="178" t="inlineStr">
        <is>
          <t>01/2026</t>
        </is>
      </c>
      <c r="S4" s="178" t="inlineStr">
        <is>
          <t>02/2026</t>
        </is>
      </c>
      <c r="T4" s="178" t="inlineStr">
        <is>
          <t>03/2026</t>
        </is>
      </c>
      <c r="U4" s="178" t="inlineStr">
        <is>
          <t>04/2026</t>
        </is>
      </c>
      <c r="V4" s="178" t="inlineStr">
        <is>
          <t>05/2026</t>
        </is>
      </c>
      <c r="W4" s="178" t="inlineStr">
        <is>
          <t>06/2026</t>
        </is>
      </c>
      <c r="X4" s="178" t="inlineStr">
        <is>
          <t>07/2026</t>
        </is>
      </c>
      <c r="Y4" s="178" t="inlineStr">
        <is>
          <t>08/2026</t>
        </is>
      </c>
      <c r="Z4" s="178" t="inlineStr">
        <is>
          <t>09/2026</t>
        </is>
      </c>
      <c r="AA4" s="124" t="inlineStr">
        <is>
          <t>TOTAL</t>
        </is>
      </c>
      <c r="AB4" s="179" t="inlineStr">
        <is>
          <t>AH% últ. mês</t>
        </is>
      </c>
      <c r="AC4" s="179" t="inlineStr">
        <is>
          <t>AV% s/ Receita</t>
        </is>
      </c>
    </row>
    <row r="5">
      <c r="B5" s="136" t="inlineStr">
        <is>
          <t>(+) RECEITA BRUTA DE VENDAS</t>
        </is>
      </c>
      <c r="C5" s="137" t="n"/>
      <c r="D5" s="137" t="n"/>
      <c r="E5" s="137" t="n"/>
      <c r="F5" s="137" t="n"/>
      <c r="G5" s="137" t="n"/>
      <c r="H5" s="137" t="n"/>
      <c r="I5" s="137" t="n"/>
      <c r="J5" s="137" t="n"/>
      <c r="K5" s="137" t="n"/>
      <c r="L5" s="137" t="n"/>
      <c r="M5" s="137" t="n"/>
      <c r="N5" s="137" t="n"/>
      <c r="O5" s="137" t="n"/>
      <c r="P5" s="137" t="n"/>
      <c r="Q5" s="137" t="n"/>
      <c r="R5" s="137" t="n"/>
      <c r="S5" s="137" t="n"/>
      <c r="T5" s="137" t="n"/>
      <c r="U5" s="137" t="n"/>
      <c r="V5" s="137" t="n"/>
      <c r="W5" s="137" t="n"/>
      <c r="X5" s="137" t="n"/>
      <c r="Y5" s="137" t="n"/>
      <c r="Z5" s="137" t="n"/>
      <c r="AA5" s="137" t="n"/>
    </row>
    <row r="6">
      <c r="B6" s="138" t="inlineStr">
        <is>
          <t xml:space="preserve">    Vendas</t>
        </is>
      </c>
      <c r="C6" s="169" t="n">
        <v>0</v>
      </c>
      <c r="D6" s="169" t="n">
        <v>0</v>
      </c>
      <c r="E6" s="169" t="n">
        <v>0</v>
      </c>
      <c r="F6" s="169" t="n">
        <v>121549.92</v>
      </c>
      <c r="G6" s="169" t="n">
        <v>250599.51</v>
      </c>
      <c r="H6" s="169" t="n">
        <v>302093.57</v>
      </c>
      <c r="I6" s="169" t="n">
        <v>350632.1</v>
      </c>
      <c r="J6" s="169" t="n">
        <v>517822</v>
      </c>
      <c r="K6" s="169" t="n">
        <v>511174.69</v>
      </c>
      <c r="L6" s="169" t="n">
        <v>525810.61</v>
      </c>
      <c r="M6" s="169" t="n">
        <v>527060.86</v>
      </c>
      <c r="N6" s="169" t="n">
        <v>493730.9</v>
      </c>
      <c r="O6" s="169" t="n">
        <v>584777.54</v>
      </c>
      <c r="P6" s="169" t="n">
        <v>641084</v>
      </c>
      <c r="Q6" s="169" t="n">
        <v>676999.33</v>
      </c>
      <c r="R6" s="169" t="n">
        <v>309185.9</v>
      </c>
      <c r="S6" s="169" t="n">
        <v>293114.2</v>
      </c>
      <c r="T6" s="169" t="n">
        <v>318410</v>
      </c>
      <c r="U6" s="169" t="n">
        <v>425042.8</v>
      </c>
      <c r="V6" s="169" t="n">
        <v>582637.02</v>
      </c>
      <c r="W6" s="169" t="n">
        <v>534293.85</v>
      </c>
      <c r="X6" s="169" t="n">
        <v>492528.42</v>
      </c>
      <c r="Y6" s="169" t="n">
        <v>473714.32</v>
      </c>
      <c r="Z6" s="169" t="n">
        <v>535495.65</v>
      </c>
      <c r="AA6" s="169" t="n">
        <v>9467757.189999999</v>
      </c>
      <c r="AB6" s="172" t="n">
        <v>0.1304</v>
      </c>
      <c r="AC6" s="140" t="n">
        <v>1</v>
      </c>
    </row>
    <row r="7">
      <c r="B7" s="141" t="inlineStr">
        <is>
          <t>(=) RECEITA BRUTA</t>
        </is>
      </c>
      <c r="C7" s="171" t="n">
        <v>0</v>
      </c>
      <c r="D7" s="171" t="n">
        <v>0</v>
      </c>
      <c r="E7" s="171" t="n">
        <v>0</v>
      </c>
      <c r="F7" s="171" t="n">
        <v>121549.92</v>
      </c>
      <c r="G7" s="171" t="n">
        <v>250599.51</v>
      </c>
      <c r="H7" s="171" t="n">
        <v>302093.57</v>
      </c>
      <c r="I7" s="171" t="n">
        <v>350632.1</v>
      </c>
      <c r="J7" s="171" t="n">
        <v>517822</v>
      </c>
      <c r="K7" s="171" t="n">
        <v>511174.69</v>
      </c>
      <c r="L7" s="171" t="n">
        <v>525810.61</v>
      </c>
      <c r="M7" s="171" t="n">
        <v>527060.86</v>
      </c>
      <c r="N7" s="171" t="n">
        <v>493730.9</v>
      </c>
      <c r="O7" s="171" t="n">
        <v>584777.54</v>
      </c>
      <c r="P7" s="171" t="n">
        <v>641084</v>
      </c>
      <c r="Q7" s="171" t="n">
        <v>676999.33</v>
      </c>
      <c r="R7" s="171" t="n">
        <v>309185.9</v>
      </c>
      <c r="S7" s="171" t="n">
        <v>293114.2</v>
      </c>
      <c r="T7" s="171" t="n">
        <v>318410</v>
      </c>
      <c r="U7" s="171" t="n">
        <v>425042.8</v>
      </c>
      <c r="V7" s="171" t="n">
        <v>582637.02</v>
      </c>
      <c r="W7" s="171" t="n">
        <v>534293.85</v>
      </c>
      <c r="X7" s="171" t="n">
        <v>492528.42</v>
      </c>
      <c r="Y7" s="171" t="n">
        <v>473714.32</v>
      </c>
      <c r="Z7" s="171" t="n">
        <v>535495.65</v>
      </c>
      <c r="AA7" s="171" t="n">
        <v>9467757.189999999</v>
      </c>
      <c r="AB7" s="172" t="n">
        <v>0.1304</v>
      </c>
      <c r="AC7" s="140" t="n">
        <v>1</v>
      </c>
    </row>
    <row r="8">
      <c r="B8" s="136" t="inlineStr">
        <is>
          <t>(-) IMPOSTOS E COMISSÕES SOBRE VENDAS</t>
        </is>
      </c>
      <c r="C8" s="137" t="n"/>
      <c r="D8" s="137" t="n"/>
      <c r="E8" s="137" t="n"/>
      <c r="F8" s="137" t="n"/>
      <c r="G8" s="137" t="n"/>
      <c r="H8" s="137" t="n"/>
      <c r="I8" s="137" t="n"/>
      <c r="J8" s="137" t="n"/>
      <c r="K8" s="137" t="n"/>
      <c r="L8" s="137" t="n"/>
      <c r="M8" s="137" t="n"/>
      <c r="N8" s="137" t="n"/>
      <c r="O8" s="137" t="n"/>
      <c r="P8" s="137" t="n"/>
      <c r="Q8" s="137" t="n"/>
      <c r="R8" s="137" t="n"/>
      <c r="S8" s="137" t="n"/>
      <c r="T8" s="137" t="n"/>
      <c r="U8" s="137" t="n"/>
      <c r="V8" s="137" t="n"/>
      <c r="W8" s="137" t="n"/>
      <c r="X8" s="137" t="n"/>
      <c r="Y8" s="137" t="n"/>
      <c r="Z8" s="137" t="n"/>
      <c r="AA8" s="137" t="n"/>
    </row>
    <row r="9" outlineLevel="1" s="86">
      <c r="B9" s="138" t="inlineStr">
        <is>
          <t xml:space="preserve">    Simples Nacional (10,47% s/ Vendas)</t>
        </is>
      </c>
      <c r="C9" s="169" t="n">
        <v>0</v>
      </c>
      <c r="D9" s="169" t="n">
        <v>0</v>
      </c>
      <c r="E9" s="169" t="n">
        <v>0</v>
      </c>
      <c r="F9" s="169" t="n">
        <v>12726.28</v>
      </c>
      <c r="G9" s="169" t="n">
        <v>26237.77</v>
      </c>
      <c r="H9" s="169" t="n">
        <v>31629.2</v>
      </c>
      <c r="I9" s="169" t="n">
        <v>36711.18</v>
      </c>
      <c r="J9" s="169" t="n">
        <v>54215.96</v>
      </c>
      <c r="K9" s="169" t="n">
        <v>53519.99</v>
      </c>
      <c r="L9" s="169" t="n">
        <v>55052.37</v>
      </c>
      <c r="M9" s="169" t="n">
        <v>55183.27</v>
      </c>
      <c r="N9" s="169" t="n">
        <v>51693.63</v>
      </c>
      <c r="O9" s="169" t="n">
        <v>61226.21</v>
      </c>
      <c r="P9" s="169" t="n">
        <v>67121.49000000001</v>
      </c>
      <c r="Q9" s="169" t="n">
        <v>70881.83</v>
      </c>
      <c r="R9" s="169" t="n">
        <v>32371.76</v>
      </c>
      <c r="S9" s="169" t="n">
        <v>30689.06</v>
      </c>
      <c r="T9" s="169" t="n">
        <v>33337.53</v>
      </c>
      <c r="U9" s="169" t="n">
        <v>44501.98</v>
      </c>
      <c r="V9" s="169" t="n">
        <v>61002.1</v>
      </c>
      <c r="W9" s="169" t="n">
        <v>55940.57</v>
      </c>
      <c r="X9" s="169" t="n">
        <v>51567.73</v>
      </c>
      <c r="Y9" s="169" t="n">
        <v>49597.89</v>
      </c>
      <c r="Z9" s="169" t="n">
        <v>56066.39</v>
      </c>
      <c r="AA9" s="169" t="n">
        <v>991274.1899999999</v>
      </c>
      <c r="AB9" s="172" t="n">
        <v>0.1304</v>
      </c>
      <c r="AC9" s="140" t="n">
        <v>0.1047</v>
      </c>
    </row>
    <row r="10" outlineLevel="1" s="86">
      <c r="B10" s="138" t="inlineStr">
        <is>
          <t xml:space="preserve">    Comissão de Vendedores (1,50% s/ Vendas)</t>
        </is>
      </c>
      <c r="C10" s="169" t="n">
        <v>0</v>
      </c>
      <c r="D10" s="169" t="n">
        <v>0</v>
      </c>
      <c r="E10" s="169" t="n">
        <v>0</v>
      </c>
      <c r="F10" s="169" t="n">
        <v>1823.25</v>
      </c>
      <c r="G10" s="169" t="n">
        <v>3758.99</v>
      </c>
      <c r="H10" s="169" t="n">
        <v>4531.4</v>
      </c>
      <c r="I10" s="169" t="n">
        <v>5259.48</v>
      </c>
      <c r="J10" s="169" t="n">
        <v>7767.33</v>
      </c>
      <c r="K10" s="169" t="n">
        <v>7667.62</v>
      </c>
      <c r="L10" s="169" t="n">
        <v>7887.16</v>
      </c>
      <c r="M10" s="169" t="n">
        <v>7905.91</v>
      </c>
      <c r="N10" s="169" t="n">
        <v>7405.96</v>
      </c>
      <c r="O10" s="169" t="n">
        <v>8771.66</v>
      </c>
      <c r="P10" s="169" t="n">
        <v>9616.26</v>
      </c>
      <c r="Q10" s="169" t="n">
        <v>10154.99</v>
      </c>
      <c r="R10" s="169" t="n">
        <v>4637.79</v>
      </c>
      <c r="S10" s="169" t="n">
        <v>4396.71</v>
      </c>
      <c r="T10" s="169" t="n">
        <v>4776.15</v>
      </c>
      <c r="U10" s="169" t="n">
        <v>6375.64</v>
      </c>
      <c r="V10" s="169" t="n">
        <v>8739.559999999999</v>
      </c>
      <c r="W10" s="169" t="n">
        <v>8014.41</v>
      </c>
      <c r="X10" s="169" t="n">
        <v>7387.93</v>
      </c>
      <c r="Y10" s="169" t="n">
        <v>7105.71</v>
      </c>
      <c r="Z10" s="169" t="n">
        <v>8032.43</v>
      </c>
      <c r="AA10" s="169" t="n">
        <v>142016.34</v>
      </c>
      <c r="AB10" s="172" t="n">
        <v>0.1304</v>
      </c>
      <c r="AC10" s="140" t="n">
        <v>0.015</v>
      </c>
    </row>
    <row r="11" outlineLevel="1" s="86">
      <c r="B11" s="138" t="inlineStr">
        <is>
          <t xml:space="preserve">    Comissão de Assessores (0,10% s/ Vendas)</t>
        </is>
      </c>
      <c r="C11" s="169" t="n">
        <v>0</v>
      </c>
      <c r="D11" s="169" t="n">
        <v>0</v>
      </c>
      <c r="E11" s="169" t="n">
        <v>0</v>
      </c>
      <c r="F11" s="169" t="n">
        <v>121.55</v>
      </c>
      <c r="G11" s="169" t="n">
        <v>250.6</v>
      </c>
      <c r="H11" s="169" t="n">
        <v>302.09</v>
      </c>
      <c r="I11" s="169" t="n">
        <v>350.63</v>
      </c>
      <c r="J11" s="169" t="n">
        <v>517.8200000000001</v>
      </c>
      <c r="K11" s="169" t="n">
        <v>511.17</v>
      </c>
      <c r="L11" s="169" t="n">
        <v>525.8099999999999</v>
      </c>
      <c r="M11" s="169" t="n">
        <v>527.0599999999999</v>
      </c>
      <c r="N11" s="169" t="n">
        <v>493.73</v>
      </c>
      <c r="O11" s="169" t="n">
        <v>584.78</v>
      </c>
      <c r="P11" s="169" t="n">
        <v>641.08</v>
      </c>
      <c r="Q11" s="169" t="n">
        <v>677</v>
      </c>
      <c r="R11" s="169" t="n">
        <v>309.19</v>
      </c>
      <c r="S11" s="169" t="n">
        <v>293.11</v>
      </c>
      <c r="T11" s="169" t="n">
        <v>318.41</v>
      </c>
      <c r="U11" s="169" t="n">
        <v>425.04</v>
      </c>
      <c r="V11" s="169" t="n">
        <v>582.64</v>
      </c>
      <c r="W11" s="169" t="n">
        <v>534.29</v>
      </c>
      <c r="X11" s="169" t="n">
        <v>492.53</v>
      </c>
      <c r="Y11" s="169" t="n">
        <v>473.71</v>
      </c>
      <c r="Z11" s="169" t="n">
        <v>535.5</v>
      </c>
      <c r="AA11" s="169" t="n">
        <v>9467.74</v>
      </c>
      <c r="AB11" s="172" t="n">
        <v>0.1304</v>
      </c>
      <c r="AC11" s="140" t="n">
        <v>0.001</v>
      </c>
    </row>
    <row r="12">
      <c r="B12" s="141" t="inlineStr">
        <is>
          <t>(=) TOTAL IMPOSTOS E COMISSÕES</t>
        </is>
      </c>
      <c r="C12" s="171" t="n">
        <v>0</v>
      </c>
      <c r="D12" s="171" t="n">
        <v>0</v>
      </c>
      <c r="E12" s="171" t="n">
        <v>0</v>
      </c>
      <c r="F12" s="171" t="n">
        <v>14671.08</v>
      </c>
      <c r="G12" s="171" t="n">
        <v>30247.36</v>
      </c>
      <c r="H12" s="171" t="n">
        <v>36462.69</v>
      </c>
      <c r="I12" s="171" t="n">
        <v>42321.29</v>
      </c>
      <c r="J12" s="171" t="n">
        <v>62501.12</v>
      </c>
      <c r="K12" s="171" t="n">
        <v>61698.79</v>
      </c>
      <c r="L12" s="171" t="n">
        <v>63465.34</v>
      </c>
      <c r="M12" s="171" t="n">
        <v>63616.25</v>
      </c>
      <c r="N12" s="171" t="n">
        <v>59593.32</v>
      </c>
      <c r="O12" s="171" t="n">
        <v>70582.64999999999</v>
      </c>
      <c r="P12" s="171" t="n">
        <v>77378.84</v>
      </c>
      <c r="Q12" s="171" t="n">
        <v>81713.82000000001</v>
      </c>
      <c r="R12" s="171" t="n">
        <v>37318.74</v>
      </c>
      <c r="S12" s="171" t="n">
        <v>35378.88</v>
      </c>
      <c r="T12" s="171" t="n">
        <v>38432.09</v>
      </c>
      <c r="U12" s="171" t="n">
        <v>51302.67</v>
      </c>
      <c r="V12" s="171" t="n">
        <v>70324.28999999999</v>
      </c>
      <c r="W12" s="171" t="n">
        <v>64489.27</v>
      </c>
      <c r="X12" s="171" t="n">
        <v>59448.18</v>
      </c>
      <c r="Y12" s="171" t="n">
        <v>57177.32</v>
      </c>
      <c r="Z12" s="171" t="n">
        <v>64634.32</v>
      </c>
      <c r="AA12" s="171" t="n">
        <v>1142758.31</v>
      </c>
      <c r="AB12" s="172" t="n">
        <v>0.1304</v>
      </c>
      <c r="AC12" s="140" t="n">
        <v>0.1207</v>
      </c>
    </row>
    <row r="13">
      <c r="B13" s="142" t="inlineStr">
        <is>
          <t>(=) RECEITA LÍQUIDA</t>
        </is>
      </c>
      <c r="C13" s="173" t="n">
        <v>0</v>
      </c>
      <c r="D13" s="173" t="n">
        <v>0</v>
      </c>
      <c r="E13" s="173" t="n">
        <v>0</v>
      </c>
      <c r="F13" s="173" t="n">
        <v>106878.84</v>
      </c>
      <c r="G13" s="173" t="n">
        <v>220352.15</v>
      </c>
      <c r="H13" s="173" t="n">
        <v>265630.88</v>
      </c>
      <c r="I13" s="173" t="n">
        <v>308310.81</v>
      </c>
      <c r="J13" s="173" t="n">
        <v>455320.88</v>
      </c>
      <c r="K13" s="173" t="n">
        <v>449475.9</v>
      </c>
      <c r="L13" s="173" t="n">
        <v>462345.27</v>
      </c>
      <c r="M13" s="173" t="n">
        <v>463444.61</v>
      </c>
      <c r="N13" s="173" t="n">
        <v>434137.58</v>
      </c>
      <c r="O13" s="173" t="n">
        <v>514194.89</v>
      </c>
      <c r="P13" s="173" t="n">
        <v>563705.16</v>
      </c>
      <c r="Q13" s="173" t="n">
        <v>595285.51</v>
      </c>
      <c r="R13" s="173" t="n">
        <v>271867.16</v>
      </c>
      <c r="S13" s="173" t="n">
        <v>257735.32</v>
      </c>
      <c r="T13" s="173" t="n">
        <v>279977.91</v>
      </c>
      <c r="U13" s="173" t="n">
        <v>373740.13</v>
      </c>
      <c r="V13" s="173" t="n">
        <v>512312.73</v>
      </c>
      <c r="W13" s="173" t="n">
        <v>469804.58</v>
      </c>
      <c r="X13" s="173" t="n">
        <v>433080.24</v>
      </c>
      <c r="Y13" s="173" t="n">
        <v>416537</v>
      </c>
      <c r="Z13" s="173" t="n">
        <v>470861.33</v>
      </c>
      <c r="AA13" s="173" t="n">
        <v>8324998.88</v>
      </c>
      <c r="AB13" s="172" t="n">
        <v>0.1304</v>
      </c>
      <c r="AC13" s="140" t="n">
        <v>0.8793</v>
      </c>
    </row>
    <row r="14"/>
    <row r="15">
      <c r="B15" s="136" t="inlineStr">
        <is>
          <t>(-) CUSTO (CMV)</t>
        </is>
      </c>
      <c r="C15" s="137" t="n"/>
      <c r="D15" s="137" t="n"/>
      <c r="E15" s="137" t="n"/>
      <c r="F15" s="137" t="n"/>
      <c r="G15" s="137" t="n"/>
      <c r="H15" s="137" t="n"/>
      <c r="I15" s="137" t="n"/>
      <c r="J15" s="137" t="n"/>
      <c r="K15" s="137" t="n"/>
      <c r="L15" s="137" t="n"/>
      <c r="M15" s="137" t="n"/>
      <c r="N15" s="137" t="n"/>
      <c r="O15" s="137" t="n"/>
      <c r="P15" s="137" t="n"/>
      <c r="Q15" s="137" t="n"/>
      <c r="R15" s="137" t="n"/>
      <c r="S15" s="137" t="n"/>
      <c r="T15" s="137" t="n"/>
      <c r="U15" s="137" t="n"/>
      <c r="V15" s="137" t="n"/>
      <c r="W15" s="137" t="n"/>
      <c r="X15" s="137" t="n"/>
      <c r="Y15" s="137" t="n"/>
      <c r="Z15" s="137" t="n"/>
      <c r="AA15" s="137" t="n"/>
    </row>
    <row r="16" outlineLevel="1" s="86">
      <c r="B16" s="138" t="inlineStr">
        <is>
          <t xml:space="preserve">    Custo de Mercadoria Vendida</t>
        </is>
      </c>
      <c r="C16" s="169" t="n">
        <v>0</v>
      </c>
      <c r="D16" s="169" t="n">
        <v>0</v>
      </c>
      <c r="E16" s="169" t="n">
        <v>0</v>
      </c>
      <c r="F16" s="169" t="n">
        <v>137102.37</v>
      </c>
      <c r="G16" s="169" t="n">
        <v>225127.02</v>
      </c>
      <c r="H16" s="169" t="n">
        <v>215036.99</v>
      </c>
      <c r="I16" s="169" t="n">
        <v>291300.58</v>
      </c>
      <c r="J16" s="169" t="n">
        <v>343316.08</v>
      </c>
      <c r="K16" s="169" t="n">
        <v>402450.79</v>
      </c>
      <c r="L16" s="169" t="n">
        <v>316241.94</v>
      </c>
      <c r="M16" s="169" t="n">
        <v>379079.51</v>
      </c>
      <c r="N16" s="169" t="n">
        <v>334766.19</v>
      </c>
      <c r="O16" s="169" t="n">
        <v>484305.21</v>
      </c>
      <c r="P16" s="169" t="n">
        <v>448073.59</v>
      </c>
      <c r="Q16" s="169" t="n">
        <v>493994.09</v>
      </c>
      <c r="R16" s="169" t="n">
        <v>210250.43</v>
      </c>
      <c r="S16" s="169" t="n">
        <v>188747.08</v>
      </c>
      <c r="T16" s="169" t="n">
        <v>208123.65</v>
      </c>
      <c r="U16" s="169" t="n">
        <v>284043.68</v>
      </c>
      <c r="V16" s="169" t="n">
        <v>395423.3</v>
      </c>
      <c r="W16" s="169" t="n">
        <v>355255.09</v>
      </c>
      <c r="X16" s="169" t="n">
        <v>312921.75</v>
      </c>
      <c r="Y16" s="169" t="n">
        <v>298322.34</v>
      </c>
      <c r="Z16" s="169" t="n">
        <v>317150.97</v>
      </c>
      <c r="AA16" s="169" t="n">
        <v>6641032.65</v>
      </c>
      <c r="AB16" s="172" t="n">
        <v>0.0631</v>
      </c>
      <c r="AC16" s="140" t="n">
        <v>0.7014</v>
      </c>
    </row>
    <row r="17">
      <c r="B17" s="142" t="inlineStr">
        <is>
          <t>(=) MARGEM</t>
        </is>
      </c>
      <c r="C17" s="173" t="n">
        <v>0</v>
      </c>
      <c r="D17" s="173" t="n">
        <v>0</v>
      </c>
      <c r="E17" s="173" t="n">
        <v>0</v>
      </c>
      <c r="F17" s="173" t="n">
        <v>-30223.53</v>
      </c>
      <c r="G17" s="173" t="n">
        <v>-4774.87</v>
      </c>
      <c r="H17" s="173" t="n">
        <v>50593.89</v>
      </c>
      <c r="I17" s="173" t="n">
        <v>17010.23</v>
      </c>
      <c r="J17" s="173" t="n">
        <v>112004.8</v>
      </c>
      <c r="K17" s="173" t="n">
        <v>47025.11</v>
      </c>
      <c r="L17" s="173" t="n">
        <v>146103.33</v>
      </c>
      <c r="M17" s="173" t="n">
        <v>84365.10000000001</v>
      </c>
      <c r="N17" s="173" t="n">
        <v>99371.39</v>
      </c>
      <c r="O17" s="173" t="n">
        <v>29889.68</v>
      </c>
      <c r="P17" s="173" t="n">
        <v>115631.57</v>
      </c>
      <c r="Q17" s="173" t="n">
        <v>101291.42</v>
      </c>
      <c r="R17" s="173" t="n">
        <v>61616.73</v>
      </c>
      <c r="S17" s="173" t="n">
        <v>68988.24000000001</v>
      </c>
      <c r="T17" s="173" t="n">
        <v>71854.25999999999</v>
      </c>
      <c r="U17" s="173" t="n">
        <v>89696.45</v>
      </c>
      <c r="V17" s="173" t="n">
        <v>116889.43</v>
      </c>
      <c r="W17" s="173" t="n">
        <v>114549.49</v>
      </c>
      <c r="X17" s="173" t="n">
        <v>120158.49</v>
      </c>
      <c r="Y17" s="173" t="n">
        <v>118214.66</v>
      </c>
      <c r="Z17" s="173" t="n">
        <v>153710.36</v>
      </c>
      <c r="AA17" s="173" t="n">
        <v>1683966.23</v>
      </c>
      <c r="AB17" s="172" t="n">
        <v>0.3003</v>
      </c>
      <c r="AC17" s="140" t="n">
        <v>0.1779</v>
      </c>
    </row>
    <row r="18"/>
    <row r="19">
      <c r="B19" s="136" t="inlineStr">
        <is>
          <t>(-) DESPESAS OPERACIONAIS</t>
        </is>
      </c>
      <c r="C19" s="137" t="n"/>
      <c r="D19" s="137" t="n"/>
      <c r="E19" s="137" t="n"/>
      <c r="F19" s="137" t="n"/>
      <c r="G19" s="137" t="n"/>
      <c r="H19" s="137" t="n"/>
      <c r="I19" s="137" t="n"/>
      <c r="J19" s="137" t="n"/>
      <c r="K19" s="137" t="n"/>
      <c r="L19" s="137" t="n"/>
      <c r="M19" s="137" t="n"/>
      <c r="N19" s="137" t="n"/>
      <c r="O19" s="137" t="n"/>
      <c r="P19" s="137" t="n"/>
      <c r="Q19" s="137" t="n"/>
      <c r="R19" s="137" t="n"/>
      <c r="S19" s="137" t="n"/>
      <c r="T19" s="137" t="n"/>
      <c r="U19" s="137" t="n"/>
      <c r="V19" s="137" t="n"/>
      <c r="W19" s="137" t="n"/>
      <c r="X19" s="137" t="n"/>
      <c r="Y19" s="137" t="n"/>
      <c r="Z19" s="137" t="n"/>
      <c r="AA19" s="137" t="n"/>
    </row>
    <row r="20" outlineLevel="1" s="86">
      <c r="B20" s="138" t="inlineStr">
        <is>
          <t xml:space="preserve">    Frete e Transporte de Mercadorias</t>
        </is>
      </c>
      <c r="C20" s="169" t="n">
        <v>0</v>
      </c>
      <c r="D20" s="169" t="n">
        <v>0</v>
      </c>
      <c r="E20" s="169" t="n">
        <v>0</v>
      </c>
      <c r="F20" s="169" t="n">
        <v>3266.32</v>
      </c>
      <c r="G20" s="169" t="n">
        <v>4119.21</v>
      </c>
      <c r="H20" s="169" t="n">
        <v>3285.31</v>
      </c>
      <c r="I20" s="169" t="n">
        <v>4631.51</v>
      </c>
      <c r="J20" s="169" t="n">
        <v>8005.04</v>
      </c>
      <c r="K20" s="169" t="n">
        <v>7505.06</v>
      </c>
      <c r="L20" s="169" t="n">
        <v>2633.53</v>
      </c>
      <c r="M20" s="169" t="n">
        <v>6200.07</v>
      </c>
      <c r="N20" s="169" t="n">
        <v>8446.24</v>
      </c>
      <c r="O20" s="169" t="n">
        <v>6212.98</v>
      </c>
      <c r="P20" s="169" t="n">
        <v>6818.81</v>
      </c>
      <c r="Q20" s="169" t="n">
        <v>7966.01</v>
      </c>
      <c r="R20" s="169" t="n">
        <v>1635.49</v>
      </c>
      <c r="S20" s="169" t="n">
        <v>3493.33</v>
      </c>
      <c r="T20" s="169" t="n">
        <v>6370.18</v>
      </c>
      <c r="U20" s="169" t="n">
        <v>6258.05</v>
      </c>
      <c r="V20" s="169" t="n">
        <v>5873.77</v>
      </c>
      <c r="W20" s="169" t="n">
        <v>0</v>
      </c>
      <c r="X20" s="169" t="n">
        <v>9117.65</v>
      </c>
      <c r="Y20" s="169" t="n">
        <v>4146.28</v>
      </c>
      <c r="Z20" s="169" t="n">
        <v>4838.41</v>
      </c>
      <c r="AA20" s="169" t="n">
        <v>110823.25</v>
      </c>
      <c r="AB20" s="172" t="n">
        <v>0.1669</v>
      </c>
      <c r="AC20" s="140" t="n">
        <v>0.0117</v>
      </c>
    </row>
    <row r="21" outlineLevel="1" s="86">
      <c r="B21" s="138" t="inlineStr">
        <is>
          <t xml:space="preserve">    Manutenção de Máquinas e Peças</t>
        </is>
      </c>
      <c r="C21" s="169" t="n">
        <v>0</v>
      </c>
      <c r="D21" s="169" t="n">
        <v>0</v>
      </c>
      <c r="E21" s="169" t="n">
        <v>0</v>
      </c>
      <c r="F21" s="169" t="n">
        <v>0</v>
      </c>
      <c r="G21" s="169" t="n">
        <v>39</v>
      </c>
      <c r="H21" s="169" t="n">
        <v>0</v>
      </c>
      <c r="I21" s="169" t="n">
        <v>110</v>
      </c>
      <c r="J21" s="169" t="n">
        <v>300</v>
      </c>
      <c r="K21" s="169" t="n">
        <v>0</v>
      </c>
      <c r="L21" s="169" t="n">
        <v>915</v>
      </c>
      <c r="M21" s="169" t="n">
        <v>0</v>
      </c>
      <c r="N21" s="169" t="n">
        <v>0</v>
      </c>
      <c r="O21" s="169" t="n">
        <v>0</v>
      </c>
      <c r="P21" s="169" t="n">
        <v>0</v>
      </c>
      <c r="Q21" s="169" t="n">
        <v>110</v>
      </c>
      <c r="R21" s="169" t="n">
        <v>0</v>
      </c>
      <c r="S21" s="169" t="n">
        <v>0</v>
      </c>
      <c r="T21" s="169" t="n">
        <v>0</v>
      </c>
      <c r="U21" s="169" t="n">
        <v>0</v>
      </c>
      <c r="V21" s="169" t="n">
        <v>600</v>
      </c>
      <c r="W21" s="169" t="n">
        <v>0</v>
      </c>
      <c r="X21" s="169" t="n">
        <v>0</v>
      </c>
      <c r="Y21" s="169" t="n">
        <v>0</v>
      </c>
      <c r="Z21" s="169" t="n">
        <v>0</v>
      </c>
      <c r="AA21" s="169" t="n">
        <v>2074</v>
      </c>
      <c r="AB21" s="172" t="n"/>
      <c r="AC21" s="140" t="n">
        <v>0.0002</v>
      </c>
    </row>
    <row r="22">
      <c r="B22" s="141" t="inlineStr">
        <is>
          <t>(=) TOTAL DESPESAS OPERACIONAIS</t>
        </is>
      </c>
      <c r="C22" s="171" t="n">
        <v>0</v>
      </c>
      <c r="D22" s="171" t="n">
        <v>0</v>
      </c>
      <c r="E22" s="171" t="n">
        <v>0</v>
      </c>
      <c r="F22" s="171" t="n">
        <v>3266.32</v>
      </c>
      <c r="G22" s="171" t="n">
        <v>4158.21</v>
      </c>
      <c r="H22" s="171" t="n">
        <v>3285.31</v>
      </c>
      <c r="I22" s="171" t="n">
        <v>4741.51</v>
      </c>
      <c r="J22" s="171" t="n">
        <v>8305.040000000001</v>
      </c>
      <c r="K22" s="171" t="n">
        <v>7505.06</v>
      </c>
      <c r="L22" s="171" t="n">
        <v>3548.53</v>
      </c>
      <c r="M22" s="171" t="n">
        <v>6200.07</v>
      </c>
      <c r="N22" s="171" t="n">
        <v>8446.24</v>
      </c>
      <c r="O22" s="171" t="n">
        <v>6212.98</v>
      </c>
      <c r="P22" s="171" t="n">
        <v>6818.81</v>
      </c>
      <c r="Q22" s="171" t="n">
        <v>8076.01</v>
      </c>
      <c r="R22" s="171" t="n">
        <v>1635.49</v>
      </c>
      <c r="S22" s="171" t="n">
        <v>3493.33</v>
      </c>
      <c r="T22" s="171" t="n">
        <v>6370.18</v>
      </c>
      <c r="U22" s="171" t="n">
        <v>6258.05</v>
      </c>
      <c r="V22" s="171" t="n">
        <v>6473.77</v>
      </c>
      <c r="W22" s="171" t="n">
        <v>0</v>
      </c>
      <c r="X22" s="171" t="n">
        <v>9117.65</v>
      </c>
      <c r="Y22" s="171" t="n">
        <v>4146.28</v>
      </c>
      <c r="Z22" s="171" t="n">
        <v>4838.41</v>
      </c>
      <c r="AA22" s="171" t="n">
        <v>112897.25</v>
      </c>
      <c r="AB22" s="172" t="n">
        <v>0.1669</v>
      </c>
      <c r="AC22" s="140" t="n">
        <v>0.0119</v>
      </c>
    </row>
    <row r="23">
      <c r="B23" s="136" t="inlineStr">
        <is>
          <t>(-) DESPESAS COM PESSOAL</t>
        </is>
      </c>
      <c r="C23" s="137" t="n"/>
      <c r="D23" s="137" t="n"/>
      <c r="E23" s="137" t="n"/>
      <c r="F23" s="137" t="n"/>
      <c r="G23" s="137" t="n"/>
      <c r="H23" s="137" t="n"/>
      <c r="I23" s="137" t="n"/>
      <c r="J23" s="137" t="n"/>
      <c r="K23" s="137" t="n"/>
      <c r="L23" s="137" t="n"/>
      <c r="M23" s="137" t="n"/>
      <c r="N23" s="137" t="n"/>
      <c r="O23" s="137" t="n"/>
      <c r="P23" s="137" t="n"/>
      <c r="Q23" s="137" t="n"/>
      <c r="R23" s="137" t="n"/>
      <c r="S23" s="137" t="n"/>
      <c r="T23" s="137" t="n"/>
      <c r="U23" s="137" t="n"/>
      <c r="V23" s="137" t="n"/>
      <c r="W23" s="137" t="n"/>
      <c r="X23" s="137" t="n"/>
      <c r="Y23" s="137" t="n"/>
      <c r="Z23" s="137" t="n"/>
      <c r="AA23" s="137" t="n"/>
    </row>
    <row r="24" outlineLevel="1" s="86">
      <c r="B24" s="138" t="inlineStr">
        <is>
          <t xml:space="preserve">    Salário e Ordenados</t>
        </is>
      </c>
      <c r="C24" s="169" t="n">
        <v>0</v>
      </c>
      <c r="D24" s="169" t="n">
        <v>0</v>
      </c>
      <c r="E24" s="169" t="n">
        <v>5000</v>
      </c>
      <c r="F24" s="169" t="n">
        <v>23868.1</v>
      </c>
      <c r="G24" s="169" t="n">
        <v>21582.64</v>
      </c>
      <c r="H24" s="169" t="n">
        <v>23176.52</v>
      </c>
      <c r="I24" s="169" t="n">
        <v>27082.92</v>
      </c>
      <c r="J24" s="169" t="n">
        <v>27532.27</v>
      </c>
      <c r="K24" s="169" t="n">
        <v>26127.57</v>
      </c>
      <c r="L24" s="169" t="n">
        <v>32472.03</v>
      </c>
      <c r="M24" s="169" t="n">
        <v>27259.41</v>
      </c>
      <c r="N24" s="169" t="n">
        <v>25797.32</v>
      </c>
      <c r="O24" s="169" t="n">
        <v>22939.91</v>
      </c>
      <c r="P24" s="169" t="n">
        <v>22206.35</v>
      </c>
      <c r="Q24" s="169" t="n">
        <v>25922.28</v>
      </c>
      <c r="R24" s="169" t="n">
        <v>29464</v>
      </c>
      <c r="S24" s="169" t="n">
        <v>23938.39</v>
      </c>
      <c r="T24" s="169" t="n">
        <v>31240.56</v>
      </c>
      <c r="U24" s="169" t="n">
        <v>31939.4</v>
      </c>
      <c r="V24" s="169" t="n">
        <v>31560.15</v>
      </c>
      <c r="W24" s="169" t="n">
        <v>29390.14</v>
      </c>
      <c r="X24" s="169" t="n">
        <v>19095.02</v>
      </c>
      <c r="Y24" s="169" t="n">
        <v>17200.22</v>
      </c>
      <c r="Z24" s="169" t="n">
        <v>28904.78</v>
      </c>
      <c r="AA24" s="169" t="n">
        <v>553699.98</v>
      </c>
      <c r="AB24" s="172" t="n">
        <v>0.6805</v>
      </c>
      <c r="AC24" s="140" t="n">
        <v>0.0585</v>
      </c>
    </row>
    <row r="25" outlineLevel="1" s="86">
      <c r="B25" s="138" t="inlineStr">
        <is>
          <t xml:space="preserve">    Acertos e Recisões</t>
        </is>
      </c>
      <c r="C25" s="169" t="n">
        <v>0</v>
      </c>
      <c r="D25" s="169" t="n">
        <v>0</v>
      </c>
      <c r="E25" s="169" t="n">
        <v>0</v>
      </c>
      <c r="F25" s="169" t="n">
        <v>760.38</v>
      </c>
      <c r="G25" s="169" t="n">
        <v>0</v>
      </c>
      <c r="H25" s="169" t="n">
        <v>2849.74</v>
      </c>
      <c r="I25" s="169" t="n">
        <v>5353.37</v>
      </c>
      <c r="J25" s="169" t="n">
        <v>1360</v>
      </c>
      <c r="K25" s="169" t="n">
        <v>0</v>
      </c>
      <c r="L25" s="169" t="n">
        <v>0</v>
      </c>
      <c r="M25" s="169" t="n">
        <v>2906.98</v>
      </c>
      <c r="N25" s="169" t="n">
        <v>0</v>
      </c>
      <c r="O25" s="169" t="n">
        <v>0</v>
      </c>
      <c r="P25" s="169" t="n">
        <v>2071.71</v>
      </c>
      <c r="Q25" s="169" t="n">
        <v>3434.87</v>
      </c>
      <c r="R25" s="169" t="n">
        <v>30769.48</v>
      </c>
      <c r="S25" s="169" t="n">
        <v>0</v>
      </c>
      <c r="T25" s="169" t="n">
        <v>0</v>
      </c>
      <c r="U25" s="169" t="n">
        <v>0</v>
      </c>
      <c r="V25" s="169" t="n">
        <v>0</v>
      </c>
      <c r="W25" s="169" t="n">
        <v>0</v>
      </c>
      <c r="X25" s="169" t="n">
        <v>0</v>
      </c>
      <c r="Y25" s="169" t="n">
        <v>14962.53</v>
      </c>
      <c r="Z25" s="169" t="n">
        <v>62942.24</v>
      </c>
      <c r="AA25" s="169" t="n">
        <v>127411.3</v>
      </c>
      <c r="AB25" s="172" t="n">
        <v>3.2067</v>
      </c>
      <c r="AC25" s="140" t="n">
        <v>0.0135</v>
      </c>
    </row>
    <row r="26" outlineLevel="1" s="86">
      <c r="B26" s="138" t="inlineStr">
        <is>
          <t xml:space="preserve">    Férias</t>
        </is>
      </c>
      <c r="C26" s="169" t="n">
        <v>0</v>
      </c>
      <c r="D26" s="169" t="n">
        <v>0</v>
      </c>
      <c r="E26" s="169" t="n">
        <v>0</v>
      </c>
      <c r="F26" s="169" t="n">
        <v>7473.57</v>
      </c>
      <c r="G26" s="169" t="n">
        <v>4205.34</v>
      </c>
      <c r="H26" s="169" t="n">
        <v>6201.8</v>
      </c>
      <c r="I26" s="169" t="n">
        <v>0</v>
      </c>
      <c r="J26" s="169" t="n">
        <v>0</v>
      </c>
      <c r="K26" s="169" t="n">
        <v>2621</v>
      </c>
      <c r="L26" s="169" t="n">
        <v>0</v>
      </c>
      <c r="M26" s="169" t="n">
        <v>0</v>
      </c>
      <c r="N26" s="169" t="n">
        <v>0</v>
      </c>
      <c r="O26" s="169" t="n">
        <v>0</v>
      </c>
      <c r="P26" s="169" t="n">
        <v>0</v>
      </c>
      <c r="Q26" s="169" t="n">
        <v>8096</v>
      </c>
      <c r="R26" s="169" t="n">
        <v>0</v>
      </c>
      <c r="S26" s="169" t="n">
        <v>12475.68</v>
      </c>
      <c r="T26" s="169" t="n">
        <v>4763.35</v>
      </c>
      <c r="U26" s="169" t="n">
        <v>2623.23</v>
      </c>
      <c r="V26" s="169" t="n">
        <v>2903.47</v>
      </c>
      <c r="W26" s="169" t="n">
        <v>0</v>
      </c>
      <c r="X26" s="169" t="n">
        <v>0</v>
      </c>
      <c r="Y26" s="169" t="n">
        <v>0</v>
      </c>
      <c r="Z26" s="169" t="n">
        <v>0</v>
      </c>
      <c r="AA26" s="169" t="n">
        <v>51363.44</v>
      </c>
      <c r="AB26" s="172" t="n"/>
      <c r="AC26" s="140" t="n">
        <v>0.0054</v>
      </c>
    </row>
    <row r="27" outlineLevel="1" s="86">
      <c r="B27" s="138" t="inlineStr">
        <is>
          <t xml:space="preserve">    Fgts, Gps e Pis</t>
        </is>
      </c>
      <c r="C27" s="169" t="n">
        <v>0</v>
      </c>
      <c r="D27" s="169" t="n">
        <v>0</v>
      </c>
      <c r="E27" s="169" t="n">
        <v>0</v>
      </c>
      <c r="F27" s="169" t="n">
        <v>0</v>
      </c>
      <c r="G27" s="169" t="n">
        <v>0</v>
      </c>
      <c r="H27" s="169" t="n">
        <v>0</v>
      </c>
      <c r="I27" s="169" t="n">
        <v>0</v>
      </c>
      <c r="J27" s="169" t="n">
        <v>1777.34</v>
      </c>
      <c r="K27" s="169" t="n">
        <v>1885.32</v>
      </c>
      <c r="L27" s="169" t="n">
        <v>0</v>
      </c>
      <c r="M27" s="169" t="n">
        <v>0</v>
      </c>
      <c r="N27" s="169" t="n">
        <v>0</v>
      </c>
      <c r="O27" s="169" t="n">
        <v>3989.34</v>
      </c>
      <c r="P27" s="169" t="n">
        <v>4696.9</v>
      </c>
      <c r="Q27" s="169" t="n">
        <v>5198.96</v>
      </c>
      <c r="R27" s="169" t="n">
        <v>5408.24</v>
      </c>
      <c r="S27" s="169" t="n">
        <v>4455.12</v>
      </c>
      <c r="T27" s="169" t="n">
        <v>3373.29</v>
      </c>
      <c r="U27" s="169" t="n">
        <v>3216.94</v>
      </c>
      <c r="V27" s="169" t="n">
        <v>3992.67</v>
      </c>
      <c r="W27" s="169" t="n">
        <v>0</v>
      </c>
      <c r="X27" s="169" t="n">
        <v>4654.17</v>
      </c>
      <c r="Y27" s="169" t="n">
        <v>3652.84</v>
      </c>
      <c r="Z27" s="169" t="n">
        <v>3870.81</v>
      </c>
      <c r="AA27" s="169" t="n">
        <v>50171.94</v>
      </c>
      <c r="AB27" s="172" t="n">
        <v>0.0597</v>
      </c>
      <c r="AC27" s="140" t="n">
        <v>0.0053</v>
      </c>
    </row>
    <row r="28" outlineLevel="1" s="86">
      <c r="B28" s="138" t="inlineStr">
        <is>
          <t xml:space="preserve">    Vales e Adiantamentos</t>
        </is>
      </c>
      <c r="C28" s="169" t="n">
        <v>0</v>
      </c>
      <c r="D28" s="169" t="n">
        <v>0</v>
      </c>
      <c r="E28" s="169" t="n">
        <v>300</v>
      </c>
      <c r="F28" s="169" t="n">
        <v>0</v>
      </c>
      <c r="G28" s="169" t="n">
        <v>1000</v>
      </c>
      <c r="H28" s="169" t="n">
        <v>1500.02</v>
      </c>
      <c r="I28" s="169" t="n">
        <v>1000</v>
      </c>
      <c r="J28" s="169" t="n">
        <v>1000</v>
      </c>
      <c r="K28" s="169" t="n">
        <v>1300</v>
      </c>
      <c r="L28" s="169" t="n">
        <v>1650</v>
      </c>
      <c r="M28" s="169" t="n">
        <v>800.01</v>
      </c>
      <c r="N28" s="169" t="n">
        <v>800</v>
      </c>
      <c r="O28" s="169" t="n">
        <v>3450.01</v>
      </c>
      <c r="P28" s="169" t="n">
        <v>3750</v>
      </c>
      <c r="Q28" s="169" t="n">
        <v>3850</v>
      </c>
      <c r="R28" s="169" t="n">
        <v>3120.01</v>
      </c>
      <c r="S28" s="169" t="n">
        <v>3450.01</v>
      </c>
      <c r="T28" s="169" t="n">
        <v>3550.01</v>
      </c>
      <c r="U28" s="169" t="n">
        <v>3650</v>
      </c>
      <c r="V28" s="169" t="n">
        <v>2850.01</v>
      </c>
      <c r="W28" s="169" t="n">
        <v>3250</v>
      </c>
      <c r="X28" s="169" t="n">
        <v>1000</v>
      </c>
      <c r="Y28" s="169" t="n">
        <v>1425</v>
      </c>
      <c r="Z28" s="169" t="n">
        <v>1744.46</v>
      </c>
      <c r="AA28" s="169" t="n">
        <v>44439.54</v>
      </c>
      <c r="AB28" s="172" t="n">
        <v>0.2242</v>
      </c>
      <c r="AC28" s="140" t="n">
        <v>0.0047</v>
      </c>
    </row>
    <row r="29" outlineLevel="1" s="86">
      <c r="B29" s="138" t="inlineStr">
        <is>
          <t xml:space="preserve">    Vale Transporte</t>
        </is>
      </c>
      <c r="C29" s="169" t="n">
        <v>0</v>
      </c>
      <c r="D29" s="169" t="n">
        <v>0</v>
      </c>
      <c r="E29" s="169" t="n">
        <v>0</v>
      </c>
      <c r="F29" s="169" t="n">
        <v>2380</v>
      </c>
      <c r="G29" s="169" t="n">
        <v>0</v>
      </c>
      <c r="H29" s="169" t="n">
        <v>2780</v>
      </c>
      <c r="I29" s="169" t="n">
        <v>2460</v>
      </c>
      <c r="J29" s="169" t="n">
        <v>2740</v>
      </c>
      <c r="K29" s="169" t="n">
        <v>3820</v>
      </c>
      <c r="L29" s="169" t="n">
        <v>3160</v>
      </c>
      <c r="M29" s="169" t="n">
        <v>3240</v>
      </c>
      <c r="N29" s="169" t="n">
        <v>0</v>
      </c>
      <c r="O29" s="169" t="n">
        <v>0</v>
      </c>
      <c r="P29" s="169" t="n">
        <v>0</v>
      </c>
      <c r="Q29" s="169" t="n">
        <v>700</v>
      </c>
      <c r="R29" s="169" t="n">
        <v>1700</v>
      </c>
      <c r="S29" s="169" t="n">
        <v>1580</v>
      </c>
      <c r="T29" s="169" t="n">
        <v>2400</v>
      </c>
      <c r="U29" s="169" t="n">
        <v>1980</v>
      </c>
      <c r="V29" s="169" t="n">
        <v>2000</v>
      </c>
      <c r="W29" s="169" t="n">
        <v>2400</v>
      </c>
      <c r="X29" s="169" t="n">
        <v>2040</v>
      </c>
      <c r="Y29" s="169" t="n">
        <v>440</v>
      </c>
      <c r="Z29" s="169" t="n">
        <v>1720</v>
      </c>
      <c r="AA29" s="169" t="n">
        <v>37540</v>
      </c>
      <c r="AB29" s="172" t="n">
        <v>2.9091</v>
      </c>
      <c r="AC29" s="140" t="n">
        <v>0.004</v>
      </c>
    </row>
    <row r="30" outlineLevel="1" s="86">
      <c r="B30" s="138" t="inlineStr">
        <is>
          <t xml:space="preserve">    13º Salário</t>
        </is>
      </c>
      <c r="C30" s="169" t="n">
        <v>0</v>
      </c>
      <c r="D30" s="169" t="n">
        <v>0</v>
      </c>
      <c r="E30" s="169" t="n">
        <v>0</v>
      </c>
      <c r="F30" s="169" t="n">
        <v>0</v>
      </c>
      <c r="G30" s="169" t="n">
        <v>0</v>
      </c>
      <c r="H30" s="169" t="n">
        <v>0</v>
      </c>
      <c r="I30" s="169" t="n">
        <v>0</v>
      </c>
      <c r="J30" s="169" t="n">
        <v>0</v>
      </c>
      <c r="K30" s="169" t="n">
        <v>0</v>
      </c>
      <c r="L30" s="169" t="n">
        <v>0</v>
      </c>
      <c r="M30" s="169" t="n">
        <v>0</v>
      </c>
      <c r="N30" s="169" t="n">
        <v>0</v>
      </c>
      <c r="O30" s="169" t="n">
        <v>0</v>
      </c>
      <c r="P30" s="169" t="n">
        <v>13576.63</v>
      </c>
      <c r="Q30" s="169" t="n">
        <v>12084.67</v>
      </c>
      <c r="R30" s="169" t="n">
        <v>0</v>
      </c>
      <c r="S30" s="169" t="n">
        <v>0</v>
      </c>
      <c r="T30" s="169" t="n">
        <v>0</v>
      </c>
      <c r="U30" s="169" t="n">
        <v>0</v>
      </c>
      <c r="V30" s="169" t="n">
        <v>0</v>
      </c>
      <c r="W30" s="169" t="n">
        <v>0</v>
      </c>
      <c r="X30" s="169" t="n">
        <v>0</v>
      </c>
      <c r="Y30" s="169" t="n">
        <v>0</v>
      </c>
      <c r="Z30" s="169" t="n">
        <v>0</v>
      </c>
      <c r="AA30" s="169" t="n">
        <v>25661.3</v>
      </c>
      <c r="AB30" s="172" t="n"/>
      <c r="AC30" s="140" t="n">
        <v>0.0027</v>
      </c>
    </row>
    <row r="31" outlineLevel="1" s="86">
      <c r="B31" s="138" t="inlineStr">
        <is>
          <t xml:space="preserve">    Premiações e Abonos</t>
        </is>
      </c>
      <c r="C31" s="169" t="n">
        <v>0</v>
      </c>
      <c r="D31" s="169" t="n">
        <v>0</v>
      </c>
      <c r="E31" s="169" t="n">
        <v>0</v>
      </c>
      <c r="F31" s="169" t="n">
        <v>0</v>
      </c>
      <c r="G31" s="169" t="n">
        <v>0</v>
      </c>
      <c r="H31" s="169" t="n">
        <v>300</v>
      </c>
      <c r="I31" s="169" t="n">
        <v>0</v>
      </c>
      <c r="J31" s="169" t="n">
        <v>0</v>
      </c>
      <c r="K31" s="169" t="n">
        <v>0</v>
      </c>
      <c r="L31" s="169" t="n">
        <v>0</v>
      </c>
      <c r="M31" s="169" t="n">
        <v>200</v>
      </c>
      <c r="N31" s="169" t="n">
        <v>0</v>
      </c>
      <c r="O31" s="169" t="n">
        <v>650</v>
      </c>
      <c r="P31" s="169" t="n">
        <v>0</v>
      </c>
      <c r="Q31" s="169" t="n">
        <v>0</v>
      </c>
      <c r="R31" s="169" t="n">
        <v>0</v>
      </c>
      <c r="S31" s="169" t="n">
        <v>0</v>
      </c>
      <c r="T31" s="169" t="n">
        <v>1508.5</v>
      </c>
      <c r="U31" s="169" t="n">
        <v>0</v>
      </c>
      <c r="V31" s="169" t="n">
        <v>0</v>
      </c>
      <c r="W31" s="169" t="n">
        <v>0</v>
      </c>
      <c r="X31" s="169" t="n">
        <v>0</v>
      </c>
      <c r="Y31" s="169" t="n">
        <v>0</v>
      </c>
      <c r="Z31" s="169" t="n">
        <v>0</v>
      </c>
      <c r="AA31" s="169" t="n">
        <v>2658.5</v>
      </c>
      <c r="AB31" s="172" t="n"/>
      <c r="AC31" s="140" t="n">
        <v>0.0003</v>
      </c>
    </row>
    <row r="32" outlineLevel="1" s="86">
      <c r="B32" s="138" t="inlineStr">
        <is>
          <t xml:space="preserve">    Uniforme e EPIs</t>
        </is>
      </c>
      <c r="C32" s="169" t="n">
        <v>0</v>
      </c>
      <c r="D32" s="169" t="n">
        <v>0</v>
      </c>
      <c r="E32" s="169" t="n">
        <v>0</v>
      </c>
      <c r="F32" s="169" t="n">
        <v>0</v>
      </c>
      <c r="G32" s="169" t="n">
        <v>0</v>
      </c>
      <c r="H32" s="169" t="n">
        <v>0</v>
      </c>
      <c r="I32" s="169" t="n">
        <v>2448</v>
      </c>
      <c r="J32" s="169" t="n">
        <v>0</v>
      </c>
      <c r="K32" s="169" t="n">
        <v>0</v>
      </c>
      <c r="L32" s="169" t="n">
        <v>0</v>
      </c>
      <c r="M32" s="169" t="n">
        <v>0</v>
      </c>
      <c r="N32" s="169" t="n">
        <v>0</v>
      </c>
      <c r="O32" s="169" t="n">
        <v>0</v>
      </c>
      <c r="P32" s="169" t="n">
        <v>0</v>
      </c>
      <c r="Q32" s="169" t="n">
        <v>0</v>
      </c>
      <c r="R32" s="169" t="n">
        <v>0</v>
      </c>
      <c r="S32" s="169" t="n">
        <v>0</v>
      </c>
      <c r="T32" s="169" t="n">
        <v>0</v>
      </c>
      <c r="U32" s="169" t="n">
        <v>0</v>
      </c>
      <c r="V32" s="169" t="n">
        <v>0</v>
      </c>
      <c r="W32" s="169" t="n">
        <v>0</v>
      </c>
      <c r="X32" s="169" t="n">
        <v>0</v>
      </c>
      <c r="Y32" s="169" t="n">
        <v>0</v>
      </c>
      <c r="Z32" s="169" t="n">
        <v>0</v>
      </c>
      <c r="AA32" s="169" t="n">
        <v>2448</v>
      </c>
      <c r="AB32" s="172" t="n"/>
      <c r="AC32" s="140" t="n">
        <v>0.0003</v>
      </c>
    </row>
    <row r="33" outlineLevel="1" s="86">
      <c r="B33" s="138" t="inlineStr">
        <is>
          <t xml:space="preserve">    Despesa com Sindicatos</t>
        </is>
      </c>
      <c r="C33" s="169" t="n">
        <v>0</v>
      </c>
      <c r="D33" s="169" t="n">
        <v>0</v>
      </c>
      <c r="E33" s="169" t="n">
        <v>0</v>
      </c>
      <c r="F33" s="169" t="n">
        <v>0</v>
      </c>
      <c r="G33" s="169" t="n">
        <v>0</v>
      </c>
      <c r="H33" s="169" t="n">
        <v>800</v>
      </c>
      <c r="I33" s="169" t="n">
        <v>0</v>
      </c>
      <c r="J33" s="169" t="n">
        <v>49.9</v>
      </c>
      <c r="K33" s="169" t="n">
        <v>697.87</v>
      </c>
      <c r="L33" s="169" t="n">
        <v>49.9</v>
      </c>
      <c r="M33" s="169" t="n">
        <v>49.9</v>
      </c>
      <c r="N33" s="169" t="n">
        <v>49.9</v>
      </c>
      <c r="O33" s="169" t="n">
        <v>49.9</v>
      </c>
      <c r="P33" s="169" t="n">
        <v>49.9</v>
      </c>
      <c r="Q33" s="169" t="n">
        <v>67.40000000000001</v>
      </c>
      <c r="R33" s="169" t="n">
        <v>49.9</v>
      </c>
      <c r="S33" s="169" t="n">
        <v>0</v>
      </c>
      <c r="T33" s="169" t="n">
        <v>0</v>
      </c>
      <c r="U33" s="169" t="n">
        <v>0</v>
      </c>
      <c r="V33" s="169" t="n">
        <v>0</v>
      </c>
      <c r="W33" s="169" t="n">
        <v>0</v>
      </c>
      <c r="X33" s="169" t="n">
        <v>0</v>
      </c>
      <c r="Y33" s="169" t="n">
        <v>0</v>
      </c>
      <c r="Z33" s="169" t="n">
        <v>0</v>
      </c>
      <c r="AA33" s="169" t="n">
        <v>1914.57</v>
      </c>
      <c r="AB33" s="172" t="n"/>
      <c r="AC33" s="140" t="n">
        <v>0.0002</v>
      </c>
    </row>
    <row r="34" outlineLevel="1" s="86">
      <c r="B34" s="138" t="inlineStr">
        <is>
          <t xml:space="preserve">    Exame Adminissional/Demissional</t>
        </is>
      </c>
      <c r="C34" s="169" t="n">
        <v>0</v>
      </c>
      <c r="D34" s="169" t="n">
        <v>0</v>
      </c>
      <c r="E34" s="169" t="n">
        <v>0</v>
      </c>
      <c r="F34" s="169" t="n">
        <v>20</v>
      </c>
      <c r="G34" s="169" t="n">
        <v>30</v>
      </c>
      <c r="H34" s="169" t="n">
        <v>40</v>
      </c>
      <c r="I34" s="169" t="n">
        <v>35</v>
      </c>
      <c r="J34" s="169" t="n">
        <v>0</v>
      </c>
      <c r="K34" s="169" t="n">
        <v>0</v>
      </c>
      <c r="L34" s="169" t="n">
        <v>30</v>
      </c>
      <c r="M34" s="169" t="n">
        <v>0</v>
      </c>
      <c r="N34" s="169" t="n">
        <v>30</v>
      </c>
      <c r="O34" s="169" t="n">
        <v>0</v>
      </c>
      <c r="P34" s="169" t="n">
        <v>0</v>
      </c>
      <c r="Q34" s="169" t="n">
        <v>0</v>
      </c>
      <c r="R34" s="169" t="n">
        <v>0</v>
      </c>
      <c r="S34" s="169" t="n">
        <v>40</v>
      </c>
      <c r="T34" s="169" t="n">
        <v>0</v>
      </c>
      <c r="U34" s="169" t="n">
        <v>0</v>
      </c>
      <c r="V34" s="169" t="n">
        <v>0</v>
      </c>
      <c r="W34" s="169" t="n">
        <v>0</v>
      </c>
      <c r="X34" s="169" t="n">
        <v>0</v>
      </c>
      <c r="Y34" s="169" t="n">
        <v>280</v>
      </c>
      <c r="Z34" s="169" t="n">
        <v>80</v>
      </c>
      <c r="AA34" s="169" t="n">
        <v>585</v>
      </c>
      <c r="AB34" s="172" t="n">
        <v>-0.7143</v>
      </c>
      <c r="AC34" s="140" t="n">
        <v>0.0001</v>
      </c>
    </row>
    <row r="35">
      <c r="B35" s="141" t="inlineStr">
        <is>
          <t>(=) TOTAL DESPESAS COM PESSOAL</t>
        </is>
      </c>
      <c r="C35" s="171" t="n">
        <v>0</v>
      </c>
      <c r="D35" s="171" t="n">
        <v>0</v>
      </c>
      <c r="E35" s="171" t="n">
        <v>5300</v>
      </c>
      <c r="F35" s="171" t="n">
        <v>34502.05</v>
      </c>
      <c r="G35" s="171" t="n">
        <v>26817.98</v>
      </c>
      <c r="H35" s="171" t="n">
        <v>37648.08</v>
      </c>
      <c r="I35" s="171" t="n">
        <v>38379.29</v>
      </c>
      <c r="J35" s="171" t="n">
        <v>34459.51</v>
      </c>
      <c r="K35" s="171" t="n">
        <v>36451.76</v>
      </c>
      <c r="L35" s="171" t="n">
        <v>37361.93</v>
      </c>
      <c r="M35" s="171" t="n">
        <v>34456.3</v>
      </c>
      <c r="N35" s="171" t="n">
        <v>26677.22</v>
      </c>
      <c r="O35" s="171" t="n">
        <v>31079.16</v>
      </c>
      <c r="P35" s="171" t="n">
        <v>46351.49</v>
      </c>
      <c r="Q35" s="171" t="n">
        <v>59354.18</v>
      </c>
      <c r="R35" s="171" t="n">
        <v>70511.63</v>
      </c>
      <c r="S35" s="171" t="n">
        <v>45939.2</v>
      </c>
      <c r="T35" s="171" t="n">
        <v>46835.71</v>
      </c>
      <c r="U35" s="171" t="n">
        <v>43409.57</v>
      </c>
      <c r="V35" s="171" t="n">
        <v>43306.3</v>
      </c>
      <c r="W35" s="171" t="n">
        <v>35040.14</v>
      </c>
      <c r="X35" s="171" t="n">
        <v>26789.19</v>
      </c>
      <c r="Y35" s="171" t="n">
        <v>37960.59</v>
      </c>
      <c r="Z35" s="171" t="n">
        <v>99262.28999999999</v>
      </c>
      <c r="AA35" s="171" t="n">
        <v>897893.5699999999</v>
      </c>
      <c r="AB35" s="172" t="n">
        <v>1.6149</v>
      </c>
      <c r="AC35" s="140" t="n">
        <v>0.0948</v>
      </c>
    </row>
    <row r="36">
      <c r="B36" s="136" t="inlineStr">
        <is>
          <t>(-) DESPESAS ADMINISTRATIVAS E GERAIS</t>
        </is>
      </c>
      <c r="C36" s="137" t="n"/>
      <c r="D36" s="137" t="n"/>
      <c r="E36" s="137" t="n"/>
      <c r="F36" s="137" t="n"/>
      <c r="G36" s="137" t="n"/>
      <c r="H36" s="137" t="n"/>
      <c r="I36" s="137" t="n"/>
      <c r="J36" s="137" t="n"/>
      <c r="K36" s="137" t="n"/>
      <c r="L36" s="137" t="n"/>
      <c r="M36" s="137" t="n"/>
      <c r="N36" s="137" t="n"/>
      <c r="O36" s="137" t="n"/>
      <c r="P36" s="137" t="n"/>
      <c r="Q36" s="137" t="n"/>
      <c r="R36" s="137" t="n"/>
      <c r="S36" s="137" t="n"/>
      <c r="T36" s="137" t="n"/>
      <c r="U36" s="137" t="n"/>
      <c r="V36" s="137" t="n"/>
      <c r="W36" s="137" t="n"/>
      <c r="X36" s="137" t="n"/>
      <c r="Y36" s="137" t="n"/>
      <c r="Z36" s="137" t="n"/>
      <c r="AA36" s="137" t="n"/>
    </row>
    <row r="37" outlineLevel="1" s="86">
      <c r="B37" s="138" t="inlineStr">
        <is>
          <t xml:space="preserve">    Outras Despesas</t>
        </is>
      </c>
      <c r="C37" s="169" t="n">
        <v>0</v>
      </c>
      <c r="D37" s="169" t="n">
        <v>0</v>
      </c>
      <c r="E37" s="169" t="n">
        <v>0</v>
      </c>
      <c r="F37" s="169" t="n">
        <v>0</v>
      </c>
      <c r="G37" s="169" t="n">
        <v>50000</v>
      </c>
      <c r="H37" s="169" t="n">
        <v>50000</v>
      </c>
      <c r="I37" s="169" t="n">
        <v>50000</v>
      </c>
      <c r="J37" s="169" t="n">
        <v>50087.5</v>
      </c>
      <c r="K37" s="169" t="n">
        <v>50000</v>
      </c>
      <c r="L37" s="169" t="n">
        <v>50000</v>
      </c>
      <c r="M37" s="169" t="n">
        <v>50150</v>
      </c>
      <c r="N37" s="169" t="n">
        <v>50180</v>
      </c>
      <c r="O37" s="169" t="n">
        <v>50000</v>
      </c>
      <c r="P37" s="169" t="n">
        <v>69.01000000000001</v>
      </c>
      <c r="Q37" s="169" t="n">
        <v>20136.76</v>
      </c>
      <c r="R37" s="169" t="n">
        <v>0</v>
      </c>
      <c r="S37" s="169" t="n">
        <v>668</v>
      </c>
      <c r="T37" s="169" t="n">
        <v>0</v>
      </c>
      <c r="U37" s="169" t="n">
        <v>0</v>
      </c>
      <c r="V37" s="169" t="n">
        <v>100</v>
      </c>
      <c r="W37" s="169" t="n">
        <v>0</v>
      </c>
      <c r="X37" s="169" t="n">
        <v>0</v>
      </c>
      <c r="Y37" s="169" t="n">
        <v>0</v>
      </c>
      <c r="Z37" s="169" t="n">
        <v>0</v>
      </c>
      <c r="AA37" s="169" t="n">
        <v>471391.27</v>
      </c>
      <c r="AB37" s="172" t="n"/>
      <c r="AC37" s="140" t="n">
        <v>0.0498</v>
      </c>
    </row>
    <row r="38" outlineLevel="1" s="86">
      <c r="B38" s="138" t="inlineStr">
        <is>
          <t xml:space="preserve">    Aluguéis e Condomínios</t>
        </is>
      </c>
      <c r="C38" s="169" t="n">
        <v>3885</v>
      </c>
      <c r="D38" s="169" t="n">
        <v>0</v>
      </c>
      <c r="E38" s="169" t="n">
        <v>0</v>
      </c>
      <c r="F38" s="169" t="n">
        <v>5263</v>
      </c>
      <c r="G38" s="169" t="n">
        <v>5275.93</v>
      </c>
      <c r="H38" s="169" t="n">
        <v>5919.74</v>
      </c>
      <c r="I38" s="169" t="n">
        <v>5514.62</v>
      </c>
      <c r="J38" s="169" t="n">
        <v>5667.46</v>
      </c>
      <c r="K38" s="169" t="n">
        <v>5501</v>
      </c>
      <c r="L38" s="169" t="n">
        <v>5618.94</v>
      </c>
      <c r="M38" s="169" t="n">
        <v>6582.13</v>
      </c>
      <c r="N38" s="169" t="n">
        <v>5713.82</v>
      </c>
      <c r="O38" s="169" t="n">
        <v>10116.52</v>
      </c>
      <c r="P38" s="169" t="n">
        <v>1803.81</v>
      </c>
      <c r="Q38" s="169" t="n">
        <v>0</v>
      </c>
      <c r="R38" s="169" t="n">
        <v>7600</v>
      </c>
      <c r="S38" s="169" t="n">
        <v>8100</v>
      </c>
      <c r="T38" s="169" t="n">
        <v>8100</v>
      </c>
      <c r="U38" s="169" t="n">
        <v>8100</v>
      </c>
      <c r="V38" s="169" t="n">
        <v>8100</v>
      </c>
      <c r="W38" s="169" t="n">
        <v>0</v>
      </c>
      <c r="X38" s="169" t="n">
        <v>0</v>
      </c>
      <c r="Y38" s="169" t="n">
        <v>0</v>
      </c>
      <c r="Z38" s="169" t="n">
        <v>6484</v>
      </c>
      <c r="AA38" s="169" t="n">
        <v>113345.97</v>
      </c>
      <c r="AB38" s="172" t="n"/>
      <c r="AC38" s="140" t="n">
        <v>0.012</v>
      </c>
    </row>
    <row r="39" outlineLevel="1" s="86">
      <c r="B39" s="138" t="inlineStr">
        <is>
          <t xml:space="preserve">    Tecidos</t>
        </is>
      </c>
      <c r="C39" s="169" t="n">
        <v>0</v>
      </c>
      <c r="D39" s="169" t="n">
        <v>0</v>
      </c>
      <c r="E39" s="169" t="n">
        <v>0</v>
      </c>
      <c r="F39" s="169" t="n">
        <v>0</v>
      </c>
      <c r="G39" s="169" t="n">
        <v>0</v>
      </c>
      <c r="H39" s="169" t="n">
        <v>0</v>
      </c>
      <c r="I39" s="169" t="n">
        <v>0</v>
      </c>
      <c r="J39" s="169" t="n">
        <v>0</v>
      </c>
      <c r="K39" s="169" t="n">
        <v>0</v>
      </c>
      <c r="L39" s="169" t="n">
        <v>0</v>
      </c>
      <c r="M39" s="169" t="n">
        <v>0</v>
      </c>
      <c r="N39" s="169" t="n">
        <v>0</v>
      </c>
      <c r="O39" s="169" t="n">
        <v>0</v>
      </c>
      <c r="P39" s="169" t="n">
        <v>0</v>
      </c>
      <c r="Q39" s="169" t="n">
        <v>0</v>
      </c>
      <c r="R39" s="169" t="n">
        <v>0</v>
      </c>
      <c r="S39" s="169" t="n">
        <v>0</v>
      </c>
      <c r="T39" s="169" t="n">
        <v>0</v>
      </c>
      <c r="U39" s="169" t="n">
        <v>0</v>
      </c>
      <c r="V39" s="169" t="n">
        <v>0</v>
      </c>
      <c r="W39" s="169" t="n">
        <v>0</v>
      </c>
      <c r="X39" s="169" t="n">
        <v>2527.87</v>
      </c>
      <c r="Y39" s="169" t="n">
        <v>47472.48</v>
      </c>
      <c r="Z39" s="169" t="n">
        <v>22076.14</v>
      </c>
      <c r="AA39" s="169" t="n">
        <v>72076.49000000001</v>
      </c>
      <c r="AB39" s="172" t="n">
        <v>-0.535</v>
      </c>
      <c r="AC39" s="140" t="n">
        <v>0.0076</v>
      </c>
    </row>
    <row r="40" outlineLevel="1" s="86">
      <c r="B40" s="138" t="inlineStr">
        <is>
          <t xml:space="preserve">    Publicidade</t>
        </is>
      </c>
      <c r="C40" s="169" t="n">
        <v>0</v>
      </c>
      <c r="D40" s="169" t="n">
        <v>0</v>
      </c>
      <c r="E40" s="169" t="n">
        <v>0</v>
      </c>
      <c r="F40" s="169" t="n">
        <v>3930</v>
      </c>
      <c r="G40" s="169" t="n">
        <v>2195.42</v>
      </c>
      <c r="H40" s="169" t="n">
        <v>572.47</v>
      </c>
      <c r="I40" s="169" t="n">
        <v>3907.98</v>
      </c>
      <c r="J40" s="169" t="n">
        <v>4520.65</v>
      </c>
      <c r="K40" s="169" t="n">
        <v>5617.27</v>
      </c>
      <c r="L40" s="169" t="n">
        <v>3941.68</v>
      </c>
      <c r="M40" s="169" t="n">
        <v>7706</v>
      </c>
      <c r="N40" s="169" t="n">
        <v>5233.77</v>
      </c>
      <c r="O40" s="169" t="n">
        <v>2929.55</v>
      </c>
      <c r="P40" s="169" t="n">
        <v>5352</v>
      </c>
      <c r="Q40" s="169" t="n">
        <v>3990</v>
      </c>
      <c r="R40" s="169" t="n">
        <v>920</v>
      </c>
      <c r="S40" s="169" t="n">
        <v>560</v>
      </c>
      <c r="T40" s="169" t="n">
        <v>3950</v>
      </c>
      <c r="U40" s="169" t="n">
        <v>0</v>
      </c>
      <c r="V40" s="169" t="n">
        <v>3300</v>
      </c>
      <c r="W40" s="169" t="n">
        <v>0</v>
      </c>
      <c r="X40" s="169" t="n">
        <v>4320</v>
      </c>
      <c r="Y40" s="169" t="n">
        <v>0</v>
      </c>
      <c r="Z40" s="169" t="n">
        <v>2140</v>
      </c>
      <c r="AA40" s="169" t="n">
        <v>65086.79</v>
      </c>
      <c r="AB40" s="172" t="n"/>
      <c r="AC40" s="140" t="n">
        <v>0.0069</v>
      </c>
    </row>
    <row r="41" outlineLevel="1" s="86">
      <c r="B41" s="138" t="inlineStr">
        <is>
          <t xml:space="preserve">    Facção</t>
        </is>
      </c>
      <c r="C41" s="169" t="n">
        <v>0</v>
      </c>
      <c r="D41" s="169" t="n">
        <v>0</v>
      </c>
      <c r="E41" s="169" t="n">
        <v>0</v>
      </c>
      <c r="F41" s="169" t="n">
        <v>0</v>
      </c>
      <c r="G41" s="169" t="n">
        <v>0</v>
      </c>
      <c r="H41" s="169" t="n">
        <v>0</v>
      </c>
      <c r="I41" s="169" t="n">
        <v>0</v>
      </c>
      <c r="J41" s="169" t="n">
        <v>0</v>
      </c>
      <c r="K41" s="169" t="n">
        <v>0</v>
      </c>
      <c r="L41" s="169" t="n">
        <v>0</v>
      </c>
      <c r="M41" s="169" t="n">
        <v>0</v>
      </c>
      <c r="N41" s="169" t="n">
        <v>0</v>
      </c>
      <c r="O41" s="169" t="n">
        <v>0</v>
      </c>
      <c r="P41" s="169" t="n">
        <v>0</v>
      </c>
      <c r="Q41" s="169" t="n">
        <v>0</v>
      </c>
      <c r="R41" s="169" t="n">
        <v>0</v>
      </c>
      <c r="S41" s="169" t="n">
        <v>0</v>
      </c>
      <c r="T41" s="169" t="n">
        <v>0</v>
      </c>
      <c r="U41" s="169" t="n">
        <v>0</v>
      </c>
      <c r="V41" s="169" t="n">
        <v>0</v>
      </c>
      <c r="W41" s="169" t="n">
        <v>0</v>
      </c>
      <c r="X41" s="169" t="n">
        <v>7018</v>
      </c>
      <c r="Y41" s="169" t="n">
        <v>16368</v>
      </c>
      <c r="Z41" s="169" t="n">
        <v>20873</v>
      </c>
      <c r="AA41" s="169" t="n">
        <v>44259</v>
      </c>
      <c r="AB41" s="172" t="n">
        <v>0.2752</v>
      </c>
      <c r="AC41" s="140" t="n">
        <v>0.0047</v>
      </c>
    </row>
    <row r="42" outlineLevel="1" s="86">
      <c r="B42" s="138" t="inlineStr">
        <is>
          <t xml:space="preserve">    Assessoria Técnica Profissional</t>
        </is>
      </c>
      <c r="C42" s="169" t="n">
        <v>0</v>
      </c>
      <c r="D42" s="169" t="n">
        <v>0</v>
      </c>
      <c r="E42" s="169" t="n">
        <v>0</v>
      </c>
      <c r="F42" s="169" t="n">
        <v>0</v>
      </c>
      <c r="G42" s="169" t="n">
        <v>0</v>
      </c>
      <c r="H42" s="169" t="n">
        <v>0</v>
      </c>
      <c r="I42" s="169" t="n">
        <v>0</v>
      </c>
      <c r="J42" s="169" t="n">
        <v>0</v>
      </c>
      <c r="K42" s="169" t="n">
        <v>0</v>
      </c>
      <c r="L42" s="169" t="n">
        <v>0</v>
      </c>
      <c r="M42" s="169" t="n">
        <v>0</v>
      </c>
      <c r="N42" s="169" t="n">
        <v>0</v>
      </c>
      <c r="O42" s="169" t="n">
        <v>5000</v>
      </c>
      <c r="P42" s="169" t="n">
        <v>5000</v>
      </c>
      <c r="Q42" s="169" t="n">
        <v>5000</v>
      </c>
      <c r="R42" s="169" t="n">
        <v>5000</v>
      </c>
      <c r="S42" s="169" t="n">
        <v>5000</v>
      </c>
      <c r="T42" s="169" t="n">
        <v>3500</v>
      </c>
      <c r="U42" s="169" t="n">
        <v>3500</v>
      </c>
      <c r="V42" s="169" t="n">
        <v>3500</v>
      </c>
      <c r="W42" s="169" t="n">
        <v>3500</v>
      </c>
      <c r="X42" s="169" t="n">
        <v>0</v>
      </c>
      <c r="Y42" s="169" t="n">
        <v>0</v>
      </c>
      <c r="Z42" s="169" t="n">
        <v>3500</v>
      </c>
      <c r="AA42" s="169" t="n">
        <v>42500</v>
      </c>
      <c r="AB42" s="172" t="n"/>
      <c r="AC42" s="140" t="n">
        <v>0.0045</v>
      </c>
    </row>
    <row r="43" outlineLevel="1" s="86">
      <c r="B43" s="138" t="inlineStr">
        <is>
          <t xml:space="preserve">    Tráfego/Social Mídia</t>
        </is>
      </c>
      <c r="C43" s="169" t="n">
        <v>0</v>
      </c>
      <c r="D43" s="169" t="n">
        <v>0</v>
      </c>
      <c r="E43" s="169" t="n">
        <v>0</v>
      </c>
      <c r="F43" s="169" t="n">
        <v>0</v>
      </c>
      <c r="G43" s="169" t="n">
        <v>0</v>
      </c>
      <c r="H43" s="169" t="n">
        <v>0</v>
      </c>
      <c r="I43" s="169" t="n">
        <v>0</v>
      </c>
      <c r="J43" s="169" t="n">
        <v>0</v>
      </c>
      <c r="K43" s="169" t="n">
        <v>0</v>
      </c>
      <c r="L43" s="169" t="n">
        <v>0</v>
      </c>
      <c r="M43" s="169" t="n">
        <v>0</v>
      </c>
      <c r="N43" s="169" t="n">
        <v>0</v>
      </c>
      <c r="O43" s="169" t="n">
        <v>0</v>
      </c>
      <c r="P43" s="169" t="n">
        <v>0</v>
      </c>
      <c r="Q43" s="169" t="n">
        <v>0</v>
      </c>
      <c r="R43" s="169" t="n">
        <v>0</v>
      </c>
      <c r="S43" s="169" t="n">
        <v>989.17</v>
      </c>
      <c r="T43" s="169" t="n">
        <v>1677.63</v>
      </c>
      <c r="U43" s="169" t="n">
        <v>2147</v>
      </c>
      <c r="V43" s="169" t="n">
        <v>6721.75</v>
      </c>
      <c r="W43" s="169" t="n">
        <v>3544</v>
      </c>
      <c r="X43" s="169" t="n">
        <v>2681.2</v>
      </c>
      <c r="Y43" s="169" t="n">
        <v>2391.05</v>
      </c>
      <c r="Z43" s="169" t="n">
        <v>6609.14</v>
      </c>
      <c r="AA43" s="169" t="n">
        <v>26760.94</v>
      </c>
      <c r="AB43" s="172" t="n">
        <v>1.7641</v>
      </c>
      <c r="AC43" s="140" t="n">
        <v>0.0028</v>
      </c>
    </row>
    <row r="44" outlineLevel="1" s="86">
      <c r="B44" s="138" t="inlineStr">
        <is>
          <t xml:space="preserve">    Combustíveis</t>
        </is>
      </c>
      <c r="C44" s="169" t="n">
        <v>0</v>
      </c>
      <c r="D44" s="169" t="n">
        <v>0</v>
      </c>
      <c r="E44" s="169" t="n">
        <v>0</v>
      </c>
      <c r="F44" s="169" t="n">
        <v>0</v>
      </c>
      <c r="G44" s="169" t="n">
        <v>670.3</v>
      </c>
      <c r="H44" s="169" t="n">
        <v>887.51</v>
      </c>
      <c r="I44" s="169" t="n">
        <v>1040.05</v>
      </c>
      <c r="J44" s="169" t="n">
        <v>1396.51</v>
      </c>
      <c r="K44" s="169" t="n">
        <v>1719.58</v>
      </c>
      <c r="L44" s="169" t="n">
        <v>1557.11</v>
      </c>
      <c r="M44" s="169" t="n">
        <v>1816.77</v>
      </c>
      <c r="N44" s="169" t="n">
        <v>1422.23</v>
      </c>
      <c r="O44" s="169" t="n">
        <v>1274.16</v>
      </c>
      <c r="P44" s="169" t="n">
        <v>1773.48</v>
      </c>
      <c r="Q44" s="169" t="n">
        <v>1470.3</v>
      </c>
      <c r="R44" s="169" t="n">
        <v>839.51</v>
      </c>
      <c r="S44" s="169" t="n">
        <v>1136.03</v>
      </c>
      <c r="T44" s="169" t="n">
        <v>1421.38</v>
      </c>
      <c r="U44" s="169" t="n">
        <v>1349.31</v>
      </c>
      <c r="V44" s="169" t="n">
        <v>967.75</v>
      </c>
      <c r="W44" s="169" t="n">
        <v>0</v>
      </c>
      <c r="X44" s="169" t="n">
        <v>1347</v>
      </c>
      <c r="Y44" s="169" t="n">
        <v>841</v>
      </c>
      <c r="Z44" s="169" t="n">
        <v>673.28</v>
      </c>
      <c r="AA44" s="169" t="n">
        <v>23603.26</v>
      </c>
      <c r="AB44" s="172" t="n">
        <v>-0.1994</v>
      </c>
      <c r="AC44" s="140" t="n">
        <v>0.0025</v>
      </c>
    </row>
    <row r="45" outlineLevel="1" s="86">
      <c r="B45" s="138" t="inlineStr">
        <is>
          <t xml:space="preserve">    Advogados - Honorários</t>
        </is>
      </c>
      <c r="C45" s="169" t="n">
        <v>0</v>
      </c>
      <c r="D45" s="169" t="n">
        <v>0</v>
      </c>
      <c r="E45" s="169" t="n">
        <v>0</v>
      </c>
      <c r="F45" s="169" t="n">
        <v>0</v>
      </c>
      <c r="G45" s="169" t="n">
        <v>0</v>
      </c>
      <c r="H45" s="169" t="n">
        <v>0</v>
      </c>
      <c r="I45" s="169" t="n">
        <v>0</v>
      </c>
      <c r="J45" s="169" t="n">
        <v>0</v>
      </c>
      <c r="K45" s="169" t="n">
        <v>0</v>
      </c>
      <c r="L45" s="169" t="n">
        <v>0</v>
      </c>
      <c r="M45" s="169" t="n">
        <v>0</v>
      </c>
      <c r="N45" s="169" t="n">
        <v>0</v>
      </c>
      <c r="O45" s="169" t="n">
        <v>2500</v>
      </c>
      <c r="P45" s="169" t="n">
        <v>2500</v>
      </c>
      <c r="Q45" s="169" t="n">
        <v>0</v>
      </c>
      <c r="R45" s="169" t="n">
        <v>2500</v>
      </c>
      <c r="S45" s="169" t="n">
        <v>2500</v>
      </c>
      <c r="T45" s="169" t="n">
        <v>2500</v>
      </c>
      <c r="U45" s="169" t="n">
        <v>2500</v>
      </c>
      <c r="V45" s="169" t="n">
        <v>2500</v>
      </c>
      <c r="W45" s="169" t="n">
        <v>2500</v>
      </c>
      <c r="X45" s="169" t="n">
        <v>0</v>
      </c>
      <c r="Y45" s="169" t="n">
        <v>0</v>
      </c>
      <c r="Z45" s="169" t="n">
        <v>2500</v>
      </c>
      <c r="AA45" s="169" t="n">
        <v>22500</v>
      </c>
      <c r="AB45" s="172" t="n"/>
      <c r="AC45" s="140" t="n">
        <v>0.0024</v>
      </c>
    </row>
    <row r="46" outlineLevel="1" s="86">
      <c r="B46" s="138" t="inlineStr">
        <is>
          <t xml:space="preserve">    Web Site e Sistema ERP</t>
        </is>
      </c>
      <c r="C46" s="169" t="n">
        <v>0</v>
      </c>
      <c r="D46" s="169" t="n">
        <v>0</v>
      </c>
      <c r="E46" s="169" t="n">
        <v>0</v>
      </c>
      <c r="F46" s="169" t="n">
        <v>0</v>
      </c>
      <c r="G46" s="169" t="n">
        <v>0</v>
      </c>
      <c r="H46" s="169" t="n">
        <v>0</v>
      </c>
      <c r="I46" s="169" t="n">
        <v>0</v>
      </c>
      <c r="J46" s="169" t="n">
        <v>0</v>
      </c>
      <c r="K46" s="169" t="n">
        <v>0</v>
      </c>
      <c r="L46" s="169" t="n">
        <v>957</v>
      </c>
      <c r="M46" s="169" t="n">
        <v>957</v>
      </c>
      <c r="N46" s="169" t="n">
        <v>957</v>
      </c>
      <c r="O46" s="169" t="n">
        <v>957</v>
      </c>
      <c r="P46" s="169" t="n">
        <v>957</v>
      </c>
      <c r="Q46" s="169" t="n">
        <v>957</v>
      </c>
      <c r="R46" s="169" t="n">
        <v>957</v>
      </c>
      <c r="S46" s="169" t="n">
        <v>957</v>
      </c>
      <c r="T46" s="169" t="n">
        <v>1085</v>
      </c>
      <c r="U46" s="169" t="n">
        <v>957</v>
      </c>
      <c r="V46" s="169" t="n">
        <v>1456.4</v>
      </c>
      <c r="W46" s="169" t="n">
        <v>1456.4</v>
      </c>
      <c r="X46" s="169" t="n">
        <v>1321</v>
      </c>
      <c r="Y46" s="169" t="n">
        <v>4320</v>
      </c>
      <c r="Z46" s="169" t="n">
        <v>1819.4</v>
      </c>
      <c r="AA46" s="169" t="n">
        <v>20071.2</v>
      </c>
      <c r="AB46" s="172" t="n">
        <v>-0.5788</v>
      </c>
      <c r="AC46" s="140" t="n">
        <v>0.0021</v>
      </c>
    </row>
    <row r="47" outlineLevel="1" s="86">
      <c r="B47" s="138" t="inlineStr">
        <is>
          <t xml:space="preserve">    Honorários Contábeis (Contabilidade)</t>
        </is>
      </c>
      <c r="C47" s="169" t="n">
        <v>0</v>
      </c>
      <c r="D47" s="169" t="n">
        <v>0</v>
      </c>
      <c r="E47" s="169" t="n">
        <v>0</v>
      </c>
      <c r="F47" s="169" t="n">
        <v>0</v>
      </c>
      <c r="G47" s="169" t="n">
        <v>1100</v>
      </c>
      <c r="H47" s="169" t="n">
        <v>1100</v>
      </c>
      <c r="I47" s="169" t="n">
        <v>1100</v>
      </c>
      <c r="J47" s="169" t="n">
        <v>1100</v>
      </c>
      <c r="K47" s="169" t="n">
        <v>1100</v>
      </c>
      <c r="L47" s="169" t="n">
        <v>1100</v>
      </c>
      <c r="M47" s="169" t="n">
        <v>1100</v>
      </c>
      <c r="N47" s="169" t="n">
        <v>1100</v>
      </c>
      <c r="O47" s="169" t="n">
        <v>1100</v>
      </c>
      <c r="P47" s="169" t="n">
        <v>1100</v>
      </c>
      <c r="Q47" s="169" t="n">
        <v>1100</v>
      </c>
      <c r="R47" s="169" t="n">
        <v>1100</v>
      </c>
      <c r="S47" s="169" t="n">
        <v>1100</v>
      </c>
      <c r="T47" s="169" t="n">
        <v>1100</v>
      </c>
      <c r="U47" s="169" t="n">
        <v>1100</v>
      </c>
      <c r="V47" s="169" t="n">
        <v>1100</v>
      </c>
      <c r="W47" s="169" t="n">
        <v>1100</v>
      </c>
      <c r="X47" s="169" t="n">
        <v>0</v>
      </c>
      <c r="Y47" s="169" t="n">
        <v>0</v>
      </c>
      <c r="Z47" s="169" t="n">
        <v>1100</v>
      </c>
      <c r="AA47" s="169" t="n">
        <v>19800</v>
      </c>
      <c r="AB47" s="172" t="n"/>
      <c r="AC47" s="140" t="n">
        <v>0.0021</v>
      </c>
    </row>
    <row r="48" outlineLevel="1" s="86">
      <c r="B48" s="138" t="inlineStr">
        <is>
          <t xml:space="preserve">    Compra de Veículos</t>
        </is>
      </c>
      <c r="C48" s="169" t="n">
        <v>0</v>
      </c>
      <c r="D48" s="169" t="n">
        <v>0</v>
      </c>
      <c r="E48" s="169" t="n">
        <v>0</v>
      </c>
      <c r="F48" s="169" t="n">
        <v>0</v>
      </c>
      <c r="G48" s="169" t="n">
        <v>0</v>
      </c>
      <c r="H48" s="169" t="n">
        <v>0</v>
      </c>
      <c r="I48" s="169" t="n">
        <v>0</v>
      </c>
      <c r="J48" s="169" t="n">
        <v>0</v>
      </c>
      <c r="K48" s="169" t="n">
        <v>0</v>
      </c>
      <c r="L48" s="169" t="n">
        <v>15678</v>
      </c>
      <c r="M48" s="169" t="n">
        <v>0</v>
      </c>
      <c r="N48" s="169" t="n">
        <v>0</v>
      </c>
      <c r="O48" s="169" t="n">
        <v>0</v>
      </c>
      <c r="P48" s="169" t="n">
        <v>0</v>
      </c>
      <c r="Q48" s="169" t="n">
        <v>0</v>
      </c>
      <c r="R48" s="169" t="n">
        <v>0</v>
      </c>
      <c r="S48" s="169" t="n">
        <v>0</v>
      </c>
      <c r="T48" s="169" t="n">
        <v>0</v>
      </c>
      <c r="U48" s="169" t="n">
        <v>0</v>
      </c>
      <c r="V48" s="169" t="n">
        <v>0</v>
      </c>
      <c r="W48" s="169" t="n">
        <v>0</v>
      </c>
      <c r="X48" s="169" t="n">
        <v>0</v>
      </c>
      <c r="Y48" s="169" t="n">
        <v>0</v>
      </c>
      <c r="Z48" s="169" t="n">
        <v>0</v>
      </c>
      <c r="AA48" s="169" t="n">
        <v>15678</v>
      </c>
      <c r="AB48" s="172" t="n"/>
      <c r="AC48" s="140" t="n">
        <v>0.0017</v>
      </c>
    </row>
    <row r="49" outlineLevel="1" s="86">
      <c r="B49" s="138" t="inlineStr">
        <is>
          <t xml:space="preserve">    PROVISÃO CDK</t>
        </is>
      </c>
      <c r="C49" s="169" t="n">
        <v>0</v>
      </c>
      <c r="D49" s="169" t="n">
        <v>0</v>
      </c>
      <c r="E49" s="169" t="n">
        <v>0</v>
      </c>
      <c r="F49" s="169" t="n">
        <v>0</v>
      </c>
      <c r="G49" s="169" t="n">
        <v>0</v>
      </c>
      <c r="H49" s="169" t="n">
        <v>0</v>
      </c>
      <c r="I49" s="169" t="n">
        <v>0</v>
      </c>
      <c r="J49" s="169" t="n">
        <v>0</v>
      </c>
      <c r="K49" s="169" t="n">
        <v>0</v>
      </c>
      <c r="L49" s="169" t="n">
        <v>0</v>
      </c>
      <c r="M49" s="169" t="n">
        <v>0</v>
      </c>
      <c r="N49" s="169" t="n">
        <v>0</v>
      </c>
      <c r="O49" s="169" t="n">
        <v>0</v>
      </c>
      <c r="P49" s="169" t="n">
        <v>0</v>
      </c>
      <c r="Q49" s="169" t="n">
        <v>0</v>
      </c>
      <c r="R49" s="169" t="n">
        <v>0</v>
      </c>
      <c r="S49" s="169" t="n">
        <v>0</v>
      </c>
      <c r="T49" s="169" t="n">
        <v>0</v>
      </c>
      <c r="U49" s="169" t="n">
        <v>0</v>
      </c>
      <c r="V49" s="169" t="n">
        <v>0</v>
      </c>
      <c r="W49" s="169" t="n">
        <v>0</v>
      </c>
      <c r="X49" s="169" t="n">
        <v>4843.3</v>
      </c>
      <c r="Y49" s="169" t="n">
        <v>6998.2</v>
      </c>
      <c r="Z49" s="169" t="n">
        <v>0</v>
      </c>
      <c r="AA49" s="169" t="n">
        <v>11841.5</v>
      </c>
      <c r="AB49" s="172" t="n">
        <v>-1</v>
      </c>
      <c r="AC49" s="140" t="n">
        <v>0.0013</v>
      </c>
    </row>
    <row r="50" outlineLevel="1" s="86">
      <c r="B50" s="138" t="inlineStr">
        <is>
          <t xml:space="preserve">    Seguros</t>
        </is>
      </c>
      <c r="C50" s="169" t="n">
        <v>0</v>
      </c>
      <c r="D50" s="169" t="n">
        <v>0</v>
      </c>
      <c r="E50" s="169" t="n">
        <v>0</v>
      </c>
      <c r="F50" s="169" t="n">
        <v>428.66</v>
      </c>
      <c r="G50" s="169" t="n">
        <v>463</v>
      </c>
      <c r="H50" s="169" t="n">
        <v>269.82</v>
      </c>
      <c r="I50" s="169" t="n">
        <v>269.82</v>
      </c>
      <c r="J50" s="169" t="n">
        <v>269.84</v>
      </c>
      <c r="K50" s="169" t="n">
        <v>269.95</v>
      </c>
      <c r="L50" s="169" t="n">
        <v>270.22</v>
      </c>
      <c r="M50" s="169" t="n">
        <v>269.82</v>
      </c>
      <c r="N50" s="169" t="n">
        <v>269.82</v>
      </c>
      <c r="O50" s="169" t="n">
        <v>269.82</v>
      </c>
      <c r="P50" s="169" t="n">
        <v>269.82</v>
      </c>
      <c r="Q50" s="169" t="n">
        <v>269.82</v>
      </c>
      <c r="R50" s="169" t="n">
        <v>265.92</v>
      </c>
      <c r="S50" s="169" t="n">
        <v>1195.15</v>
      </c>
      <c r="T50" s="169" t="n">
        <v>928.23</v>
      </c>
      <c r="U50" s="169" t="n">
        <v>1198.14</v>
      </c>
      <c r="V50" s="169" t="n">
        <v>1198.14</v>
      </c>
      <c r="W50" s="169" t="n">
        <v>1198.14</v>
      </c>
      <c r="X50" s="169" t="n">
        <v>267.86</v>
      </c>
      <c r="Y50" s="169" t="n">
        <v>0</v>
      </c>
      <c r="Z50" s="169" t="n">
        <v>1198.14</v>
      </c>
      <c r="AA50" s="169" t="n">
        <v>11040.13</v>
      </c>
      <c r="AB50" s="172" t="n"/>
      <c r="AC50" s="140" t="n">
        <v>0.0012</v>
      </c>
    </row>
    <row r="51" outlineLevel="1" s="86">
      <c r="B51" s="138" t="inlineStr">
        <is>
          <t xml:space="preserve">    Acabamento Externo</t>
        </is>
      </c>
      <c r="C51" s="169" t="n">
        <v>0</v>
      </c>
      <c r="D51" s="169" t="n">
        <v>0</v>
      </c>
      <c r="E51" s="169" t="n">
        <v>0</v>
      </c>
      <c r="F51" s="169" t="n">
        <v>0</v>
      </c>
      <c r="G51" s="169" t="n">
        <v>0</v>
      </c>
      <c r="H51" s="169" t="n">
        <v>0</v>
      </c>
      <c r="I51" s="169" t="n">
        <v>0</v>
      </c>
      <c r="J51" s="169" t="n">
        <v>0</v>
      </c>
      <c r="K51" s="169" t="n">
        <v>0</v>
      </c>
      <c r="L51" s="169" t="n">
        <v>0</v>
      </c>
      <c r="M51" s="169" t="n">
        <v>0</v>
      </c>
      <c r="N51" s="169" t="n">
        <v>0</v>
      </c>
      <c r="O51" s="169" t="n">
        <v>0</v>
      </c>
      <c r="P51" s="169" t="n">
        <v>0</v>
      </c>
      <c r="Q51" s="169" t="n">
        <v>0</v>
      </c>
      <c r="R51" s="169" t="n">
        <v>0</v>
      </c>
      <c r="S51" s="169" t="n">
        <v>0</v>
      </c>
      <c r="T51" s="169" t="n">
        <v>0</v>
      </c>
      <c r="U51" s="169" t="n">
        <v>0</v>
      </c>
      <c r="V51" s="169" t="n">
        <v>0</v>
      </c>
      <c r="W51" s="169" t="n">
        <v>0</v>
      </c>
      <c r="X51" s="169" t="n">
        <v>396</v>
      </c>
      <c r="Y51" s="169" t="n">
        <v>6394</v>
      </c>
      <c r="Z51" s="169" t="n">
        <v>2932</v>
      </c>
      <c r="AA51" s="169" t="n">
        <v>9722</v>
      </c>
      <c r="AB51" s="172" t="n">
        <v>-0.5414</v>
      </c>
      <c r="AC51" s="140" t="n">
        <v>0.001</v>
      </c>
    </row>
    <row r="52" outlineLevel="1" s="86">
      <c r="B52" s="138" t="inlineStr">
        <is>
          <t xml:space="preserve">    Consulta de Crédito Cliente</t>
        </is>
      </c>
      <c r="C52" s="169" t="n">
        <v>0</v>
      </c>
      <c r="D52" s="169" t="n">
        <v>0</v>
      </c>
      <c r="E52" s="169" t="n">
        <v>0</v>
      </c>
      <c r="F52" s="169" t="n">
        <v>0</v>
      </c>
      <c r="G52" s="169" t="n">
        <v>0</v>
      </c>
      <c r="H52" s="169" t="n">
        <v>487.21</v>
      </c>
      <c r="I52" s="169" t="n">
        <v>298.48</v>
      </c>
      <c r="J52" s="169" t="n">
        <v>518.67</v>
      </c>
      <c r="K52" s="169" t="n">
        <v>387.32</v>
      </c>
      <c r="L52" s="169" t="n">
        <v>327.05</v>
      </c>
      <c r="M52" s="169" t="n">
        <v>327.05</v>
      </c>
      <c r="N52" s="169" t="n">
        <v>328.05</v>
      </c>
      <c r="O52" s="169" t="n">
        <v>327.05</v>
      </c>
      <c r="P52" s="169" t="n">
        <v>334.03</v>
      </c>
      <c r="Q52" s="169" t="n">
        <v>465.7</v>
      </c>
      <c r="R52" s="169" t="n">
        <v>350</v>
      </c>
      <c r="S52" s="169" t="n">
        <v>327.05</v>
      </c>
      <c r="T52" s="169" t="n">
        <v>327.05</v>
      </c>
      <c r="U52" s="169" t="n">
        <v>327.05</v>
      </c>
      <c r="V52" s="169" t="n">
        <v>404.49</v>
      </c>
      <c r="W52" s="169" t="n">
        <v>350</v>
      </c>
      <c r="X52" s="169" t="n">
        <v>578.9299999999999</v>
      </c>
      <c r="Y52" s="169" t="n">
        <v>395.54</v>
      </c>
      <c r="Z52" s="169" t="n">
        <v>424.36</v>
      </c>
      <c r="AA52" s="169" t="n">
        <v>7285.08</v>
      </c>
      <c r="AB52" s="172" t="n">
        <v>0.07290000000000001</v>
      </c>
      <c r="AC52" s="140" t="n">
        <v>0.0008</v>
      </c>
    </row>
    <row r="53" outlineLevel="1" s="86">
      <c r="B53" s="138" t="inlineStr">
        <is>
          <t xml:space="preserve">    Viagens e estadas</t>
        </is>
      </c>
      <c r="C53" s="169" t="n">
        <v>0</v>
      </c>
      <c r="D53" s="169" t="n">
        <v>0</v>
      </c>
      <c r="E53" s="169" t="n">
        <v>0</v>
      </c>
      <c r="F53" s="169" t="n">
        <v>0</v>
      </c>
      <c r="G53" s="169" t="n">
        <v>0</v>
      </c>
      <c r="H53" s="169" t="n">
        <v>0</v>
      </c>
      <c r="I53" s="169" t="n">
        <v>1360</v>
      </c>
      <c r="J53" s="169" t="n">
        <v>30.6</v>
      </c>
      <c r="K53" s="169" t="n">
        <v>30.6</v>
      </c>
      <c r="L53" s="169" t="n">
        <v>0</v>
      </c>
      <c r="M53" s="169" t="n">
        <v>0</v>
      </c>
      <c r="N53" s="169" t="n">
        <v>220.95</v>
      </c>
      <c r="O53" s="169" t="n">
        <v>46.2</v>
      </c>
      <c r="P53" s="169" t="n">
        <v>31.2</v>
      </c>
      <c r="Q53" s="169" t="n">
        <v>0</v>
      </c>
      <c r="R53" s="169" t="n">
        <v>4411.53</v>
      </c>
      <c r="S53" s="169" t="n">
        <v>0</v>
      </c>
      <c r="T53" s="169" t="n">
        <v>0</v>
      </c>
      <c r="U53" s="169" t="n">
        <v>0</v>
      </c>
      <c r="V53" s="169" t="n">
        <v>0</v>
      </c>
      <c r="W53" s="169" t="n">
        <v>0</v>
      </c>
      <c r="X53" s="169" t="n">
        <v>0</v>
      </c>
      <c r="Y53" s="169" t="n">
        <v>0</v>
      </c>
      <c r="Z53" s="169" t="n">
        <v>0</v>
      </c>
      <c r="AA53" s="169" t="n">
        <v>6131.08</v>
      </c>
      <c r="AB53" s="172" t="n"/>
      <c r="AC53" s="140" t="n">
        <v>0.0005999999999999999</v>
      </c>
    </row>
    <row r="54" outlineLevel="1" s="86">
      <c r="B54" s="138" t="inlineStr">
        <is>
          <t xml:space="preserve">    Segurança e Monitoramento</t>
        </is>
      </c>
      <c r="C54" s="169" t="n">
        <v>0</v>
      </c>
      <c r="D54" s="169" t="n">
        <v>0</v>
      </c>
      <c r="E54" s="169" t="n">
        <v>0</v>
      </c>
      <c r="F54" s="169" t="n">
        <v>140</v>
      </c>
      <c r="G54" s="169" t="n">
        <v>1240</v>
      </c>
      <c r="H54" s="169" t="n">
        <v>140</v>
      </c>
      <c r="I54" s="169" t="n">
        <v>140</v>
      </c>
      <c r="J54" s="169" t="n">
        <v>140</v>
      </c>
      <c r="K54" s="169" t="n">
        <v>140</v>
      </c>
      <c r="L54" s="169" t="n">
        <v>140</v>
      </c>
      <c r="M54" s="169" t="n">
        <v>140</v>
      </c>
      <c r="N54" s="169" t="n">
        <v>140</v>
      </c>
      <c r="O54" s="169" t="n">
        <v>140</v>
      </c>
      <c r="P54" s="169" t="n">
        <v>940</v>
      </c>
      <c r="Q54" s="169" t="n">
        <v>140</v>
      </c>
      <c r="R54" s="169" t="n">
        <v>0</v>
      </c>
      <c r="S54" s="169" t="n">
        <v>758.74</v>
      </c>
      <c r="T54" s="169" t="n">
        <v>508.74</v>
      </c>
      <c r="U54" s="169" t="n">
        <v>508.74</v>
      </c>
      <c r="V54" s="169" t="n">
        <v>248</v>
      </c>
      <c r="W54" s="169" t="n">
        <v>248</v>
      </c>
      <c r="X54" s="169" t="n">
        <v>0</v>
      </c>
      <c r="Y54" s="169" t="n">
        <v>0</v>
      </c>
      <c r="Z54" s="169" t="n">
        <v>248</v>
      </c>
      <c r="AA54" s="169" t="n">
        <v>6100.22</v>
      </c>
      <c r="AB54" s="172" t="n"/>
      <c r="AC54" s="140" t="n">
        <v>0.0005999999999999999</v>
      </c>
    </row>
    <row r="55" outlineLevel="1" s="86">
      <c r="B55" s="138" t="inlineStr">
        <is>
          <t xml:space="preserve">    Lavanderia</t>
        </is>
      </c>
      <c r="C55" s="169" t="n">
        <v>0</v>
      </c>
      <c r="D55" s="169" t="n">
        <v>0</v>
      </c>
      <c r="E55" s="169" t="n">
        <v>0</v>
      </c>
      <c r="F55" s="169" t="n">
        <v>0</v>
      </c>
      <c r="G55" s="169" t="n">
        <v>0</v>
      </c>
      <c r="H55" s="169" t="n">
        <v>0</v>
      </c>
      <c r="I55" s="169" t="n">
        <v>0</v>
      </c>
      <c r="J55" s="169" t="n">
        <v>0</v>
      </c>
      <c r="K55" s="169" t="n">
        <v>0</v>
      </c>
      <c r="L55" s="169" t="n">
        <v>0</v>
      </c>
      <c r="M55" s="169" t="n">
        <v>0</v>
      </c>
      <c r="N55" s="169" t="n">
        <v>0</v>
      </c>
      <c r="O55" s="169" t="n">
        <v>0</v>
      </c>
      <c r="P55" s="169" t="n">
        <v>0</v>
      </c>
      <c r="Q55" s="169" t="n">
        <v>0</v>
      </c>
      <c r="R55" s="169" t="n">
        <v>0</v>
      </c>
      <c r="S55" s="169" t="n">
        <v>0</v>
      </c>
      <c r="T55" s="169" t="n">
        <v>0</v>
      </c>
      <c r="U55" s="169" t="n">
        <v>0</v>
      </c>
      <c r="V55" s="169" t="n">
        <v>0</v>
      </c>
      <c r="W55" s="169" t="n">
        <v>0</v>
      </c>
      <c r="X55" s="169" t="n">
        <v>4740.3</v>
      </c>
      <c r="Y55" s="169" t="n">
        <v>673.2</v>
      </c>
      <c r="Z55" s="169" t="n">
        <v>394</v>
      </c>
      <c r="AA55" s="169" t="n">
        <v>5807.5</v>
      </c>
      <c r="AB55" s="172" t="n">
        <v>-0.4147</v>
      </c>
      <c r="AC55" s="140" t="n">
        <v>0.0005999999999999999</v>
      </c>
    </row>
    <row r="56" outlineLevel="1" s="86">
      <c r="B56" s="138" t="inlineStr">
        <is>
          <t xml:space="preserve">    Água</t>
        </is>
      </c>
      <c r="C56" s="169" t="n">
        <v>0</v>
      </c>
      <c r="D56" s="169" t="n">
        <v>0</v>
      </c>
      <c r="E56" s="169" t="n">
        <v>0</v>
      </c>
      <c r="F56" s="169" t="n">
        <v>224.36</v>
      </c>
      <c r="G56" s="169" t="n">
        <v>293.24</v>
      </c>
      <c r="H56" s="169" t="n">
        <v>196.62</v>
      </c>
      <c r="I56" s="169" t="n">
        <v>332.28</v>
      </c>
      <c r="J56" s="169" t="n">
        <v>332.28</v>
      </c>
      <c r="K56" s="169" t="n">
        <v>332.28</v>
      </c>
      <c r="L56" s="169" t="n">
        <v>327</v>
      </c>
      <c r="M56" s="169" t="n">
        <v>0</v>
      </c>
      <c r="N56" s="169" t="n">
        <v>306.36</v>
      </c>
      <c r="O56" s="169" t="n">
        <v>300.16</v>
      </c>
      <c r="P56" s="169" t="n">
        <v>0</v>
      </c>
      <c r="Q56" s="169" t="n">
        <v>552.26</v>
      </c>
      <c r="R56" s="169" t="n">
        <v>227.27</v>
      </c>
      <c r="S56" s="169" t="n">
        <v>280</v>
      </c>
      <c r="T56" s="169" t="n">
        <v>203.75</v>
      </c>
      <c r="U56" s="169" t="n">
        <v>261.86</v>
      </c>
      <c r="V56" s="169" t="n">
        <v>242.88</v>
      </c>
      <c r="W56" s="169" t="n">
        <v>280</v>
      </c>
      <c r="X56" s="169" t="n">
        <v>399</v>
      </c>
      <c r="Y56" s="169" t="n">
        <v>286.52</v>
      </c>
      <c r="Z56" s="169" t="n">
        <v>286.52</v>
      </c>
      <c r="AA56" s="169" t="n">
        <v>5664.64</v>
      </c>
      <c r="AB56" s="172" t="n">
        <v>0</v>
      </c>
      <c r="AC56" s="140" t="n">
        <v>0.0005999999999999999</v>
      </c>
    </row>
    <row r="57" outlineLevel="1" s="86">
      <c r="B57" s="138" t="inlineStr">
        <is>
          <t xml:space="preserve">    Manutenção de Veiculos e Estacionamento</t>
        </is>
      </c>
      <c r="C57" s="169" t="n">
        <v>0</v>
      </c>
      <c r="D57" s="169" t="n">
        <v>0</v>
      </c>
      <c r="E57" s="169" t="n">
        <v>0</v>
      </c>
      <c r="F57" s="169" t="n">
        <v>0</v>
      </c>
      <c r="G57" s="169" t="n">
        <v>0</v>
      </c>
      <c r="H57" s="169" t="n">
        <v>86</v>
      </c>
      <c r="I57" s="169" t="n">
        <v>305</v>
      </c>
      <c r="J57" s="169" t="n">
        <v>914</v>
      </c>
      <c r="K57" s="169" t="n">
        <v>50</v>
      </c>
      <c r="L57" s="169" t="n">
        <v>728</v>
      </c>
      <c r="M57" s="169" t="n">
        <v>750</v>
      </c>
      <c r="N57" s="169" t="n">
        <v>302</v>
      </c>
      <c r="O57" s="169" t="n">
        <v>0</v>
      </c>
      <c r="P57" s="169" t="n">
        <v>0</v>
      </c>
      <c r="Q57" s="169" t="n">
        <v>122</v>
      </c>
      <c r="R57" s="169" t="n">
        <v>225</v>
      </c>
      <c r="S57" s="169" t="n">
        <v>150</v>
      </c>
      <c r="T57" s="169" t="n">
        <v>140</v>
      </c>
      <c r="U57" s="169" t="n">
        <v>150</v>
      </c>
      <c r="V57" s="169" t="n">
        <v>155</v>
      </c>
      <c r="W57" s="169" t="n">
        <v>0</v>
      </c>
      <c r="X57" s="169" t="n">
        <v>220</v>
      </c>
      <c r="Y57" s="169" t="n">
        <v>285</v>
      </c>
      <c r="Z57" s="169" t="n">
        <v>20</v>
      </c>
      <c r="AA57" s="169" t="n">
        <v>4602</v>
      </c>
      <c r="AB57" s="172" t="n">
        <v>-0.9298</v>
      </c>
      <c r="AC57" s="140" t="n">
        <v>0.0005</v>
      </c>
    </row>
    <row r="58" outlineLevel="1" s="86">
      <c r="B58" s="138" t="inlineStr">
        <is>
          <t xml:space="preserve">    Manutenção de Imóveis</t>
        </is>
      </c>
      <c r="C58" s="169" t="n">
        <v>0</v>
      </c>
      <c r="D58" s="169" t="n">
        <v>0</v>
      </c>
      <c r="E58" s="169" t="n">
        <v>0</v>
      </c>
      <c r="F58" s="169" t="n">
        <v>0</v>
      </c>
      <c r="G58" s="169" t="n">
        <v>0</v>
      </c>
      <c r="H58" s="169" t="n">
        <v>0</v>
      </c>
      <c r="I58" s="169" t="n">
        <v>0</v>
      </c>
      <c r="J58" s="169" t="n">
        <v>30</v>
      </c>
      <c r="K58" s="169" t="n">
        <v>1000</v>
      </c>
      <c r="L58" s="169" t="n">
        <v>0</v>
      </c>
      <c r="M58" s="169" t="n">
        <v>0</v>
      </c>
      <c r="N58" s="169" t="n">
        <v>0</v>
      </c>
      <c r="O58" s="169" t="n">
        <v>0</v>
      </c>
      <c r="P58" s="169" t="n">
        <v>0</v>
      </c>
      <c r="Q58" s="169" t="n">
        <v>0</v>
      </c>
      <c r="R58" s="169" t="n">
        <v>250</v>
      </c>
      <c r="S58" s="169" t="n">
        <v>0</v>
      </c>
      <c r="T58" s="169" t="n">
        <v>905</v>
      </c>
      <c r="U58" s="169" t="n">
        <v>28.5</v>
      </c>
      <c r="V58" s="169" t="n">
        <v>1905</v>
      </c>
      <c r="W58" s="169" t="n">
        <v>0</v>
      </c>
      <c r="X58" s="169" t="n">
        <v>0</v>
      </c>
      <c r="Y58" s="169" t="n">
        <v>0</v>
      </c>
      <c r="Z58" s="169" t="n">
        <v>419</v>
      </c>
      <c r="AA58" s="169" t="n">
        <v>4537.5</v>
      </c>
      <c r="AB58" s="172" t="n"/>
      <c r="AC58" s="140" t="n">
        <v>0.0005</v>
      </c>
    </row>
    <row r="59" outlineLevel="1" s="86">
      <c r="B59" s="138" t="inlineStr">
        <is>
          <t xml:space="preserve">    Energia Elétrica</t>
        </is>
      </c>
      <c r="C59" s="169" t="n">
        <v>0</v>
      </c>
      <c r="D59" s="169" t="n">
        <v>0</v>
      </c>
      <c r="E59" s="169" t="n">
        <v>0</v>
      </c>
      <c r="F59" s="169" t="n">
        <v>124.84</v>
      </c>
      <c r="G59" s="169" t="n">
        <v>0</v>
      </c>
      <c r="H59" s="169" t="n">
        <v>109.53</v>
      </c>
      <c r="I59" s="169" t="n">
        <v>290.1</v>
      </c>
      <c r="J59" s="169" t="n">
        <v>111.8</v>
      </c>
      <c r="K59" s="169" t="n">
        <v>110.19</v>
      </c>
      <c r="L59" s="169" t="n">
        <v>113</v>
      </c>
      <c r="M59" s="169" t="n">
        <v>112.52</v>
      </c>
      <c r="N59" s="169" t="n">
        <v>256.3</v>
      </c>
      <c r="O59" s="169" t="n">
        <v>299.36</v>
      </c>
      <c r="P59" s="169" t="n">
        <v>0</v>
      </c>
      <c r="Q59" s="169" t="n">
        <v>790.16</v>
      </c>
      <c r="R59" s="169" t="n">
        <v>88</v>
      </c>
      <c r="S59" s="169" t="n">
        <v>130</v>
      </c>
      <c r="T59" s="169" t="n">
        <v>163.62</v>
      </c>
      <c r="U59" s="169" t="n">
        <v>151.96</v>
      </c>
      <c r="V59" s="169" t="n">
        <v>116.38</v>
      </c>
      <c r="W59" s="169" t="n">
        <v>450</v>
      </c>
      <c r="X59" s="169" t="n">
        <v>123.79</v>
      </c>
      <c r="Y59" s="169" t="n">
        <v>153.48</v>
      </c>
      <c r="Z59" s="169" t="n">
        <v>506.25</v>
      </c>
      <c r="AA59" s="169" t="n">
        <v>4201.28</v>
      </c>
      <c r="AB59" s="172" t="n">
        <v>2.2985</v>
      </c>
      <c r="AC59" s="140" t="n">
        <v>0.0004</v>
      </c>
    </row>
    <row r="60" outlineLevel="1" s="86">
      <c r="B60" s="138" t="inlineStr">
        <is>
          <t xml:space="preserve">    Travete</t>
        </is>
      </c>
      <c r="C60" s="169" t="n">
        <v>0</v>
      </c>
      <c r="D60" s="169" t="n">
        <v>0</v>
      </c>
      <c r="E60" s="169" t="n">
        <v>0</v>
      </c>
      <c r="F60" s="169" t="n">
        <v>0</v>
      </c>
      <c r="G60" s="169" t="n">
        <v>0</v>
      </c>
      <c r="H60" s="169" t="n">
        <v>0</v>
      </c>
      <c r="I60" s="169" t="n">
        <v>0</v>
      </c>
      <c r="J60" s="169" t="n">
        <v>0</v>
      </c>
      <c r="K60" s="169" t="n">
        <v>0</v>
      </c>
      <c r="L60" s="169" t="n">
        <v>0</v>
      </c>
      <c r="M60" s="169" t="n">
        <v>0</v>
      </c>
      <c r="N60" s="169" t="n">
        <v>0</v>
      </c>
      <c r="O60" s="169" t="n">
        <v>0</v>
      </c>
      <c r="P60" s="169" t="n">
        <v>0</v>
      </c>
      <c r="Q60" s="169" t="n">
        <v>0</v>
      </c>
      <c r="R60" s="169" t="n">
        <v>0</v>
      </c>
      <c r="S60" s="169" t="n">
        <v>0</v>
      </c>
      <c r="T60" s="169" t="n">
        <v>0</v>
      </c>
      <c r="U60" s="169" t="n">
        <v>0</v>
      </c>
      <c r="V60" s="169" t="n">
        <v>0</v>
      </c>
      <c r="W60" s="169" t="n">
        <v>0</v>
      </c>
      <c r="X60" s="169" t="n">
        <v>1584</v>
      </c>
      <c r="Y60" s="169" t="n">
        <v>1293.3</v>
      </c>
      <c r="Z60" s="169" t="n">
        <v>793.8</v>
      </c>
      <c r="AA60" s="169" t="n">
        <v>3671.1</v>
      </c>
      <c r="AB60" s="172" t="n">
        <v>-0.3862</v>
      </c>
      <c r="AC60" s="140" t="n">
        <v>0.0004</v>
      </c>
    </row>
    <row r="61" outlineLevel="1" s="86">
      <c r="B61" s="138" t="inlineStr">
        <is>
          <t xml:space="preserve">    Material de Escritório</t>
        </is>
      </c>
      <c r="C61" s="169" t="n">
        <v>0</v>
      </c>
      <c r="D61" s="169" t="n">
        <v>0</v>
      </c>
      <c r="E61" s="169" t="n">
        <v>0</v>
      </c>
      <c r="F61" s="169" t="n">
        <v>0</v>
      </c>
      <c r="G61" s="169" t="n">
        <v>0</v>
      </c>
      <c r="H61" s="169" t="n">
        <v>0</v>
      </c>
      <c r="I61" s="169" t="n">
        <v>786.86</v>
      </c>
      <c r="J61" s="169" t="n">
        <v>38.99</v>
      </c>
      <c r="K61" s="169" t="n">
        <v>369.17</v>
      </c>
      <c r="L61" s="169" t="n">
        <v>0</v>
      </c>
      <c r="M61" s="169" t="n">
        <v>578.78</v>
      </c>
      <c r="N61" s="169" t="n">
        <v>389.92</v>
      </c>
      <c r="O61" s="169" t="n">
        <v>0</v>
      </c>
      <c r="P61" s="169" t="n">
        <v>0</v>
      </c>
      <c r="Q61" s="169" t="n">
        <v>0</v>
      </c>
      <c r="R61" s="169" t="n">
        <v>295.9</v>
      </c>
      <c r="S61" s="169" t="n">
        <v>0</v>
      </c>
      <c r="T61" s="169" t="n">
        <v>0</v>
      </c>
      <c r="U61" s="169" t="n">
        <v>0</v>
      </c>
      <c r="V61" s="169" t="n">
        <v>243.88</v>
      </c>
      <c r="W61" s="169" t="n">
        <v>0</v>
      </c>
      <c r="X61" s="169" t="n">
        <v>318.76</v>
      </c>
      <c r="Y61" s="169" t="n">
        <v>0</v>
      </c>
      <c r="Z61" s="169" t="n">
        <v>449.43</v>
      </c>
      <c r="AA61" s="169" t="n">
        <v>3471.69</v>
      </c>
      <c r="AB61" s="172" t="n"/>
      <c r="AC61" s="140" t="n">
        <v>0.0004</v>
      </c>
    </row>
    <row r="62" outlineLevel="1" s="86">
      <c r="B62" s="138" t="inlineStr">
        <is>
          <t xml:space="preserve">    Telefonia Fixa e Internet</t>
        </is>
      </c>
      <c r="C62" s="169" t="n">
        <v>0</v>
      </c>
      <c r="D62" s="169" t="n">
        <v>0</v>
      </c>
      <c r="E62" s="169" t="n">
        <v>0</v>
      </c>
      <c r="F62" s="169" t="n">
        <v>0</v>
      </c>
      <c r="G62" s="169" t="n">
        <v>0</v>
      </c>
      <c r="H62" s="169" t="n">
        <v>0</v>
      </c>
      <c r="I62" s="169" t="n">
        <v>263.22</v>
      </c>
      <c r="J62" s="169" t="n">
        <v>243.22</v>
      </c>
      <c r="K62" s="169" t="n">
        <v>240.64</v>
      </c>
      <c r="L62" s="169" t="n">
        <v>252.72</v>
      </c>
      <c r="M62" s="169" t="n">
        <v>240</v>
      </c>
      <c r="N62" s="169" t="n">
        <v>256.67</v>
      </c>
      <c r="O62" s="169" t="n">
        <v>240.01</v>
      </c>
      <c r="P62" s="169" t="n">
        <v>246.87</v>
      </c>
      <c r="Q62" s="169" t="n">
        <v>120</v>
      </c>
      <c r="R62" s="169" t="n">
        <v>130</v>
      </c>
      <c r="S62" s="169" t="n">
        <v>130</v>
      </c>
      <c r="T62" s="169" t="n">
        <v>126.97</v>
      </c>
      <c r="U62" s="169" t="n">
        <v>130</v>
      </c>
      <c r="V62" s="169" t="n">
        <v>130</v>
      </c>
      <c r="W62" s="169" t="n">
        <v>130</v>
      </c>
      <c r="X62" s="169" t="n">
        <v>0</v>
      </c>
      <c r="Y62" s="169" t="n">
        <v>0</v>
      </c>
      <c r="Z62" s="169" t="n">
        <v>130</v>
      </c>
      <c r="AA62" s="169" t="n">
        <v>3010.32</v>
      </c>
      <c r="AB62" s="172" t="n"/>
      <c r="AC62" s="140" t="n">
        <v>0.0003</v>
      </c>
    </row>
    <row r="63" outlineLevel="1" s="86">
      <c r="B63" s="138" t="inlineStr">
        <is>
          <t xml:space="preserve">    Alimentação</t>
        </is>
      </c>
      <c r="C63" s="169" t="n">
        <v>0</v>
      </c>
      <c r="D63" s="169" t="n">
        <v>0</v>
      </c>
      <c r="E63" s="169" t="n">
        <v>0</v>
      </c>
      <c r="F63" s="169" t="n">
        <v>0</v>
      </c>
      <c r="G63" s="169" t="n">
        <v>70.61</v>
      </c>
      <c r="H63" s="169" t="n">
        <v>132.6</v>
      </c>
      <c r="I63" s="169" t="n">
        <v>130.94</v>
      </c>
      <c r="J63" s="169" t="n">
        <v>163.13</v>
      </c>
      <c r="K63" s="169" t="n">
        <v>94.06</v>
      </c>
      <c r="L63" s="169" t="n">
        <v>242.3</v>
      </c>
      <c r="M63" s="169" t="n">
        <v>128.9</v>
      </c>
      <c r="N63" s="169" t="n">
        <v>147.58</v>
      </c>
      <c r="O63" s="169" t="n">
        <v>270.07</v>
      </c>
      <c r="P63" s="169" t="n">
        <v>51.52</v>
      </c>
      <c r="Q63" s="169" t="n">
        <v>793.24</v>
      </c>
      <c r="R63" s="169" t="n">
        <v>9.380000000000001</v>
      </c>
      <c r="S63" s="169" t="n">
        <v>8</v>
      </c>
      <c r="T63" s="169" t="n">
        <v>25</v>
      </c>
      <c r="U63" s="169" t="n">
        <v>0</v>
      </c>
      <c r="V63" s="169" t="n">
        <v>202</v>
      </c>
      <c r="W63" s="169" t="n">
        <v>0</v>
      </c>
      <c r="X63" s="169" t="n">
        <v>50</v>
      </c>
      <c r="Y63" s="169" t="n">
        <v>100</v>
      </c>
      <c r="Z63" s="169" t="n">
        <v>0</v>
      </c>
      <c r="AA63" s="169" t="n">
        <v>2619.33</v>
      </c>
      <c r="AB63" s="172" t="n">
        <v>-1</v>
      </c>
      <c r="AC63" s="140" t="n">
        <v>0.0003</v>
      </c>
    </row>
    <row r="64" outlineLevel="1" s="86">
      <c r="B64" s="138" t="inlineStr">
        <is>
          <t xml:space="preserve">    Telefonia Móvel</t>
        </is>
      </c>
      <c r="C64" s="169" t="n">
        <v>0</v>
      </c>
      <c r="D64" s="169" t="n">
        <v>0</v>
      </c>
      <c r="E64" s="169" t="n">
        <v>0</v>
      </c>
      <c r="F64" s="169" t="n">
        <v>0</v>
      </c>
      <c r="G64" s="169" t="n">
        <v>0</v>
      </c>
      <c r="H64" s="169" t="n">
        <v>520</v>
      </c>
      <c r="I64" s="169" t="n">
        <v>630</v>
      </c>
      <c r="J64" s="169" t="n">
        <v>520</v>
      </c>
      <c r="K64" s="169" t="n">
        <v>0</v>
      </c>
      <c r="L64" s="169" t="n">
        <v>0</v>
      </c>
      <c r="M64" s="169" t="n">
        <v>0</v>
      </c>
      <c r="N64" s="169" t="n">
        <v>60</v>
      </c>
      <c r="O64" s="169" t="n">
        <v>100</v>
      </c>
      <c r="P64" s="169" t="n">
        <v>0</v>
      </c>
      <c r="Q64" s="169" t="n">
        <v>120</v>
      </c>
      <c r="R64" s="169" t="n">
        <v>90</v>
      </c>
      <c r="S64" s="169" t="n">
        <v>0</v>
      </c>
      <c r="T64" s="169" t="n">
        <v>90</v>
      </c>
      <c r="U64" s="169" t="n">
        <v>0</v>
      </c>
      <c r="V64" s="169" t="n">
        <v>90</v>
      </c>
      <c r="W64" s="169" t="n">
        <v>0</v>
      </c>
      <c r="X64" s="169" t="n">
        <v>0</v>
      </c>
      <c r="Y64" s="169" t="n">
        <v>0</v>
      </c>
      <c r="Z64" s="169" t="n">
        <v>90</v>
      </c>
      <c r="AA64" s="169" t="n">
        <v>2310</v>
      </c>
      <c r="AB64" s="172" t="n"/>
      <c r="AC64" s="140" t="n">
        <v>0.0002</v>
      </c>
    </row>
    <row r="65" outlineLevel="1" s="86">
      <c r="B65" s="138" t="inlineStr">
        <is>
          <t xml:space="preserve">    Compra de Computadores e Eletrônicos</t>
        </is>
      </c>
      <c r="C65" s="169" t="n">
        <v>0</v>
      </c>
      <c r="D65" s="169" t="n">
        <v>0</v>
      </c>
      <c r="E65" s="169" t="n">
        <v>0</v>
      </c>
      <c r="F65" s="169" t="n">
        <v>0</v>
      </c>
      <c r="G65" s="169" t="n">
        <v>0</v>
      </c>
      <c r="H65" s="169" t="n">
        <v>0</v>
      </c>
      <c r="I65" s="169" t="n">
        <v>0</v>
      </c>
      <c r="J65" s="169" t="n">
        <v>0</v>
      </c>
      <c r="K65" s="169" t="n">
        <v>675.95</v>
      </c>
      <c r="L65" s="169" t="n">
        <v>675.95</v>
      </c>
      <c r="M65" s="169" t="n">
        <v>0</v>
      </c>
      <c r="N65" s="169" t="n">
        <v>0</v>
      </c>
      <c r="O65" s="169" t="n">
        <v>0</v>
      </c>
      <c r="P65" s="169" t="n">
        <v>900</v>
      </c>
      <c r="Q65" s="169" t="n">
        <v>0</v>
      </c>
      <c r="R65" s="169" t="n">
        <v>0</v>
      </c>
      <c r="S65" s="169" t="n">
        <v>0</v>
      </c>
      <c r="T65" s="169" t="n">
        <v>0</v>
      </c>
      <c r="U65" s="169" t="n">
        <v>0</v>
      </c>
      <c r="V65" s="169" t="n">
        <v>0</v>
      </c>
      <c r="W65" s="169" t="n">
        <v>0</v>
      </c>
      <c r="X65" s="169" t="n">
        <v>0</v>
      </c>
      <c r="Y65" s="169" t="n">
        <v>0</v>
      </c>
      <c r="Z65" s="169" t="n">
        <v>0</v>
      </c>
      <c r="AA65" s="169" t="n">
        <v>2251.9</v>
      </c>
      <c r="AB65" s="172" t="n"/>
      <c r="AC65" s="140" t="n">
        <v>0.0002</v>
      </c>
    </row>
    <row r="66" outlineLevel="1" s="86">
      <c r="B66" s="138" t="inlineStr">
        <is>
          <t xml:space="preserve">    Patrocínio</t>
        </is>
      </c>
      <c r="C66" s="169" t="n">
        <v>0</v>
      </c>
      <c r="D66" s="169" t="n">
        <v>0</v>
      </c>
      <c r="E66" s="169" t="n">
        <v>0</v>
      </c>
      <c r="F66" s="169" t="n">
        <v>0</v>
      </c>
      <c r="G66" s="169" t="n">
        <v>0</v>
      </c>
      <c r="H66" s="169" t="n">
        <v>0</v>
      </c>
      <c r="I66" s="169" t="n">
        <v>0</v>
      </c>
      <c r="J66" s="169" t="n">
        <v>0</v>
      </c>
      <c r="K66" s="169" t="n">
        <v>0</v>
      </c>
      <c r="L66" s="169" t="n">
        <v>500</v>
      </c>
      <c r="M66" s="169" t="n">
        <v>0</v>
      </c>
      <c r="N66" s="169" t="n">
        <v>0</v>
      </c>
      <c r="O66" s="169" t="n">
        <v>0</v>
      </c>
      <c r="P66" s="169" t="n">
        <v>0</v>
      </c>
      <c r="Q66" s="169" t="n">
        <v>683.9</v>
      </c>
      <c r="R66" s="169" t="n">
        <v>882.21</v>
      </c>
      <c r="S66" s="169" t="n">
        <v>0</v>
      </c>
      <c r="T66" s="169" t="n">
        <v>0</v>
      </c>
      <c r="U66" s="169" t="n">
        <v>0</v>
      </c>
      <c r="V66" s="169" t="n">
        <v>0</v>
      </c>
      <c r="W66" s="169" t="n">
        <v>0</v>
      </c>
      <c r="X66" s="169" t="n">
        <v>0</v>
      </c>
      <c r="Y66" s="169" t="n">
        <v>0</v>
      </c>
      <c r="Z66" s="169" t="n">
        <v>0</v>
      </c>
      <c r="AA66" s="169" t="n">
        <v>2066.11</v>
      </c>
      <c r="AB66" s="172" t="n"/>
      <c r="AC66" s="140" t="n">
        <v>0.0002</v>
      </c>
    </row>
    <row r="67" outlineLevel="1" s="86">
      <c r="B67" s="138" t="inlineStr">
        <is>
          <t xml:space="preserve">    Material de Limpeza e Higiene</t>
        </is>
      </c>
      <c r="C67" s="169" t="n">
        <v>0</v>
      </c>
      <c r="D67" s="169" t="n">
        <v>0</v>
      </c>
      <c r="E67" s="169" t="n">
        <v>0</v>
      </c>
      <c r="F67" s="169" t="n">
        <v>383</v>
      </c>
      <c r="G67" s="169" t="n">
        <v>316.58</v>
      </c>
      <c r="H67" s="169" t="n">
        <v>250</v>
      </c>
      <c r="I67" s="169" t="n">
        <v>48.93</v>
      </c>
      <c r="J67" s="169" t="n">
        <v>130.86</v>
      </c>
      <c r="K67" s="169" t="n">
        <v>318.21</v>
      </c>
      <c r="L67" s="169" t="n">
        <v>30</v>
      </c>
      <c r="M67" s="169" t="n">
        <v>0</v>
      </c>
      <c r="N67" s="169" t="n">
        <v>118.25</v>
      </c>
      <c r="O67" s="169" t="n">
        <v>0</v>
      </c>
      <c r="P67" s="169" t="n">
        <v>175.59</v>
      </c>
      <c r="Q67" s="169" t="n">
        <v>0</v>
      </c>
      <c r="R67" s="169" t="n">
        <v>0</v>
      </c>
      <c r="S67" s="169" t="n">
        <v>0</v>
      </c>
      <c r="T67" s="169" t="n">
        <v>0</v>
      </c>
      <c r="U67" s="169" t="n">
        <v>168.44</v>
      </c>
      <c r="V67" s="169" t="n">
        <v>0</v>
      </c>
      <c r="W67" s="169" t="n">
        <v>0</v>
      </c>
      <c r="X67" s="169" t="n">
        <v>0</v>
      </c>
      <c r="Y67" s="169" t="n">
        <v>67.18000000000001</v>
      </c>
      <c r="Z67" s="169" t="n">
        <v>0</v>
      </c>
      <c r="AA67" s="169" t="n">
        <v>2007.04</v>
      </c>
      <c r="AB67" s="172" t="n">
        <v>-1</v>
      </c>
      <c r="AC67" s="140" t="n">
        <v>0.0002</v>
      </c>
    </row>
    <row r="68" outlineLevel="1" s="86">
      <c r="B68" s="138" t="inlineStr">
        <is>
          <t xml:space="preserve">    Coquetéis, festas e outros eventos</t>
        </is>
      </c>
      <c r="C68" s="169" t="n">
        <v>0</v>
      </c>
      <c r="D68" s="169" t="n">
        <v>0</v>
      </c>
      <c r="E68" s="169" t="n">
        <v>0</v>
      </c>
      <c r="F68" s="169" t="n">
        <v>0</v>
      </c>
      <c r="G68" s="169" t="n">
        <v>1131.91</v>
      </c>
      <c r="H68" s="169" t="n">
        <v>0</v>
      </c>
      <c r="I68" s="169" t="n">
        <v>0</v>
      </c>
      <c r="J68" s="169" t="n">
        <v>0</v>
      </c>
      <c r="K68" s="169" t="n">
        <v>658.0700000000001</v>
      </c>
      <c r="L68" s="169" t="n">
        <v>0</v>
      </c>
      <c r="M68" s="169" t="n">
        <v>0</v>
      </c>
      <c r="N68" s="169" t="n">
        <v>0</v>
      </c>
      <c r="O68" s="169" t="n">
        <v>0</v>
      </c>
      <c r="P68" s="169" t="n">
        <v>0</v>
      </c>
      <c r="Q68" s="169" t="n">
        <v>0</v>
      </c>
      <c r="R68" s="169" t="n">
        <v>0</v>
      </c>
      <c r="S68" s="169" t="n">
        <v>0</v>
      </c>
      <c r="T68" s="169" t="n">
        <v>0</v>
      </c>
      <c r="U68" s="169" t="n">
        <v>0</v>
      </c>
      <c r="V68" s="169" t="n">
        <v>0</v>
      </c>
      <c r="W68" s="169" t="n">
        <v>0</v>
      </c>
      <c r="X68" s="169" t="n">
        <v>0</v>
      </c>
      <c r="Y68" s="169" t="n">
        <v>0</v>
      </c>
      <c r="Z68" s="169" t="n">
        <v>199</v>
      </c>
      <c r="AA68" s="169" t="n">
        <v>1988.98</v>
      </c>
      <c r="AB68" s="172" t="n"/>
      <c r="AC68" s="140" t="n">
        <v>0.0002</v>
      </c>
    </row>
    <row r="69" outlineLevel="1" s="86">
      <c r="B69" s="138" t="inlineStr">
        <is>
          <t xml:space="preserve">    Embalagens</t>
        </is>
      </c>
      <c r="C69" s="169" t="n">
        <v>0</v>
      </c>
      <c r="D69" s="169" t="n">
        <v>0</v>
      </c>
      <c r="E69" s="169" t="n">
        <v>0</v>
      </c>
      <c r="F69" s="169" t="n">
        <v>0</v>
      </c>
      <c r="G69" s="169" t="n">
        <v>0</v>
      </c>
      <c r="H69" s="169" t="n">
        <v>0</v>
      </c>
      <c r="I69" s="169" t="n">
        <v>0</v>
      </c>
      <c r="J69" s="169" t="n">
        <v>0</v>
      </c>
      <c r="K69" s="169" t="n">
        <v>0</v>
      </c>
      <c r="L69" s="169" t="n">
        <v>0</v>
      </c>
      <c r="M69" s="169" t="n">
        <v>0</v>
      </c>
      <c r="N69" s="169" t="n">
        <v>0</v>
      </c>
      <c r="O69" s="169" t="n">
        <v>0</v>
      </c>
      <c r="P69" s="169" t="n">
        <v>0</v>
      </c>
      <c r="Q69" s="169" t="n">
        <v>0</v>
      </c>
      <c r="R69" s="169" t="n">
        <v>0</v>
      </c>
      <c r="S69" s="169" t="n">
        <v>0</v>
      </c>
      <c r="T69" s="169" t="n">
        <v>0</v>
      </c>
      <c r="U69" s="169" t="n">
        <v>0</v>
      </c>
      <c r="V69" s="169" t="n">
        <v>0</v>
      </c>
      <c r="W69" s="169" t="n">
        <v>0</v>
      </c>
      <c r="X69" s="169" t="n">
        <v>0</v>
      </c>
      <c r="Y69" s="169" t="n">
        <v>561.87</v>
      </c>
      <c r="Z69" s="169" t="n">
        <v>915</v>
      </c>
      <c r="AA69" s="169" t="n">
        <v>1476.87</v>
      </c>
      <c r="AB69" s="172" t="n">
        <v>0.6284999999999999</v>
      </c>
      <c r="AC69" s="140" t="n">
        <v>0.0002</v>
      </c>
    </row>
    <row r="70" outlineLevel="1" s="86">
      <c r="B70" s="138" t="inlineStr">
        <is>
          <t xml:space="preserve">    Aviamento</t>
        </is>
      </c>
      <c r="C70" s="169" t="n">
        <v>0</v>
      </c>
      <c r="D70" s="169" t="n">
        <v>0</v>
      </c>
      <c r="E70" s="169" t="n">
        <v>0</v>
      </c>
      <c r="F70" s="169" t="n">
        <v>0</v>
      </c>
      <c r="G70" s="169" t="n">
        <v>0</v>
      </c>
      <c r="H70" s="169" t="n">
        <v>0</v>
      </c>
      <c r="I70" s="169" t="n">
        <v>0</v>
      </c>
      <c r="J70" s="169" t="n">
        <v>0</v>
      </c>
      <c r="K70" s="169" t="n">
        <v>0</v>
      </c>
      <c r="L70" s="169" t="n">
        <v>0</v>
      </c>
      <c r="M70" s="169" t="n">
        <v>0</v>
      </c>
      <c r="N70" s="169" t="n">
        <v>0</v>
      </c>
      <c r="O70" s="169" t="n">
        <v>0</v>
      </c>
      <c r="P70" s="169" t="n">
        <v>0</v>
      </c>
      <c r="Q70" s="169" t="n">
        <v>0</v>
      </c>
      <c r="R70" s="169" t="n">
        <v>0</v>
      </c>
      <c r="S70" s="169" t="n">
        <v>0</v>
      </c>
      <c r="T70" s="169" t="n">
        <v>0</v>
      </c>
      <c r="U70" s="169" t="n">
        <v>0</v>
      </c>
      <c r="V70" s="169" t="n">
        <v>0</v>
      </c>
      <c r="W70" s="169" t="n">
        <v>0</v>
      </c>
      <c r="X70" s="169" t="n">
        <v>121.85</v>
      </c>
      <c r="Y70" s="169" t="n">
        <v>522.8</v>
      </c>
      <c r="Z70" s="169" t="n">
        <v>712.5</v>
      </c>
      <c r="AA70" s="169" t="n">
        <v>1357.15</v>
      </c>
      <c r="AB70" s="172" t="n">
        <v>0.3629</v>
      </c>
      <c r="AC70" s="140" t="n">
        <v>0.0001</v>
      </c>
    </row>
    <row r="71" outlineLevel="1" s="86">
      <c r="B71" s="138" t="inlineStr">
        <is>
          <t xml:space="preserve">    Gasto com Reforma</t>
        </is>
      </c>
      <c r="C71" s="169" t="n">
        <v>0</v>
      </c>
      <c r="D71" s="169" t="n">
        <v>0</v>
      </c>
      <c r="E71" s="169" t="n">
        <v>0</v>
      </c>
      <c r="F71" s="169" t="n">
        <v>0</v>
      </c>
      <c r="G71" s="169" t="n">
        <v>0</v>
      </c>
      <c r="H71" s="169" t="n">
        <v>0</v>
      </c>
      <c r="I71" s="169" t="n">
        <v>0</v>
      </c>
      <c r="J71" s="169" t="n">
        <v>0</v>
      </c>
      <c r="K71" s="169" t="n">
        <v>800</v>
      </c>
      <c r="L71" s="169" t="n">
        <v>0</v>
      </c>
      <c r="M71" s="169" t="n">
        <v>0</v>
      </c>
      <c r="N71" s="169" t="n">
        <v>0</v>
      </c>
      <c r="O71" s="169" t="n">
        <v>0</v>
      </c>
      <c r="P71" s="169" t="n">
        <v>0</v>
      </c>
      <c r="Q71" s="169" t="n">
        <v>0</v>
      </c>
      <c r="R71" s="169" t="n">
        <v>0</v>
      </c>
      <c r="S71" s="169" t="n">
        <v>0</v>
      </c>
      <c r="T71" s="169" t="n">
        <v>0</v>
      </c>
      <c r="U71" s="169" t="n">
        <v>0</v>
      </c>
      <c r="V71" s="169" t="n">
        <v>495</v>
      </c>
      <c r="W71" s="169" t="n">
        <v>0</v>
      </c>
      <c r="X71" s="169" t="n">
        <v>0</v>
      </c>
      <c r="Y71" s="169" t="n">
        <v>0</v>
      </c>
      <c r="Z71" s="169" t="n">
        <v>0</v>
      </c>
      <c r="AA71" s="169" t="n">
        <v>1295</v>
      </c>
      <c r="AB71" s="172" t="n"/>
      <c r="AC71" s="140" t="n">
        <v>0.0001</v>
      </c>
    </row>
    <row r="72" outlineLevel="1" s="86">
      <c r="B72" s="138" t="inlineStr">
        <is>
          <t xml:space="preserve">    Material de Copa e Cozinha</t>
        </is>
      </c>
      <c r="C72" s="169" t="n">
        <v>0</v>
      </c>
      <c r="D72" s="169" t="n">
        <v>0</v>
      </c>
      <c r="E72" s="169" t="n">
        <v>0</v>
      </c>
      <c r="F72" s="169" t="n">
        <v>0</v>
      </c>
      <c r="G72" s="169" t="n">
        <v>0</v>
      </c>
      <c r="H72" s="169" t="n">
        <v>0</v>
      </c>
      <c r="I72" s="169" t="n">
        <v>0</v>
      </c>
      <c r="J72" s="169" t="n">
        <v>0</v>
      </c>
      <c r="K72" s="169" t="n">
        <v>0</v>
      </c>
      <c r="L72" s="169" t="n">
        <v>157.75</v>
      </c>
      <c r="M72" s="169" t="n">
        <v>468.09</v>
      </c>
      <c r="N72" s="169" t="n">
        <v>42.94</v>
      </c>
      <c r="O72" s="169" t="n">
        <v>192.71</v>
      </c>
      <c r="P72" s="169" t="n">
        <v>92.03</v>
      </c>
      <c r="Q72" s="169" t="n">
        <v>0</v>
      </c>
      <c r="R72" s="169" t="n">
        <v>243</v>
      </c>
      <c r="S72" s="169" t="n">
        <v>0</v>
      </c>
      <c r="T72" s="169" t="n">
        <v>28</v>
      </c>
      <c r="U72" s="169" t="n">
        <v>13.74</v>
      </c>
      <c r="V72" s="169" t="n">
        <v>0</v>
      </c>
      <c r="W72" s="169" t="n">
        <v>0</v>
      </c>
      <c r="X72" s="169" t="n">
        <v>40.39</v>
      </c>
      <c r="Y72" s="169" t="n">
        <v>0</v>
      </c>
      <c r="Z72" s="169" t="n">
        <v>0</v>
      </c>
      <c r="AA72" s="169" t="n">
        <v>1278.65</v>
      </c>
      <c r="AB72" s="172" t="n"/>
      <c r="AC72" s="140" t="n">
        <v>0.0001</v>
      </c>
    </row>
    <row r="73" outlineLevel="1" s="86">
      <c r="B73" s="138" t="inlineStr">
        <is>
          <t xml:space="preserve">    Hora Extra</t>
        </is>
      </c>
      <c r="C73" s="169" t="n">
        <v>0</v>
      </c>
      <c r="D73" s="169" t="n">
        <v>0</v>
      </c>
      <c r="E73" s="169" t="n">
        <v>0</v>
      </c>
      <c r="F73" s="169" t="n">
        <v>0</v>
      </c>
      <c r="G73" s="169" t="n">
        <v>0</v>
      </c>
      <c r="H73" s="169" t="n">
        <v>0</v>
      </c>
      <c r="I73" s="169" t="n">
        <v>0</v>
      </c>
      <c r="J73" s="169" t="n">
        <v>0</v>
      </c>
      <c r="K73" s="169" t="n">
        <v>0</v>
      </c>
      <c r="L73" s="169" t="n">
        <v>0</v>
      </c>
      <c r="M73" s="169" t="n">
        <v>0</v>
      </c>
      <c r="N73" s="169" t="n">
        <v>0</v>
      </c>
      <c r="O73" s="169" t="n">
        <v>0</v>
      </c>
      <c r="P73" s="169" t="n">
        <v>0</v>
      </c>
      <c r="Q73" s="169" t="n">
        <v>0</v>
      </c>
      <c r="R73" s="169" t="n">
        <v>0</v>
      </c>
      <c r="S73" s="169" t="n">
        <v>0</v>
      </c>
      <c r="T73" s="169" t="n">
        <v>0</v>
      </c>
      <c r="U73" s="169" t="n">
        <v>0</v>
      </c>
      <c r="V73" s="169" t="n">
        <v>0</v>
      </c>
      <c r="W73" s="169" t="n">
        <v>0</v>
      </c>
      <c r="X73" s="169" t="n">
        <v>800</v>
      </c>
      <c r="Y73" s="169" t="n">
        <v>0</v>
      </c>
      <c r="Z73" s="169" t="n">
        <v>0</v>
      </c>
      <c r="AA73" s="169" t="n">
        <v>800</v>
      </c>
      <c r="AB73" s="172" t="n"/>
      <c r="AC73" s="140" t="n">
        <v>0.0001</v>
      </c>
    </row>
    <row r="74" outlineLevel="1" s="86">
      <c r="B74" s="138" t="inlineStr">
        <is>
          <t xml:space="preserve">    Manutenção de Moveis e Utensílios</t>
        </is>
      </c>
      <c r="C74" s="169" t="n">
        <v>0</v>
      </c>
      <c r="D74" s="169" t="n">
        <v>0</v>
      </c>
      <c r="E74" s="169" t="n">
        <v>0</v>
      </c>
      <c r="F74" s="169" t="n">
        <v>0</v>
      </c>
      <c r="G74" s="169" t="n">
        <v>0</v>
      </c>
      <c r="H74" s="169" t="n">
        <v>50</v>
      </c>
      <c r="I74" s="169" t="n">
        <v>150</v>
      </c>
      <c r="J74" s="169" t="n">
        <v>70</v>
      </c>
      <c r="K74" s="169" t="n">
        <v>0</v>
      </c>
      <c r="L74" s="169" t="n">
        <v>0</v>
      </c>
      <c r="M74" s="169" t="n">
        <v>0</v>
      </c>
      <c r="N74" s="169" t="n">
        <v>0</v>
      </c>
      <c r="O74" s="169" t="n">
        <v>0</v>
      </c>
      <c r="P74" s="169" t="n">
        <v>0</v>
      </c>
      <c r="Q74" s="169" t="n">
        <v>0</v>
      </c>
      <c r="R74" s="169" t="n">
        <v>0</v>
      </c>
      <c r="S74" s="169" t="n">
        <v>0</v>
      </c>
      <c r="T74" s="169" t="n">
        <v>0</v>
      </c>
      <c r="U74" s="169" t="n">
        <v>0</v>
      </c>
      <c r="V74" s="169" t="n">
        <v>0</v>
      </c>
      <c r="W74" s="169" t="n">
        <v>0</v>
      </c>
      <c r="X74" s="169" t="n">
        <v>0</v>
      </c>
      <c r="Y74" s="169" t="n">
        <v>0</v>
      </c>
      <c r="Z74" s="169" t="n">
        <v>0</v>
      </c>
      <c r="AA74" s="169" t="n">
        <v>270</v>
      </c>
      <c r="AB74" s="172" t="n"/>
      <c r="AC74" s="140" t="n">
        <v>0</v>
      </c>
    </row>
    <row r="75" outlineLevel="1" s="86">
      <c r="B75" s="138" t="inlineStr">
        <is>
          <t xml:space="preserve">    Etiquetas</t>
        </is>
      </c>
      <c r="C75" s="169" t="n">
        <v>0</v>
      </c>
      <c r="D75" s="169" t="n">
        <v>0</v>
      </c>
      <c r="E75" s="169" t="n">
        <v>0</v>
      </c>
      <c r="F75" s="169" t="n">
        <v>0</v>
      </c>
      <c r="G75" s="169" t="n">
        <v>0</v>
      </c>
      <c r="H75" s="169" t="n">
        <v>0</v>
      </c>
      <c r="I75" s="169" t="n">
        <v>0</v>
      </c>
      <c r="J75" s="169" t="n">
        <v>0</v>
      </c>
      <c r="K75" s="169" t="n">
        <v>0</v>
      </c>
      <c r="L75" s="169" t="n">
        <v>0</v>
      </c>
      <c r="M75" s="169" t="n">
        <v>0</v>
      </c>
      <c r="N75" s="169" t="n">
        <v>0</v>
      </c>
      <c r="O75" s="169" t="n">
        <v>0</v>
      </c>
      <c r="P75" s="169" t="n">
        <v>0</v>
      </c>
      <c r="Q75" s="169" t="n">
        <v>0</v>
      </c>
      <c r="R75" s="169" t="n">
        <v>0</v>
      </c>
      <c r="S75" s="169" t="n">
        <v>0</v>
      </c>
      <c r="T75" s="169" t="n">
        <v>0</v>
      </c>
      <c r="U75" s="169" t="n">
        <v>0</v>
      </c>
      <c r="V75" s="169" t="n">
        <v>0</v>
      </c>
      <c r="W75" s="169" t="n">
        <v>0</v>
      </c>
      <c r="X75" s="169" t="n">
        <v>80</v>
      </c>
      <c r="Y75" s="169" t="n">
        <v>0</v>
      </c>
      <c r="Z75" s="169" t="n">
        <v>120</v>
      </c>
      <c r="AA75" s="169" t="n">
        <v>200</v>
      </c>
      <c r="AB75" s="172" t="n"/>
      <c r="AC75" s="140" t="n">
        <v>0</v>
      </c>
    </row>
    <row r="76" outlineLevel="1" s="86">
      <c r="B76" s="138" t="inlineStr">
        <is>
          <t xml:space="preserve">    Despesas com Documentos e Xerox</t>
        </is>
      </c>
      <c r="C76" s="169" t="n">
        <v>0</v>
      </c>
      <c r="D76" s="169" t="n">
        <v>0</v>
      </c>
      <c r="E76" s="169" t="n">
        <v>0</v>
      </c>
      <c r="F76" s="169" t="n">
        <v>0</v>
      </c>
      <c r="G76" s="169" t="n">
        <v>0</v>
      </c>
      <c r="H76" s="169" t="n">
        <v>0</v>
      </c>
      <c r="I76" s="169" t="n">
        <v>0</v>
      </c>
      <c r="J76" s="169" t="n">
        <v>0</v>
      </c>
      <c r="K76" s="169" t="n">
        <v>0</v>
      </c>
      <c r="L76" s="169" t="n">
        <v>0</v>
      </c>
      <c r="M76" s="169" t="n">
        <v>50.21</v>
      </c>
      <c r="N76" s="169" t="n">
        <v>0</v>
      </c>
      <c r="O76" s="169" t="n">
        <v>0</v>
      </c>
      <c r="P76" s="169" t="n">
        <v>0</v>
      </c>
      <c r="Q76" s="169" t="n">
        <v>0</v>
      </c>
      <c r="R76" s="169" t="n">
        <v>0</v>
      </c>
      <c r="S76" s="169" t="n">
        <v>0</v>
      </c>
      <c r="T76" s="169" t="n">
        <v>0</v>
      </c>
      <c r="U76" s="169" t="n">
        <v>0</v>
      </c>
      <c r="V76" s="169" t="n">
        <v>0</v>
      </c>
      <c r="W76" s="169" t="n">
        <v>0</v>
      </c>
      <c r="X76" s="169" t="n">
        <v>0</v>
      </c>
      <c r="Y76" s="169" t="n">
        <v>0</v>
      </c>
      <c r="Z76" s="169" t="n">
        <v>0</v>
      </c>
      <c r="AA76" s="169" t="n">
        <v>50.21</v>
      </c>
      <c r="AB76" s="172" t="n"/>
      <c r="AC76" s="140" t="n">
        <v>0</v>
      </c>
    </row>
    <row r="77">
      <c r="B77" s="141" t="inlineStr">
        <is>
          <t>(=) TOTAL DESPESAS ADMINISTRATIVAS</t>
        </is>
      </c>
      <c r="C77" s="171" t="n">
        <v>3885</v>
      </c>
      <c r="D77" s="171" t="n">
        <v>0</v>
      </c>
      <c r="E77" s="171" t="n">
        <v>0</v>
      </c>
      <c r="F77" s="171" t="n">
        <v>10493.86</v>
      </c>
      <c r="G77" s="171" t="n">
        <v>62756.99</v>
      </c>
      <c r="H77" s="171" t="n">
        <v>60721.5</v>
      </c>
      <c r="I77" s="171" t="n">
        <v>66568.28</v>
      </c>
      <c r="J77" s="171" t="n">
        <v>66285.50999999999</v>
      </c>
      <c r="K77" s="171" t="n">
        <v>69414.28999999999</v>
      </c>
      <c r="L77" s="171" t="n">
        <v>82616.72</v>
      </c>
      <c r="M77" s="171" t="n">
        <v>71377.27</v>
      </c>
      <c r="N77" s="171" t="n">
        <v>67445.66</v>
      </c>
      <c r="O77" s="171" t="n">
        <v>76062.61</v>
      </c>
      <c r="P77" s="171" t="n">
        <v>21596.36</v>
      </c>
      <c r="Q77" s="171" t="n">
        <v>36711.14</v>
      </c>
      <c r="R77" s="171" t="n">
        <v>26384.72</v>
      </c>
      <c r="S77" s="171" t="n">
        <v>23989.14</v>
      </c>
      <c r="T77" s="171" t="n">
        <v>26780.37</v>
      </c>
      <c r="U77" s="171" t="n">
        <v>22591.74</v>
      </c>
      <c r="V77" s="171" t="n">
        <v>33176.67</v>
      </c>
      <c r="W77" s="171" t="n">
        <v>14756.54</v>
      </c>
      <c r="X77" s="171" t="n">
        <v>33779.25</v>
      </c>
      <c r="Y77" s="171" t="n">
        <v>89123.62</v>
      </c>
      <c r="Z77" s="171" t="n">
        <v>77612.96000000001</v>
      </c>
      <c r="AA77" s="171" t="n">
        <v>1044130.2</v>
      </c>
      <c r="AB77" s="172" t="n">
        <v>-0.1292</v>
      </c>
      <c r="AC77" s="140" t="n">
        <v>0.1103</v>
      </c>
    </row>
    <row r="78">
      <c r="B78" s="142" t="inlineStr">
        <is>
          <t>(=) EBITDA</t>
        </is>
      </c>
      <c r="C78" s="173" t="n">
        <v>-3885</v>
      </c>
      <c r="D78" s="173" t="n">
        <v>0</v>
      </c>
      <c r="E78" s="173" t="n">
        <v>-5300</v>
      </c>
      <c r="F78" s="173" t="n">
        <v>-78485.75999999999</v>
      </c>
      <c r="G78" s="173" t="n">
        <v>-98508.05</v>
      </c>
      <c r="H78" s="173" t="n">
        <v>-51061</v>
      </c>
      <c r="I78" s="173" t="n">
        <v>-92678.85000000001</v>
      </c>
      <c r="J78" s="173" t="n">
        <v>2954.74</v>
      </c>
      <c r="K78" s="173" t="n">
        <v>-66346</v>
      </c>
      <c r="L78" s="173" t="n">
        <v>22576.15</v>
      </c>
      <c r="M78" s="173" t="n">
        <v>-27668.54</v>
      </c>
      <c r="N78" s="173" t="n">
        <v>-3197.73</v>
      </c>
      <c r="O78" s="173" t="n">
        <v>-83465.07000000001</v>
      </c>
      <c r="P78" s="173" t="n">
        <v>40864.91</v>
      </c>
      <c r="Q78" s="173" t="n">
        <v>-2849.91</v>
      </c>
      <c r="R78" s="173" t="n">
        <v>-36915.11</v>
      </c>
      <c r="S78" s="173" t="n">
        <v>-4433.43</v>
      </c>
      <c r="T78" s="173" t="n">
        <v>-8132</v>
      </c>
      <c r="U78" s="173" t="n">
        <v>17437.09</v>
      </c>
      <c r="V78" s="173" t="n">
        <v>33932.69</v>
      </c>
      <c r="W78" s="173" t="n">
        <v>64752.81</v>
      </c>
      <c r="X78" s="173" t="n">
        <v>50472.4</v>
      </c>
      <c r="Y78" s="173" t="n">
        <v>-13015.83</v>
      </c>
      <c r="Z78" s="173" t="n">
        <v>-28003.3</v>
      </c>
      <c r="AA78" s="173" t="n">
        <v>-370954.79</v>
      </c>
      <c r="AB78" s="172" t="n">
        <v>-1.1515</v>
      </c>
      <c r="AC78" s="140" t="n">
        <v>-0.0392</v>
      </c>
    </row>
    <row r="79"/>
    <row r="80">
      <c r="B80" s="136" t="inlineStr">
        <is>
          <t>(-) DESPESAS FINANCEIRAS</t>
        </is>
      </c>
      <c r="C80" s="137" t="n"/>
      <c r="D80" s="137" t="n"/>
      <c r="E80" s="137" t="n"/>
      <c r="F80" s="137" t="n"/>
      <c r="G80" s="137" t="n"/>
      <c r="H80" s="137" t="n"/>
      <c r="I80" s="137" t="n"/>
      <c r="J80" s="137" t="n"/>
      <c r="K80" s="137" t="n"/>
      <c r="L80" s="137" t="n"/>
      <c r="M80" s="137" t="n"/>
      <c r="N80" s="137" t="n"/>
      <c r="O80" s="137" t="n"/>
      <c r="P80" s="137" t="n"/>
      <c r="Q80" s="137" t="n"/>
      <c r="R80" s="137" t="n"/>
      <c r="S80" s="137" t="n"/>
      <c r="T80" s="137" t="n"/>
      <c r="U80" s="137" t="n"/>
      <c r="V80" s="137" t="n"/>
      <c r="W80" s="137" t="n"/>
      <c r="X80" s="137" t="n"/>
      <c r="Y80" s="137" t="n"/>
      <c r="Z80" s="137" t="n"/>
      <c r="AA80" s="137" t="n"/>
    </row>
    <row r="81" outlineLevel="1" s="86">
      <c r="B81" s="138" t="inlineStr">
        <is>
          <t xml:space="preserve">    Empréstimos</t>
        </is>
      </c>
      <c r="C81" s="169" t="n">
        <v>0</v>
      </c>
      <c r="D81" s="169" t="n">
        <v>0</v>
      </c>
      <c r="E81" s="169" t="n">
        <v>0</v>
      </c>
      <c r="F81" s="169" t="n">
        <v>0</v>
      </c>
      <c r="G81" s="169" t="n">
        <v>0</v>
      </c>
      <c r="H81" s="169" t="n">
        <v>0</v>
      </c>
      <c r="I81" s="169" t="n">
        <v>17635.02</v>
      </c>
      <c r="J81" s="169" t="n">
        <v>17660.87</v>
      </c>
      <c r="K81" s="169" t="n">
        <v>33097.78</v>
      </c>
      <c r="L81" s="169" t="n">
        <v>75426.78</v>
      </c>
      <c r="M81" s="169" t="n">
        <v>75486.78</v>
      </c>
      <c r="N81" s="169" t="n">
        <v>81252.11</v>
      </c>
      <c r="O81" s="169" t="n">
        <v>75426.78</v>
      </c>
      <c r="P81" s="169" t="n">
        <v>124823.38</v>
      </c>
      <c r="Q81" s="169" t="n">
        <v>95629.47</v>
      </c>
      <c r="R81" s="169" t="n">
        <v>83254.7</v>
      </c>
      <c r="S81" s="169" t="n">
        <v>83322.37</v>
      </c>
      <c r="T81" s="169" t="n">
        <v>83514.06</v>
      </c>
      <c r="U81" s="169" t="n">
        <v>103560.2</v>
      </c>
      <c r="V81" s="169" t="n">
        <v>103771.9</v>
      </c>
      <c r="W81" s="169" t="n">
        <v>103251.2</v>
      </c>
      <c r="X81" s="169" t="n">
        <v>0</v>
      </c>
      <c r="Y81" s="169" t="n">
        <v>0</v>
      </c>
      <c r="Z81" s="169" t="n">
        <v>0</v>
      </c>
      <c r="AA81" s="169" t="n">
        <v>1157113.4</v>
      </c>
      <c r="AB81" s="172" t="n"/>
      <c r="AC81" s="140" t="n">
        <v>0.1222</v>
      </c>
    </row>
    <row r="82" outlineLevel="1" s="86">
      <c r="B82" s="138" t="inlineStr">
        <is>
          <t xml:space="preserve">    Juros de Empréstimos</t>
        </is>
      </c>
      <c r="C82" s="169" t="n">
        <v>0</v>
      </c>
      <c r="D82" s="169" t="n">
        <v>0</v>
      </c>
      <c r="E82" s="169" t="n">
        <v>0</v>
      </c>
      <c r="F82" s="169" t="n">
        <v>0</v>
      </c>
      <c r="G82" s="169" t="n">
        <v>0</v>
      </c>
      <c r="H82" s="169" t="n">
        <v>0</v>
      </c>
      <c r="I82" s="169" t="n">
        <v>0</v>
      </c>
      <c r="J82" s="169" t="n">
        <v>0</v>
      </c>
      <c r="K82" s="169" t="n">
        <v>0</v>
      </c>
      <c r="L82" s="169" t="n">
        <v>6250</v>
      </c>
      <c r="M82" s="169" t="n">
        <v>7581</v>
      </c>
      <c r="N82" s="169" t="n">
        <v>8705</v>
      </c>
      <c r="O82" s="169" t="n">
        <v>7750</v>
      </c>
      <c r="P82" s="169" t="n">
        <v>7750</v>
      </c>
      <c r="Q82" s="169" t="n">
        <v>7750</v>
      </c>
      <c r="R82" s="169" t="n">
        <v>7750</v>
      </c>
      <c r="S82" s="169" t="n">
        <v>7750</v>
      </c>
      <c r="T82" s="169" t="n">
        <v>7750</v>
      </c>
      <c r="U82" s="169" t="n">
        <v>7750</v>
      </c>
      <c r="V82" s="169" t="n">
        <v>0</v>
      </c>
      <c r="W82" s="169" t="n">
        <v>0</v>
      </c>
      <c r="X82" s="169" t="n">
        <v>0</v>
      </c>
      <c r="Y82" s="169" t="n">
        <v>0</v>
      </c>
      <c r="Z82" s="169" t="n">
        <v>0</v>
      </c>
      <c r="AA82" s="169" t="n">
        <v>76786</v>
      </c>
      <c r="AB82" s="172" t="n"/>
      <c r="AC82" s="140" t="n">
        <v>0.0081</v>
      </c>
    </row>
    <row r="83" outlineLevel="1" s="86">
      <c r="B83" s="138" t="inlineStr">
        <is>
          <t xml:space="preserve">    Tarifas e Custos de Op. Bancárias</t>
        </is>
      </c>
      <c r="C83" s="169" t="n">
        <v>13783</v>
      </c>
      <c r="D83" s="169" t="n">
        <v>17592</v>
      </c>
      <c r="E83" s="169" t="n">
        <v>20252</v>
      </c>
      <c r="F83" s="169" t="n">
        <v>0</v>
      </c>
      <c r="G83" s="169" t="n">
        <v>0</v>
      </c>
      <c r="H83" s="169" t="n">
        <v>3.3</v>
      </c>
      <c r="I83" s="169" t="n">
        <v>646.87</v>
      </c>
      <c r="J83" s="169" t="n">
        <v>154.1</v>
      </c>
      <c r="K83" s="169" t="n">
        <v>0</v>
      </c>
      <c r="L83" s="169" t="n">
        <v>4100</v>
      </c>
      <c r="M83" s="169" t="n">
        <v>2550</v>
      </c>
      <c r="N83" s="169" t="n">
        <v>0</v>
      </c>
      <c r="O83" s="169" t="n">
        <v>0</v>
      </c>
      <c r="P83" s="169" t="n">
        <v>0</v>
      </c>
      <c r="Q83" s="169" t="n">
        <v>0</v>
      </c>
      <c r="R83" s="169" t="n">
        <v>0</v>
      </c>
      <c r="S83" s="169" t="n">
        <v>0</v>
      </c>
      <c r="T83" s="169" t="n">
        <v>0</v>
      </c>
      <c r="U83" s="169" t="n">
        <v>0</v>
      </c>
      <c r="V83" s="169" t="n">
        <v>0</v>
      </c>
      <c r="W83" s="169" t="n">
        <v>0</v>
      </c>
      <c r="X83" s="169" t="n">
        <v>0</v>
      </c>
      <c r="Y83" s="169" t="n">
        <v>0</v>
      </c>
      <c r="Z83" s="169" t="n">
        <v>0</v>
      </c>
      <c r="AA83" s="169" t="n">
        <v>59081.27</v>
      </c>
      <c r="AB83" s="172" t="n"/>
      <c r="AC83" s="140" t="n">
        <v>0.0062</v>
      </c>
    </row>
    <row r="84" outlineLevel="1" s="86">
      <c r="B84" s="138" t="inlineStr">
        <is>
          <t xml:space="preserve">    Darf</t>
        </is>
      </c>
      <c r="C84" s="169" t="n">
        <v>0</v>
      </c>
      <c r="D84" s="169" t="n">
        <v>0</v>
      </c>
      <c r="E84" s="169" t="n">
        <v>0</v>
      </c>
      <c r="F84" s="169" t="n">
        <v>0</v>
      </c>
      <c r="G84" s="169" t="n">
        <v>10917.99</v>
      </c>
      <c r="H84" s="169" t="n">
        <v>0</v>
      </c>
      <c r="I84" s="169" t="n">
        <v>2170.05</v>
      </c>
      <c r="J84" s="169" t="n">
        <v>0</v>
      </c>
      <c r="K84" s="169" t="n">
        <v>0</v>
      </c>
      <c r="L84" s="169" t="n">
        <v>0</v>
      </c>
      <c r="M84" s="169" t="n">
        <v>148.64</v>
      </c>
      <c r="N84" s="169" t="n">
        <v>4655.22</v>
      </c>
      <c r="O84" s="169" t="n">
        <v>882.6</v>
      </c>
      <c r="P84" s="169" t="n">
        <v>0</v>
      </c>
      <c r="Q84" s="169" t="n">
        <v>4439.64</v>
      </c>
      <c r="R84" s="169" t="n">
        <v>2855.89</v>
      </c>
      <c r="S84" s="169" t="n">
        <v>8591.51</v>
      </c>
      <c r="T84" s="169" t="n">
        <v>1967.03</v>
      </c>
      <c r="U84" s="169" t="n">
        <v>1927.86</v>
      </c>
      <c r="V84" s="169" t="n">
        <v>1153.94</v>
      </c>
      <c r="W84" s="169" t="n">
        <v>0</v>
      </c>
      <c r="X84" s="169" t="n">
        <v>3138.46</v>
      </c>
      <c r="Y84" s="169" t="n">
        <v>3369.53</v>
      </c>
      <c r="Z84" s="169" t="n">
        <v>2807.95</v>
      </c>
      <c r="AA84" s="169" t="n">
        <v>49026.31</v>
      </c>
      <c r="AB84" s="172" t="n">
        <v>-0.1667</v>
      </c>
      <c r="AC84" s="140" t="n">
        <v>0.0052</v>
      </c>
    </row>
    <row r="85" outlineLevel="1" s="86">
      <c r="B85" s="138" t="inlineStr">
        <is>
          <t xml:space="preserve">    Consórcio</t>
        </is>
      </c>
      <c r="C85" s="169" t="n">
        <v>0</v>
      </c>
      <c r="D85" s="169" t="n">
        <v>0</v>
      </c>
      <c r="E85" s="169" t="n">
        <v>0</v>
      </c>
      <c r="F85" s="169" t="n">
        <v>0</v>
      </c>
      <c r="G85" s="169" t="n">
        <v>0</v>
      </c>
      <c r="H85" s="169" t="n">
        <v>0</v>
      </c>
      <c r="I85" s="169" t="n">
        <v>0</v>
      </c>
      <c r="J85" s="169" t="n">
        <v>0</v>
      </c>
      <c r="K85" s="169" t="n">
        <v>0</v>
      </c>
      <c r="L85" s="169" t="n">
        <v>0</v>
      </c>
      <c r="M85" s="169" t="n">
        <v>0</v>
      </c>
      <c r="N85" s="169" t="n">
        <v>0</v>
      </c>
      <c r="O85" s="169" t="n">
        <v>0</v>
      </c>
      <c r="P85" s="169" t="n">
        <v>2055.6</v>
      </c>
      <c r="Q85" s="169" t="n">
        <v>0.01</v>
      </c>
      <c r="R85" s="169" t="n">
        <v>2000</v>
      </c>
      <c r="S85" s="169" t="n">
        <v>1985.33</v>
      </c>
      <c r="T85" s="169" t="n">
        <v>2056</v>
      </c>
      <c r="U85" s="169" t="n">
        <v>2055.6</v>
      </c>
      <c r="V85" s="169" t="n">
        <v>2077.21</v>
      </c>
      <c r="W85" s="169" t="n">
        <v>0</v>
      </c>
      <c r="X85" s="169" t="n">
        <v>2083.88</v>
      </c>
      <c r="Y85" s="169" t="n">
        <v>0</v>
      </c>
      <c r="Z85" s="169" t="n">
        <v>2055.6</v>
      </c>
      <c r="AA85" s="169" t="n">
        <v>16369.23</v>
      </c>
      <c r="AB85" s="172" t="n"/>
      <c r="AC85" s="140" t="n">
        <v>0.0017</v>
      </c>
    </row>
    <row r="86" outlineLevel="1" s="86">
      <c r="B86" s="138" t="inlineStr">
        <is>
          <t xml:space="preserve">    Multas e Juros por Atraso</t>
        </is>
      </c>
      <c r="C86" s="169" t="n">
        <v>0</v>
      </c>
      <c r="D86" s="169" t="n">
        <v>0</v>
      </c>
      <c r="E86" s="169" t="n">
        <v>0</v>
      </c>
      <c r="F86" s="169" t="n">
        <v>0</v>
      </c>
      <c r="G86" s="169" t="n">
        <v>0</v>
      </c>
      <c r="H86" s="169" t="n">
        <v>3.7</v>
      </c>
      <c r="I86" s="169" t="n">
        <v>0</v>
      </c>
      <c r="J86" s="169" t="n">
        <v>0</v>
      </c>
      <c r="K86" s="169" t="n">
        <v>0</v>
      </c>
      <c r="L86" s="169" t="n">
        <v>0</v>
      </c>
      <c r="M86" s="169" t="n">
        <v>0</v>
      </c>
      <c r="N86" s="169" t="n">
        <v>4500</v>
      </c>
      <c r="O86" s="169" t="n">
        <v>4910.24</v>
      </c>
      <c r="P86" s="169" t="n">
        <v>0</v>
      </c>
      <c r="Q86" s="169" t="n">
        <v>0</v>
      </c>
      <c r="R86" s="169" t="n">
        <v>0</v>
      </c>
      <c r="S86" s="169" t="n">
        <v>0</v>
      </c>
      <c r="T86" s="169" t="n">
        <v>0</v>
      </c>
      <c r="U86" s="169" t="n">
        <v>0</v>
      </c>
      <c r="V86" s="169" t="n">
        <v>0</v>
      </c>
      <c r="W86" s="169" t="n">
        <v>0</v>
      </c>
      <c r="X86" s="169" t="n">
        <v>0</v>
      </c>
      <c r="Y86" s="169" t="n">
        <v>0</v>
      </c>
      <c r="Z86" s="169" t="n">
        <v>0</v>
      </c>
      <c r="AA86" s="169" t="n">
        <v>9413.940000000001</v>
      </c>
      <c r="AB86" s="172" t="n"/>
      <c r="AC86" s="140" t="n">
        <v>0.001</v>
      </c>
    </row>
    <row r="87" outlineLevel="1" s="86">
      <c r="B87" s="138" t="inlineStr">
        <is>
          <t xml:space="preserve">    Empréstimos a Terceiros</t>
        </is>
      </c>
      <c r="C87" s="169" t="n">
        <v>0</v>
      </c>
      <c r="D87" s="169" t="n">
        <v>0</v>
      </c>
      <c r="E87" s="169" t="n">
        <v>0</v>
      </c>
      <c r="F87" s="169" t="n">
        <v>0</v>
      </c>
      <c r="G87" s="169" t="n">
        <v>0</v>
      </c>
      <c r="H87" s="169" t="n">
        <v>0</v>
      </c>
      <c r="I87" s="169" t="n">
        <v>0</v>
      </c>
      <c r="J87" s="169" t="n">
        <v>0</v>
      </c>
      <c r="K87" s="169" t="n">
        <v>0</v>
      </c>
      <c r="L87" s="169" t="n">
        <v>0</v>
      </c>
      <c r="M87" s="169" t="n">
        <v>0</v>
      </c>
      <c r="N87" s="169" t="n">
        <v>0</v>
      </c>
      <c r="O87" s="169" t="n">
        <v>0</v>
      </c>
      <c r="P87" s="169" t="n">
        <v>0</v>
      </c>
      <c r="Q87" s="169" t="n">
        <v>0</v>
      </c>
      <c r="R87" s="169" t="n">
        <v>0</v>
      </c>
      <c r="S87" s="169" t="n">
        <v>0</v>
      </c>
      <c r="T87" s="169" t="n">
        <v>0</v>
      </c>
      <c r="U87" s="169" t="n">
        <v>0</v>
      </c>
      <c r="V87" s="169" t="n">
        <v>7750</v>
      </c>
      <c r="W87" s="169" t="n">
        <v>0</v>
      </c>
      <c r="X87" s="169" t="n">
        <v>0</v>
      </c>
      <c r="Y87" s="169" t="n">
        <v>0</v>
      </c>
      <c r="Z87" s="169" t="n">
        <v>0</v>
      </c>
      <c r="AA87" s="169" t="n">
        <v>7750</v>
      </c>
      <c r="AB87" s="172" t="n"/>
      <c r="AC87" s="140" t="n">
        <v>0.0008</v>
      </c>
    </row>
    <row r="88" outlineLevel="1" s="86">
      <c r="B88" s="138" t="inlineStr">
        <is>
          <t xml:space="preserve">    Outros Tributos</t>
        </is>
      </c>
      <c r="C88" s="169" t="n">
        <v>0</v>
      </c>
      <c r="D88" s="169" t="n">
        <v>0</v>
      </c>
      <c r="E88" s="169" t="n">
        <v>0</v>
      </c>
      <c r="F88" s="169" t="n">
        <v>0</v>
      </c>
      <c r="G88" s="169" t="n">
        <v>0</v>
      </c>
      <c r="H88" s="169" t="n">
        <v>0</v>
      </c>
      <c r="I88" s="169" t="n">
        <v>0</v>
      </c>
      <c r="J88" s="169" t="n">
        <v>0</v>
      </c>
      <c r="K88" s="169" t="n">
        <v>0</v>
      </c>
      <c r="L88" s="169" t="n">
        <v>0</v>
      </c>
      <c r="M88" s="169" t="n">
        <v>0</v>
      </c>
      <c r="N88" s="169" t="n">
        <v>0</v>
      </c>
      <c r="O88" s="169" t="n">
        <v>2360.04</v>
      </c>
      <c r="P88" s="169" t="n">
        <v>2929.54</v>
      </c>
      <c r="Q88" s="169" t="n">
        <v>0</v>
      </c>
      <c r="R88" s="169" t="n">
        <v>0</v>
      </c>
      <c r="S88" s="169" t="n">
        <v>517.08</v>
      </c>
      <c r="T88" s="169" t="n">
        <v>22</v>
      </c>
      <c r="U88" s="169" t="n">
        <v>89.29000000000001</v>
      </c>
      <c r="V88" s="169" t="n">
        <v>24.22</v>
      </c>
      <c r="W88" s="169" t="n">
        <v>0</v>
      </c>
      <c r="X88" s="169" t="n">
        <v>83</v>
      </c>
      <c r="Y88" s="169" t="n">
        <v>90.77</v>
      </c>
      <c r="Z88" s="169" t="n">
        <v>83</v>
      </c>
      <c r="AA88" s="169" t="n">
        <v>6198.94</v>
      </c>
      <c r="AB88" s="172" t="n">
        <v>-0.0856</v>
      </c>
      <c r="AC88" s="140" t="n">
        <v>0.0007</v>
      </c>
    </row>
    <row r="89" outlineLevel="1" s="86">
      <c r="B89" s="138" t="inlineStr">
        <is>
          <t xml:space="preserve">    Ipva</t>
        </is>
      </c>
      <c r="C89" s="169" t="n">
        <v>0</v>
      </c>
      <c r="D89" s="169" t="n">
        <v>0</v>
      </c>
      <c r="E89" s="169" t="n">
        <v>0</v>
      </c>
      <c r="F89" s="169" t="n">
        <v>0</v>
      </c>
      <c r="G89" s="169" t="n">
        <v>0</v>
      </c>
      <c r="H89" s="169" t="n">
        <v>0</v>
      </c>
      <c r="I89" s="169" t="n">
        <v>0</v>
      </c>
      <c r="J89" s="169" t="n">
        <v>0</v>
      </c>
      <c r="K89" s="169" t="n">
        <v>0</v>
      </c>
      <c r="L89" s="169" t="n">
        <v>3385.22</v>
      </c>
      <c r="M89" s="169" t="n">
        <v>0</v>
      </c>
      <c r="N89" s="169" t="n">
        <v>0</v>
      </c>
      <c r="O89" s="169" t="n">
        <v>681.34</v>
      </c>
      <c r="P89" s="169" t="n">
        <v>0</v>
      </c>
      <c r="Q89" s="169" t="n">
        <v>0</v>
      </c>
      <c r="R89" s="169" t="n">
        <v>0</v>
      </c>
      <c r="S89" s="169" t="n">
        <v>0</v>
      </c>
      <c r="T89" s="169" t="n">
        <v>0</v>
      </c>
      <c r="U89" s="169" t="n">
        <v>0</v>
      </c>
      <c r="V89" s="169" t="n">
        <v>0</v>
      </c>
      <c r="W89" s="169" t="n">
        <v>0</v>
      </c>
      <c r="X89" s="169" t="n">
        <v>0</v>
      </c>
      <c r="Y89" s="169" t="n">
        <v>0</v>
      </c>
      <c r="Z89" s="169" t="n">
        <v>0</v>
      </c>
      <c r="AA89" s="169" t="n">
        <v>4066.56</v>
      </c>
      <c r="AB89" s="172" t="n"/>
      <c r="AC89" s="140" t="n">
        <v>0.0004</v>
      </c>
    </row>
    <row r="90" outlineLevel="1" s="86">
      <c r="B90" s="138" t="inlineStr">
        <is>
          <t xml:space="preserve">    Multas</t>
        </is>
      </c>
      <c r="C90" s="169" t="n">
        <v>0</v>
      </c>
      <c r="D90" s="169" t="n">
        <v>0</v>
      </c>
      <c r="E90" s="169" t="n">
        <v>0</v>
      </c>
      <c r="F90" s="169" t="n">
        <v>0</v>
      </c>
      <c r="G90" s="169" t="n">
        <v>156.18</v>
      </c>
      <c r="H90" s="169" t="n">
        <v>156.18</v>
      </c>
      <c r="I90" s="169" t="n">
        <v>0</v>
      </c>
      <c r="J90" s="169" t="n">
        <v>0</v>
      </c>
      <c r="K90" s="169" t="n">
        <v>234.78</v>
      </c>
      <c r="L90" s="169" t="n">
        <v>0</v>
      </c>
      <c r="M90" s="169" t="n">
        <v>0</v>
      </c>
      <c r="N90" s="169" t="n">
        <v>0</v>
      </c>
      <c r="O90" s="169" t="n">
        <v>104.13</v>
      </c>
      <c r="P90" s="169" t="n">
        <v>2734.2</v>
      </c>
      <c r="Q90" s="169" t="n">
        <v>0</v>
      </c>
      <c r="R90" s="169" t="n">
        <v>0</v>
      </c>
      <c r="S90" s="169" t="n">
        <v>0</v>
      </c>
      <c r="T90" s="169" t="n">
        <v>0</v>
      </c>
      <c r="U90" s="169" t="n">
        <v>0</v>
      </c>
      <c r="V90" s="169" t="n">
        <v>0</v>
      </c>
      <c r="W90" s="169" t="n">
        <v>0</v>
      </c>
      <c r="X90" s="169" t="n">
        <v>0</v>
      </c>
      <c r="Y90" s="169" t="n">
        <v>0</v>
      </c>
      <c r="Z90" s="169" t="n">
        <v>0</v>
      </c>
      <c r="AA90" s="169" t="n">
        <v>3385.47</v>
      </c>
      <c r="AB90" s="172" t="n"/>
      <c r="AC90" s="140" t="n">
        <v>0.0004</v>
      </c>
    </row>
    <row r="91" outlineLevel="1" s="86">
      <c r="B91" s="138" t="inlineStr">
        <is>
          <t xml:space="preserve">    ICMS</t>
        </is>
      </c>
      <c r="C91" s="169" t="n">
        <v>0</v>
      </c>
      <c r="D91" s="169" t="n">
        <v>0</v>
      </c>
      <c r="E91" s="169" t="n">
        <v>0</v>
      </c>
      <c r="F91" s="169" t="n">
        <v>0</v>
      </c>
      <c r="G91" s="169" t="n">
        <v>0</v>
      </c>
      <c r="H91" s="169" t="n">
        <v>0</v>
      </c>
      <c r="I91" s="169" t="n">
        <v>0</v>
      </c>
      <c r="J91" s="169" t="n">
        <v>0</v>
      </c>
      <c r="K91" s="169" t="n">
        <v>0</v>
      </c>
      <c r="L91" s="169" t="n">
        <v>0</v>
      </c>
      <c r="M91" s="169" t="n">
        <v>0</v>
      </c>
      <c r="N91" s="169" t="n">
        <v>0</v>
      </c>
      <c r="O91" s="169" t="n">
        <v>0</v>
      </c>
      <c r="P91" s="169" t="n">
        <v>0</v>
      </c>
      <c r="Q91" s="169" t="n">
        <v>0</v>
      </c>
      <c r="R91" s="169" t="n">
        <v>0</v>
      </c>
      <c r="S91" s="169" t="n">
        <v>0</v>
      </c>
      <c r="T91" s="169" t="n">
        <v>0</v>
      </c>
      <c r="U91" s="169" t="n">
        <v>0</v>
      </c>
      <c r="V91" s="169" t="n">
        <v>130.21</v>
      </c>
      <c r="W91" s="169" t="n">
        <v>0</v>
      </c>
      <c r="X91" s="169" t="n">
        <v>292.81</v>
      </c>
      <c r="Y91" s="169" t="n">
        <v>112.18</v>
      </c>
      <c r="Z91" s="169" t="n">
        <v>606.35</v>
      </c>
      <c r="AA91" s="169" t="n">
        <v>1141.55</v>
      </c>
      <c r="AB91" s="172" t="n">
        <v>4.4052</v>
      </c>
      <c r="AC91" s="140" t="n">
        <v>0.0001</v>
      </c>
    </row>
    <row r="92">
      <c r="B92" s="141" t="inlineStr">
        <is>
          <t>(=) TOTAL DESPESAS FINANCEIRAS</t>
        </is>
      </c>
      <c r="C92" s="171" t="n">
        <v>13783</v>
      </c>
      <c r="D92" s="171" t="n">
        <v>17592</v>
      </c>
      <c r="E92" s="171" t="n">
        <v>20252</v>
      </c>
      <c r="F92" s="171" t="n">
        <v>0</v>
      </c>
      <c r="G92" s="171" t="n">
        <v>11074.17</v>
      </c>
      <c r="H92" s="171" t="n">
        <v>163.18</v>
      </c>
      <c r="I92" s="171" t="n">
        <v>20451.94</v>
      </c>
      <c r="J92" s="171" t="n">
        <v>17814.97</v>
      </c>
      <c r="K92" s="171" t="n">
        <v>33332.56</v>
      </c>
      <c r="L92" s="171" t="n">
        <v>89162</v>
      </c>
      <c r="M92" s="171" t="n">
        <v>85766.42</v>
      </c>
      <c r="N92" s="171" t="n">
        <v>99112.33</v>
      </c>
      <c r="O92" s="171" t="n">
        <v>92115.13</v>
      </c>
      <c r="P92" s="171" t="n">
        <v>140292.72</v>
      </c>
      <c r="Q92" s="171" t="n">
        <v>107819.12</v>
      </c>
      <c r="R92" s="171" t="n">
        <v>95860.59</v>
      </c>
      <c r="S92" s="171" t="n">
        <v>102166.29</v>
      </c>
      <c r="T92" s="171" t="n">
        <v>95309.09</v>
      </c>
      <c r="U92" s="171" t="n">
        <v>115382.95</v>
      </c>
      <c r="V92" s="171" t="n">
        <v>114907.48</v>
      </c>
      <c r="W92" s="171" t="n">
        <v>103251.2</v>
      </c>
      <c r="X92" s="171" t="n">
        <v>5598.15</v>
      </c>
      <c r="Y92" s="171" t="n">
        <v>3572.48</v>
      </c>
      <c r="Z92" s="171" t="n">
        <v>5552.9</v>
      </c>
      <c r="AA92" s="171" t="n">
        <v>1390332.67</v>
      </c>
      <c r="AB92" s="172" t="n">
        <v>0.5544</v>
      </c>
      <c r="AC92" s="140" t="n">
        <v>0.1468</v>
      </c>
    </row>
    <row r="93">
      <c r="B93" s="136" t="inlineStr">
        <is>
          <t>(-) RETIRADAS DE SÓCIOS</t>
        </is>
      </c>
      <c r="C93" s="137" t="n"/>
      <c r="D93" s="137" t="n"/>
      <c r="E93" s="137" t="n"/>
      <c r="F93" s="137" t="n"/>
      <c r="G93" s="137" t="n"/>
      <c r="H93" s="137" t="n"/>
      <c r="I93" s="137" t="n"/>
      <c r="J93" s="137" t="n"/>
      <c r="K93" s="137" t="n"/>
      <c r="L93" s="137" t="n"/>
      <c r="M93" s="137" t="n"/>
      <c r="N93" s="137" t="n"/>
      <c r="O93" s="137" t="n"/>
      <c r="P93" s="137" t="n"/>
      <c r="Q93" s="137" t="n"/>
      <c r="R93" s="137" t="n"/>
      <c r="S93" s="137" t="n"/>
      <c r="T93" s="137" t="n"/>
      <c r="U93" s="137" t="n"/>
      <c r="V93" s="137" t="n"/>
      <c r="W93" s="137" t="n"/>
      <c r="X93" s="137" t="n"/>
      <c r="Y93" s="137" t="n"/>
      <c r="Z93" s="137" t="n"/>
      <c r="AA93" s="137" t="n"/>
    </row>
    <row r="94" outlineLevel="1" s="86">
      <c r="B94" s="138" t="inlineStr">
        <is>
          <t xml:space="preserve">    Retiradas de Sócios</t>
        </is>
      </c>
      <c r="C94" s="169" t="n">
        <v>0</v>
      </c>
      <c r="D94" s="169" t="n">
        <v>0</v>
      </c>
      <c r="E94" s="169" t="n">
        <v>0</v>
      </c>
      <c r="F94" s="169" t="n">
        <v>0</v>
      </c>
      <c r="G94" s="169" t="n">
        <v>0</v>
      </c>
      <c r="H94" s="169" t="n">
        <v>0</v>
      </c>
      <c r="I94" s="169" t="n">
        <v>0</v>
      </c>
      <c r="J94" s="169" t="n">
        <v>0</v>
      </c>
      <c r="K94" s="169" t="n">
        <v>0</v>
      </c>
      <c r="L94" s="169" t="n">
        <v>0</v>
      </c>
      <c r="M94" s="169" t="n">
        <v>0</v>
      </c>
      <c r="N94" s="169" t="n">
        <v>0</v>
      </c>
      <c r="O94" s="169" t="n">
        <v>0</v>
      </c>
      <c r="P94" s="169" t="n">
        <v>0</v>
      </c>
      <c r="Q94" s="169" t="n">
        <v>0</v>
      </c>
      <c r="R94" s="169" t="n">
        <v>25000</v>
      </c>
      <c r="S94" s="169" t="n">
        <v>25000</v>
      </c>
      <c r="T94" s="169" t="n">
        <v>25000</v>
      </c>
      <c r="U94" s="169" t="n">
        <v>25000</v>
      </c>
      <c r="V94" s="169" t="n">
        <v>25000</v>
      </c>
      <c r="W94" s="169" t="n">
        <v>25000</v>
      </c>
      <c r="X94" s="169" t="n">
        <v>25000</v>
      </c>
      <c r="Y94" s="169" t="n">
        <v>25000</v>
      </c>
      <c r="Z94" s="169" t="n">
        <v>25000</v>
      </c>
      <c r="AA94" s="169" t="n">
        <v>225000</v>
      </c>
      <c r="AB94" s="172" t="n">
        <v>0</v>
      </c>
      <c r="AC94" s="140" t="n">
        <v>0.0238</v>
      </c>
    </row>
    <row r="95">
      <c r="B95" s="141" t="inlineStr">
        <is>
          <t>(=) TOTAL RETIRADAS DE SÓCIOS</t>
        </is>
      </c>
      <c r="C95" s="171" t="n">
        <v>0</v>
      </c>
      <c r="D95" s="171" t="n">
        <v>0</v>
      </c>
      <c r="E95" s="171" t="n">
        <v>0</v>
      </c>
      <c r="F95" s="171" t="n">
        <v>0</v>
      </c>
      <c r="G95" s="171" t="n">
        <v>0</v>
      </c>
      <c r="H95" s="171" t="n">
        <v>0</v>
      </c>
      <c r="I95" s="171" t="n">
        <v>0</v>
      </c>
      <c r="J95" s="171" t="n">
        <v>0</v>
      </c>
      <c r="K95" s="171" t="n">
        <v>0</v>
      </c>
      <c r="L95" s="171" t="n">
        <v>0</v>
      </c>
      <c r="M95" s="171" t="n">
        <v>0</v>
      </c>
      <c r="N95" s="171" t="n">
        <v>0</v>
      </c>
      <c r="O95" s="171" t="n">
        <v>0</v>
      </c>
      <c r="P95" s="171" t="n">
        <v>0</v>
      </c>
      <c r="Q95" s="171" t="n">
        <v>0</v>
      </c>
      <c r="R95" s="171" t="n">
        <v>25000</v>
      </c>
      <c r="S95" s="171" t="n">
        <v>25000</v>
      </c>
      <c r="T95" s="171" t="n">
        <v>25000</v>
      </c>
      <c r="U95" s="171" t="n">
        <v>25000</v>
      </c>
      <c r="V95" s="171" t="n">
        <v>25000</v>
      </c>
      <c r="W95" s="171" t="n">
        <v>25000</v>
      </c>
      <c r="X95" s="171" t="n">
        <v>25000</v>
      </c>
      <c r="Y95" s="171" t="n">
        <v>25000</v>
      </c>
      <c r="Z95" s="171" t="n">
        <v>25000</v>
      </c>
      <c r="AA95" s="171" t="n">
        <v>225000</v>
      </c>
      <c r="AB95" s="172" t="n">
        <v>0</v>
      </c>
      <c r="AC95" s="140" t="n">
        <v>0.0238</v>
      </c>
    </row>
    <row r="96">
      <c r="B96" s="136" t="inlineStr">
        <is>
          <t>(-) A CLASSIFICAR</t>
        </is>
      </c>
      <c r="C96" s="137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37" t="n"/>
      <c r="N96" s="137" t="n"/>
      <c r="O96" s="137" t="n"/>
      <c r="P96" s="137" t="n"/>
      <c r="Q96" s="137" t="n"/>
      <c r="R96" s="137" t="n"/>
      <c r="S96" s="137" t="n"/>
      <c r="T96" s="137" t="n"/>
      <c r="U96" s="137" t="n"/>
      <c r="V96" s="137" t="n"/>
      <c r="W96" s="137" t="n"/>
      <c r="X96" s="137" t="n"/>
      <c r="Y96" s="137" t="n"/>
      <c r="Z96" s="137" t="n"/>
      <c r="AA96" s="137" t="n"/>
    </row>
    <row r="97" outlineLevel="1" s="86">
      <c r="B97" s="138" t="inlineStr">
        <is>
          <t xml:space="preserve">    Despesa não Identificada</t>
        </is>
      </c>
      <c r="C97" s="169" t="n">
        <v>0</v>
      </c>
      <c r="D97" s="169" t="n">
        <v>0</v>
      </c>
      <c r="E97" s="169" t="n">
        <v>0</v>
      </c>
      <c r="F97" s="169" t="n">
        <v>0</v>
      </c>
      <c r="G97" s="169" t="n">
        <v>0</v>
      </c>
      <c r="H97" s="169" t="n">
        <v>0</v>
      </c>
      <c r="I97" s="169" t="n">
        <v>0</v>
      </c>
      <c r="J97" s="169" t="n">
        <v>0</v>
      </c>
      <c r="K97" s="169" t="n">
        <v>0</v>
      </c>
      <c r="L97" s="169" t="n">
        <v>0</v>
      </c>
      <c r="M97" s="169" t="n">
        <v>0</v>
      </c>
      <c r="N97" s="169" t="n">
        <v>0</v>
      </c>
      <c r="O97" s="169" t="n">
        <v>0</v>
      </c>
      <c r="P97" s="169" t="n">
        <v>0</v>
      </c>
      <c r="Q97" s="169" t="n">
        <v>0</v>
      </c>
      <c r="R97" s="169" t="n">
        <v>0</v>
      </c>
      <c r="S97" s="169" t="n">
        <v>0</v>
      </c>
      <c r="T97" s="169" t="n">
        <v>0</v>
      </c>
      <c r="U97" s="169" t="n">
        <v>0</v>
      </c>
      <c r="V97" s="169" t="n">
        <v>0</v>
      </c>
      <c r="W97" s="169" t="n">
        <v>0</v>
      </c>
      <c r="X97" s="169" t="n">
        <v>7818.78</v>
      </c>
      <c r="Y97" s="169" t="n">
        <v>6732.95</v>
      </c>
      <c r="Z97" s="169" t="n">
        <v>102075.24</v>
      </c>
      <c r="AA97" s="169" t="n">
        <v>116626.97</v>
      </c>
      <c r="AB97" s="172" t="n">
        <v>14.1606</v>
      </c>
      <c r="AC97" s="140" t="n">
        <v>0.0123</v>
      </c>
    </row>
    <row r="98" outlineLevel="1" s="86">
      <c r="B98" s="138" t="inlineStr">
        <is>
          <t xml:space="preserve">    Suspenso (a classificar)</t>
        </is>
      </c>
      <c r="C98" s="169" t="n">
        <v>0</v>
      </c>
      <c r="D98" s="169" t="n">
        <v>0</v>
      </c>
      <c r="E98" s="169" t="n">
        <v>0</v>
      </c>
      <c r="F98" s="169" t="n">
        <v>0</v>
      </c>
      <c r="G98" s="169" t="n">
        <v>0</v>
      </c>
      <c r="H98" s="169" t="n">
        <v>0</v>
      </c>
      <c r="I98" s="169" t="n">
        <v>0</v>
      </c>
      <c r="J98" s="169" t="n">
        <v>0</v>
      </c>
      <c r="K98" s="169" t="n">
        <v>0</v>
      </c>
      <c r="L98" s="169" t="n">
        <v>0</v>
      </c>
      <c r="M98" s="169" t="n">
        <v>0</v>
      </c>
      <c r="N98" s="169" t="n">
        <v>0</v>
      </c>
      <c r="O98" s="169" t="n">
        <v>0</v>
      </c>
      <c r="P98" s="169" t="n">
        <v>0</v>
      </c>
      <c r="Q98" s="169" t="n">
        <v>0</v>
      </c>
      <c r="R98" s="169" t="n">
        <v>0</v>
      </c>
      <c r="S98" s="169" t="n">
        <v>0</v>
      </c>
      <c r="T98" s="169" t="n">
        <v>0</v>
      </c>
      <c r="U98" s="169" t="n">
        <v>0</v>
      </c>
      <c r="V98" s="169" t="n">
        <v>0</v>
      </c>
      <c r="W98" s="169" t="n">
        <v>0</v>
      </c>
      <c r="X98" s="169" t="n">
        <v>0</v>
      </c>
      <c r="Y98" s="169" t="n">
        <v>0</v>
      </c>
      <c r="Z98" s="169" t="n">
        <v>0</v>
      </c>
      <c r="AA98" s="169" t="n">
        <v>0</v>
      </c>
      <c r="AB98" s="172" t="n"/>
      <c r="AC98" s="140" t="n">
        <v>0</v>
      </c>
    </row>
    <row r="99">
      <c r="B99" s="141" t="inlineStr">
        <is>
          <t>(=) TOTAL A CLASSIFICAR</t>
        </is>
      </c>
      <c r="C99" s="171" t="n">
        <v>0</v>
      </c>
      <c r="D99" s="171" t="n">
        <v>0</v>
      </c>
      <c r="E99" s="171" t="n">
        <v>0</v>
      </c>
      <c r="F99" s="171" t="n">
        <v>0</v>
      </c>
      <c r="G99" s="171" t="n">
        <v>0</v>
      </c>
      <c r="H99" s="171" t="n">
        <v>0</v>
      </c>
      <c r="I99" s="171" t="n">
        <v>0</v>
      </c>
      <c r="J99" s="171" t="n">
        <v>0</v>
      </c>
      <c r="K99" s="171" t="n">
        <v>0</v>
      </c>
      <c r="L99" s="171" t="n">
        <v>0</v>
      </c>
      <c r="M99" s="171" t="n">
        <v>0</v>
      </c>
      <c r="N99" s="171" t="n">
        <v>0</v>
      </c>
      <c r="O99" s="171" t="n">
        <v>0</v>
      </c>
      <c r="P99" s="171" t="n">
        <v>0</v>
      </c>
      <c r="Q99" s="171" t="n">
        <v>0</v>
      </c>
      <c r="R99" s="171" t="n">
        <v>0</v>
      </c>
      <c r="S99" s="171" t="n">
        <v>0</v>
      </c>
      <c r="T99" s="171" t="n">
        <v>0</v>
      </c>
      <c r="U99" s="171" t="n">
        <v>0</v>
      </c>
      <c r="V99" s="171" t="n">
        <v>0</v>
      </c>
      <c r="W99" s="171" t="n">
        <v>0</v>
      </c>
      <c r="X99" s="171" t="n">
        <v>7818.78</v>
      </c>
      <c r="Y99" s="171" t="n">
        <v>6732.95</v>
      </c>
      <c r="Z99" s="171" t="n">
        <v>102075.24</v>
      </c>
      <c r="AA99" s="171" t="n">
        <v>116626.97</v>
      </c>
      <c r="AB99" s="172" t="n">
        <v>14.1606</v>
      </c>
      <c r="AC99" s="140" t="n">
        <v>0.0123</v>
      </c>
    </row>
    <row r="100">
      <c r="B100" s="142" t="inlineStr">
        <is>
          <t>(=) EBITDA FINAL</t>
        </is>
      </c>
      <c r="C100" s="173" t="n">
        <v>-17668</v>
      </c>
      <c r="D100" s="173" t="n">
        <v>-17592</v>
      </c>
      <c r="E100" s="173" t="n">
        <v>-25552</v>
      </c>
      <c r="F100" s="173" t="n">
        <v>-78485.75999999999</v>
      </c>
      <c r="G100" s="173" t="n">
        <v>-109582.22</v>
      </c>
      <c r="H100" s="173" t="n">
        <v>-51224.18</v>
      </c>
      <c r="I100" s="173" t="n">
        <v>-113130.79</v>
      </c>
      <c r="J100" s="173" t="n">
        <v>-14860.23</v>
      </c>
      <c r="K100" s="173" t="n">
        <v>-99678.56</v>
      </c>
      <c r="L100" s="173" t="n">
        <v>-66585.85000000001</v>
      </c>
      <c r="M100" s="173" t="n">
        <v>-113434.96</v>
      </c>
      <c r="N100" s="173" t="n">
        <v>-102310.06</v>
      </c>
      <c r="O100" s="173" t="n">
        <v>-175580.2</v>
      </c>
      <c r="P100" s="173" t="n">
        <v>-99427.81</v>
      </c>
      <c r="Q100" s="173" t="n">
        <v>-110669.03</v>
      </c>
      <c r="R100" s="173" t="n">
        <v>-157775.7</v>
      </c>
      <c r="S100" s="173" t="n">
        <v>-131599.72</v>
      </c>
      <c r="T100" s="173" t="n">
        <v>-128441.09</v>
      </c>
      <c r="U100" s="173" t="n">
        <v>-122945.86</v>
      </c>
      <c r="V100" s="173" t="n">
        <v>-105974.79</v>
      </c>
      <c r="W100" s="173" t="n">
        <v>-63498.39</v>
      </c>
      <c r="X100" s="173" t="n">
        <v>12055.47</v>
      </c>
      <c r="Y100" s="173" t="n">
        <v>-48321.26</v>
      </c>
      <c r="Z100" s="173" t="n">
        <v>-160631.44</v>
      </c>
      <c r="AA100" s="173" t="n">
        <v>-2102914.43</v>
      </c>
      <c r="AB100" s="172" t="n">
        <v>-2.3242</v>
      </c>
      <c r="AC100" s="140" t="n">
        <v>-0.2221</v>
      </c>
    </row>
  </sheetData>
  <mergeCells count="2">
    <mergeCell ref="B3:AA3"/>
    <mergeCell ref="B2:A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K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85" min="1" max="1"/>
    <col width="34" customWidth="1" style="85" min="2" max="2"/>
    <col width="20" customWidth="1" style="85" min="3" max="3"/>
    <col width="4" customWidth="1" style="85" min="4" max="4"/>
    <col width="34" customWidth="1" style="85" min="5" max="5"/>
    <col width="20" customWidth="1" style="85" min="6" max="6"/>
    <col hidden="1" width="13" customWidth="1" style="85" min="10" max="11"/>
  </cols>
  <sheetData>
    <row r="1" ht="15" customHeight="1" s="86">
      <c r="J1" s="85" t="inlineStr">
        <is>
          <t>Categoria</t>
        </is>
      </c>
      <c r="K1" s="85" t="inlineStr">
        <is>
          <t>MédiaMensal</t>
        </is>
      </c>
    </row>
    <row r="2" ht="19.5" customHeight="1" s="86">
      <c r="B2" s="93" t="inlineStr">
        <is>
          <t>Simulador de Compra Parcelada</t>
        </is>
      </c>
      <c r="J2" s="85" t="inlineStr">
        <is>
          <t>Acabamento Externo</t>
        </is>
      </c>
      <c r="K2" s="85" t="n">
        <v>14869.98</v>
      </c>
    </row>
    <row r="3" ht="15" customHeight="1" s="86">
      <c r="B3" s="116" t="inlineStr">
        <is>
          <t>Preencha os campos amarelos. O sistema calcula a parcela e diz se cabe no seu limite.</t>
        </is>
      </c>
      <c r="J3" s="85" t="inlineStr">
        <is>
          <t>Acertos e Recisões</t>
        </is>
      </c>
      <c r="K3" s="85" t="n">
        <v>6581.67</v>
      </c>
    </row>
    <row r="4" ht="15" customHeight="1" s="86">
      <c r="J4" s="85" t="inlineStr">
        <is>
          <t>Advogados - Honorários</t>
        </is>
      </c>
      <c r="K4" s="85" t="n">
        <v>1624.62</v>
      </c>
    </row>
    <row r="5" ht="15" customHeight="1" s="86">
      <c r="B5" s="95" t="inlineStr">
        <is>
          <t>DADOS DA COMPRA</t>
        </is>
      </c>
      <c r="C5" s="144" t="n"/>
      <c r="E5" s="95" t="inlineStr">
        <is>
          <t>SUA CAPACIDADE DE PAGAMENTO</t>
        </is>
      </c>
      <c r="F5" s="144" t="n"/>
      <c r="J5" s="85" t="inlineStr">
        <is>
          <t>Alimentação</t>
        </is>
      </c>
      <c r="K5" s="85" t="n">
        <v>118.52</v>
      </c>
    </row>
    <row r="6" ht="15" customHeight="1" s="86">
      <c r="B6" s="97" t="inlineStr">
        <is>
          <t>Valor do produto (R$)</t>
        </is>
      </c>
      <c r="C6" s="145" t="n">
        <v>25000</v>
      </c>
      <c r="E6" s="97" t="inlineStr">
        <is>
          <t>Receita mensal média (R$)</t>
        </is>
      </c>
      <c r="F6" s="145" t="n">
        <v>60000</v>
      </c>
      <c r="J6" s="85" t="inlineStr">
        <is>
          <t>Aluguéis e Condomínios</t>
        </is>
      </c>
      <c r="K6" s="85" t="n">
        <v>6297.26</v>
      </c>
    </row>
    <row r="7" ht="15" customHeight="1" s="86">
      <c r="B7" s="97" t="inlineStr">
        <is>
          <t>Entrada / sinal (R$)</t>
        </is>
      </c>
      <c r="C7" s="145" t="n">
        <v>5000</v>
      </c>
      <c r="E7" s="97" t="inlineStr">
        <is>
          <t>Despesas fixas mensais (R$)</t>
        </is>
      </c>
      <c r="F7" s="145" t="n">
        <v>40000</v>
      </c>
      <c r="J7" s="85" t="inlineStr">
        <is>
          <t>Assessoria Técnica Profissional</t>
        </is>
      </c>
      <c r="K7" s="85" t="n">
        <v>4500</v>
      </c>
    </row>
    <row r="8" ht="15" customHeight="1" s="86">
      <c r="B8" s="97" t="inlineStr">
        <is>
          <t>Número de parcelas</t>
        </is>
      </c>
      <c r="C8" s="146" t="n">
        <v>12</v>
      </c>
      <c r="E8" s="97" t="inlineStr">
        <is>
          <t>% da sobra que pode comprometer</t>
        </is>
      </c>
      <c r="F8" s="147" t="n">
        <v>0.3</v>
      </c>
      <c r="J8" s="85" t="inlineStr">
        <is>
          <t>Aviamento</t>
        </is>
      </c>
      <c r="K8" s="85" t="n">
        <v>8195.65</v>
      </c>
    </row>
    <row r="9" ht="15" customHeight="1" s="86">
      <c r="B9" s="97" t="inlineStr">
        <is>
          <t>Taxa de juros ao mês (%)</t>
        </is>
      </c>
      <c r="C9" s="148" t="n">
        <v>0.018</v>
      </c>
      <c r="E9" s="149" t="inlineStr">
        <is>
          <t>Parcelas já ativas - categoria</t>
        </is>
      </c>
      <c r="F9" s="150" t="inlineStr">
        <is>
          <t>Compra de Veículos</t>
        </is>
      </c>
      <c r="J9" s="85" t="inlineStr">
        <is>
          <t>Bordado Industrial</t>
        </is>
      </c>
      <c r="K9" s="85" t="n">
        <v>3333.3</v>
      </c>
    </row>
    <row r="10" ht="15" customHeight="1" s="86">
      <c r="E10" s="149" t="inlineStr">
        <is>
          <t>Parcelas já comprometidas/mês</t>
        </is>
      </c>
      <c r="F10" s="151">
        <f>IFERROR(VLOOKUP(F9,$J$2:$K$69,2,FALSE()),0)</f>
        <v/>
      </c>
      <c r="J10" s="85" t="inlineStr">
        <is>
          <t>Bordado Manual</t>
        </is>
      </c>
      <c r="K10" s="85" t="n">
        <v>1235.6</v>
      </c>
    </row>
    <row r="11" ht="15" customHeight="1" s="86">
      <c r="B11" s="94" t="inlineStr">
        <is>
          <t>RESULTADO DA SIMULAÇÃO</t>
        </is>
      </c>
      <c r="C11" s="152" t="n"/>
      <c r="D11" s="152" t="n"/>
      <c r="E11" s="152" t="n"/>
      <c r="F11" s="144" t="n"/>
      <c r="J11" s="85" t="inlineStr">
        <is>
          <t>Combustíveis</t>
        </is>
      </c>
      <c r="K11" s="85" t="n">
        <v>1279.8</v>
      </c>
    </row>
    <row r="12" ht="15" customHeight="1" s="86">
      <c r="B12" s="153" t="inlineStr">
        <is>
          <t>Valor financiado (produto - entrada)</t>
        </is>
      </c>
      <c r="C12" s="152" t="n"/>
      <c r="D12" s="152" t="n"/>
      <c r="E12" s="144" t="n"/>
      <c r="F12" s="154">
        <f>C6-C7</f>
        <v/>
      </c>
      <c r="J12" s="85" t="inlineStr">
        <is>
          <t>Compra de Computadores e Eletrônicos</t>
        </is>
      </c>
      <c r="K12" s="85" t="n">
        <v>750.63</v>
      </c>
    </row>
    <row r="13" ht="15" customHeight="1" s="86">
      <c r="B13" s="153" t="inlineStr">
        <is>
          <t>Valor da parcela mensal</t>
        </is>
      </c>
      <c r="C13" s="152" t="n"/>
      <c r="D13" s="152" t="n"/>
      <c r="E13" s="144" t="n"/>
      <c r="F13" s="154">
        <f>IF(C9=0,(C6-C7)/C8,(C6-C7)*(C9*(1+C9)^C8)/((1+C9)^C8-1))</f>
        <v/>
      </c>
      <c r="J13" s="85" t="inlineStr">
        <is>
          <t>Compra de Veículos</t>
        </is>
      </c>
      <c r="K13" s="85" t="n">
        <v>3732.86</v>
      </c>
    </row>
    <row r="14" ht="15" customHeight="1" s="86">
      <c r="B14" s="153" t="inlineStr">
        <is>
          <t>Total pago ao final (entrada + parcelas)</t>
        </is>
      </c>
      <c r="C14" s="152" t="n"/>
      <c r="D14" s="152" t="n"/>
      <c r="E14" s="144" t="n"/>
      <c r="F14" s="154">
        <f>C7+F13*C8</f>
        <v/>
      </c>
      <c r="J14" s="85" t="inlineStr">
        <is>
          <t>Consulta de Crédito Cliente</t>
        </is>
      </c>
      <c r="K14" s="85" t="n">
        <v>360.89</v>
      </c>
    </row>
    <row r="15" ht="15" customHeight="1" s="86">
      <c r="B15" s="153" t="inlineStr">
        <is>
          <t>Custo dos juros (total)</t>
        </is>
      </c>
      <c r="C15" s="152" t="n"/>
      <c r="D15" s="152" t="n"/>
      <c r="E15" s="144" t="n"/>
      <c r="F15" s="154">
        <f>F14-C6</f>
        <v/>
      </c>
      <c r="J15" s="85" t="inlineStr">
        <is>
          <t>Consórcio</t>
        </is>
      </c>
      <c r="K15" s="85" t="n">
        <v>2032.31</v>
      </c>
    </row>
    <row r="16" ht="15" customHeight="1" s="86">
      <c r="B16" s="153" t="inlineStr">
        <is>
          <t>Limite de parcela disponível (já descontando ativas)</t>
        </is>
      </c>
      <c r="C16" s="152" t="n"/>
      <c r="D16" s="152" t="n"/>
      <c r="E16" s="144" t="n"/>
      <c r="F16" s="154">
        <f>(F6-F7)*F8-F10</f>
        <v/>
      </c>
      <c r="J16" s="85" t="inlineStr">
        <is>
          <t>Coquetéis, festas e outros eventos</t>
        </is>
      </c>
      <c r="K16" s="85" t="n">
        <v>894.99</v>
      </c>
    </row>
    <row r="17" ht="15" customHeight="1" s="86">
      <c r="J17" s="85" t="inlineStr">
        <is>
          <t>Criação de Modelos</t>
        </is>
      </c>
      <c r="K17" s="85" t="n">
        <v>6210.86</v>
      </c>
    </row>
    <row r="18" ht="39.75" customHeight="1" s="86">
      <c r="B18" s="155">
        <f>IF(F13&lt;=F16,"APROVADO — a parcela cabe no seu limite. Folga de R$ "&amp;TEXT(F16-F13,"#,##0.00")&amp;" por mês.","NÃO RECOMENDADO — a parcela ultrapassa seu limite em R$ "&amp;TEXT(F13-F16,"#,##0.00")&amp;" por mês.")</f>
        <v/>
      </c>
      <c r="J18" s="85" t="inlineStr">
        <is>
          <t>Custo de Mercadoria Vendida</t>
        </is>
      </c>
      <c r="K18" s="85" t="n">
        <v>310272.17</v>
      </c>
    </row>
    <row r="19" ht="15" customHeight="1" s="86">
      <c r="J19" s="85" t="inlineStr">
        <is>
          <t>Darf</t>
        </is>
      </c>
      <c r="K19" s="85" t="n">
        <v>3790.75</v>
      </c>
    </row>
    <row r="20" ht="15" customHeight="1" s="86">
      <c r="J20" s="85" t="inlineStr">
        <is>
          <t>Despesa com Sindicatos</t>
        </is>
      </c>
      <c r="K20" s="85" t="n">
        <v>205.24</v>
      </c>
    </row>
    <row r="21" ht="15" customHeight="1" s="86">
      <c r="J21" s="85" t="inlineStr">
        <is>
          <t>Despesa não Identificada</t>
        </is>
      </c>
      <c r="K21" s="85" t="n">
        <v>168</v>
      </c>
    </row>
    <row r="22" ht="15" customHeight="1" s="86">
      <c r="J22" s="85" t="inlineStr">
        <is>
          <t>Despesas com Documentos e Xerox</t>
        </is>
      </c>
      <c r="K22" s="85" t="n">
        <v>50.21</v>
      </c>
    </row>
    <row r="23" ht="15" customHeight="1" s="86">
      <c r="J23" s="85" t="inlineStr">
        <is>
          <t>Embalagens</t>
        </is>
      </c>
      <c r="K23" s="85" t="n">
        <v>985.4400000000001</v>
      </c>
    </row>
    <row r="24" ht="15" customHeight="1" s="86">
      <c r="J24" s="85" t="inlineStr">
        <is>
          <t>Empréstimos</t>
        </is>
      </c>
      <c r="K24" s="85" t="n">
        <v>108045.41</v>
      </c>
    </row>
    <row r="25" ht="15" customHeight="1" s="86">
      <c r="J25" s="85" t="inlineStr">
        <is>
          <t>Energia Elétrica</t>
        </is>
      </c>
      <c r="K25" s="85" t="n">
        <v>175.57</v>
      </c>
    </row>
    <row r="26" ht="15" customHeight="1" s="86">
      <c r="J26" s="85" t="inlineStr">
        <is>
          <t>Etiquetas</t>
        </is>
      </c>
      <c r="K26" s="85" t="n">
        <v>5197.09</v>
      </c>
    </row>
    <row r="27" ht="15" customHeight="1" s="86">
      <c r="J27" s="85" t="inlineStr">
        <is>
          <t>Exame Adminissional/Demissional</t>
        </is>
      </c>
      <c r="K27" s="85" t="n">
        <v>37.5</v>
      </c>
    </row>
    <row r="28" ht="15" customHeight="1" s="86">
      <c r="J28" s="85" t="inlineStr">
        <is>
          <t>Facção</t>
        </is>
      </c>
      <c r="K28" s="85" t="n">
        <v>60521.74</v>
      </c>
    </row>
    <row r="29" ht="15" customHeight="1" s="86">
      <c r="J29" s="85" t="inlineStr">
        <is>
          <t>Fgts, Gps e Pis</t>
        </is>
      </c>
      <c r="K29" s="85" t="n">
        <v>3492.42</v>
      </c>
    </row>
    <row r="30" ht="15" customHeight="1" s="86">
      <c r="J30" s="85" t="inlineStr">
        <is>
          <t>Frete e Transporte de Mercadorias</t>
        </is>
      </c>
      <c r="K30" s="85" t="n">
        <v>5133.93</v>
      </c>
    </row>
    <row r="31" ht="15" customHeight="1" s="86">
      <c r="J31" s="85" t="inlineStr">
        <is>
          <t>Férias</t>
        </is>
      </c>
      <c r="K31" s="85" t="n">
        <v>5766.28</v>
      </c>
    </row>
    <row r="32" ht="15" customHeight="1" s="86">
      <c r="J32" s="85" t="inlineStr">
        <is>
          <t>Gasto com Reforma</t>
        </is>
      </c>
      <c r="K32" s="85" t="n">
        <v>800</v>
      </c>
    </row>
    <row r="33" ht="15" customHeight="1" s="86">
      <c r="J33" s="85" t="inlineStr">
        <is>
          <t>Honorários Contábeis (Contabilidade)</t>
        </is>
      </c>
      <c r="K33" s="85" t="n">
        <v>1100</v>
      </c>
    </row>
    <row r="34" ht="15" customHeight="1" s="86">
      <c r="J34" s="85" t="inlineStr">
        <is>
          <t>Ipva</t>
        </is>
      </c>
      <c r="K34" s="85" t="n">
        <v>2033.28</v>
      </c>
    </row>
    <row r="35" ht="15" customHeight="1" s="86">
      <c r="J35" s="85" t="inlineStr">
        <is>
          <t>Juros de Empréstimos</t>
        </is>
      </c>
      <c r="K35" s="85" t="n">
        <v>3982.2</v>
      </c>
    </row>
    <row r="36" ht="15" customHeight="1" s="86">
      <c r="J36" s="85" t="inlineStr">
        <is>
          <t>Lavanderia</t>
        </is>
      </c>
      <c r="K36" s="85" t="n">
        <v>22039.98</v>
      </c>
    </row>
    <row r="37" ht="15" customHeight="1" s="86">
      <c r="J37" s="85" t="inlineStr">
        <is>
          <t>Manutenção de Imóveis</t>
        </is>
      </c>
      <c r="K37" s="85" t="n">
        <v>442.7</v>
      </c>
    </row>
    <row r="38" ht="15" customHeight="1" s="86">
      <c r="J38" s="85" t="inlineStr">
        <is>
          <t>Manutenção de Moveis e Utensílios</t>
        </is>
      </c>
      <c r="K38" s="85" t="n">
        <v>90</v>
      </c>
    </row>
    <row r="39" ht="15" customHeight="1" s="86">
      <c r="J39" s="85" t="inlineStr">
        <is>
          <t>Manutenção de Máquinas e Peças</t>
        </is>
      </c>
      <c r="K39" s="85" t="n">
        <v>341</v>
      </c>
    </row>
    <row r="40" ht="15" customHeight="1" s="86">
      <c r="J40" s="85" t="inlineStr">
        <is>
          <t>Manutenção de Veiculos e Estacionamento</t>
        </is>
      </c>
      <c r="K40" s="85" t="n">
        <v>345.45</v>
      </c>
    </row>
    <row r="41" ht="15" customHeight="1" s="86">
      <c r="J41" s="85" t="inlineStr">
        <is>
          <t>Material de Copa e Cozinha</t>
        </is>
      </c>
      <c r="K41" s="85" t="n">
        <v>168.07</v>
      </c>
    </row>
    <row r="42" ht="15" customHeight="1" s="86">
      <c r="J42" s="85" t="inlineStr">
        <is>
          <t>Material de Escritório</t>
        </is>
      </c>
      <c r="K42" s="85" t="n">
        <v>351.37</v>
      </c>
    </row>
    <row r="43" ht="15" customHeight="1" s="86">
      <c r="J43" s="85" t="inlineStr">
        <is>
          <t>Material de Limpeza e Higiene</t>
        </is>
      </c>
      <c r="K43" s="85" t="n">
        <v>176.35</v>
      </c>
    </row>
    <row r="44" ht="15" customHeight="1" s="86">
      <c r="J44" s="85" t="inlineStr">
        <is>
          <t>Multas</t>
        </is>
      </c>
      <c r="K44" s="85" t="n">
        <v>677.09</v>
      </c>
    </row>
    <row r="45" ht="15" customHeight="1" s="86">
      <c r="J45" s="85" t="inlineStr">
        <is>
          <t>Multas e Juros por Atraso</t>
        </is>
      </c>
      <c r="K45" s="85" t="n">
        <v>2456.97</v>
      </c>
    </row>
    <row r="46" ht="15" customHeight="1" s="86">
      <c r="J46" s="85" t="inlineStr">
        <is>
          <t>Outras Despesas</t>
        </is>
      </c>
      <c r="K46" s="85" t="n">
        <v>293.75</v>
      </c>
    </row>
    <row r="47" ht="15" customHeight="1" s="86">
      <c r="J47" s="85" t="inlineStr">
        <is>
          <t>Outros Insumos</t>
        </is>
      </c>
      <c r="K47" s="85" t="n">
        <v>1011.31</v>
      </c>
    </row>
    <row r="48" ht="15" customHeight="1" s="86">
      <c r="J48" s="85" t="inlineStr">
        <is>
          <t>Outros Tributos</t>
        </is>
      </c>
      <c r="K48" s="85" t="n">
        <v>1183.59</v>
      </c>
    </row>
    <row r="49" ht="15" customHeight="1" s="86">
      <c r="J49" s="85" t="inlineStr">
        <is>
          <t>Patrocínio</t>
        </is>
      </c>
      <c r="K49" s="85" t="n">
        <v>691.11</v>
      </c>
    </row>
    <row r="50" ht="15" customHeight="1" s="86">
      <c r="J50" s="85" t="inlineStr">
        <is>
          <t>Premiações e Abonos</t>
        </is>
      </c>
      <c r="K50" s="85" t="n">
        <v>664.62</v>
      </c>
    </row>
    <row r="51" ht="15" customHeight="1" s="86">
      <c r="J51" s="85" t="inlineStr">
        <is>
          <t>Produção Externa</t>
        </is>
      </c>
      <c r="K51" s="85" t="n">
        <v>13706.25</v>
      </c>
    </row>
    <row r="52" ht="15" customHeight="1" s="86">
      <c r="J52" s="85" t="inlineStr">
        <is>
          <t>Publicidade</t>
        </is>
      </c>
      <c r="K52" s="85" t="n">
        <v>3666.91</v>
      </c>
    </row>
    <row r="53" ht="15" customHeight="1" s="86">
      <c r="J53" s="85" t="inlineStr">
        <is>
          <t>Retiradas de Sócios</t>
        </is>
      </c>
      <c r="K53" s="85" t="n">
        <v>50000</v>
      </c>
    </row>
    <row r="54" ht="15" customHeight="1" s="86">
      <c r="J54" s="85" t="inlineStr">
        <is>
          <t>Salário e Ordenados</t>
        </is>
      </c>
      <c r="K54" s="85" t="n">
        <v>27996.15</v>
      </c>
    </row>
    <row r="55" ht="15" customHeight="1" s="86">
      <c r="J55" s="85" t="inlineStr">
        <is>
          <t>Segurança e Monitoramento</t>
        </is>
      </c>
      <c r="K55" s="85" t="n">
        <v>373.59</v>
      </c>
    </row>
    <row r="56" ht="15" customHeight="1" s="86">
      <c r="J56" s="85" t="inlineStr">
        <is>
          <t>Seguros</t>
        </is>
      </c>
      <c r="K56" s="85" t="n">
        <v>398.66</v>
      </c>
    </row>
    <row r="57" ht="15" customHeight="1" s="86">
      <c r="J57" s="85" t="inlineStr">
        <is>
          <t>Suspenso (a classificar)</t>
        </is>
      </c>
      <c r="K57" s="85" t="n">
        <v>98135.45</v>
      </c>
    </row>
    <row r="58" ht="15" customHeight="1" s="86">
      <c r="J58" s="85" t="inlineStr">
        <is>
          <t>Tarifas e Custos de Op. Bancárias</t>
        </is>
      </c>
      <c r="K58" s="85" t="n">
        <v>2433.39</v>
      </c>
    </row>
    <row r="59" ht="15" customHeight="1" s="86">
      <c r="J59" s="85" t="inlineStr">
        <is>
          <t>Tecidos</t>
        </is>
      </c>
      <c r="K59" s="85" t="n">
        <v>55264.27</v>
      </c>
    </row>
    <row r="60" ht="15" customHeight="1" s="86">
      <c r="J60" s="85" t="inlineStr">
        <is>
          <t>Telefonia Fixa e Internet</t>
        </is>
      </c>
      <c r="K60" s="85" t="n">
        <v>135.03</v>
      </c>
    </row>
    <row r="61" ht="15" customHeight="1" s="86">
      <c r="J61" s="85" t="inlineStr">
        <is>
          <t>Telefonia Móvel</t>
        </is>
      </c>
      <c r="K61" s="85" t="n">
        <v>364</v>
      </c>
    </row>
    <row r="62" ht="15" customHeight="1" s="86">
      <c r="J62" s="85" t="inlineStr">
        <is>
          <t>Travete</t>
        </is>
      </c>
      <c r="K62" s="85" t="n">
        <v>5727</v>
      </c>
    </row>
    <row r="63" ht="15" customHeight="1" s="86">
      <c r="J63" s="85" t="inlineStr">
        <is>
          <t>Tráfego/Social Mídia</t>
        </is>
      </c>
      <c r="K63" s="85" t="n">
        <v>1604.6</v>
      </c>
    </row>
    <row r="64" ht="15" customHeight="1" s="86">
      <c r="J64" s="85" t="inlineStr">
        <is>
          <t>Uniforme e EPIs</t>
        </is>
      </c>
      <c r="K64" s="85" t="n">
        <v>2448</v>
      </c>
    </row>
    <row r="65" ht="15" customHeight="1" s="86">
      <c r="J65" s="85" t="inlineStr">
        <is>
          <t>Vale Transporte</t>
        </is>
      </c>
      <c r="K65" s="85" t="n">
        <v>2481.82</v>
      </c>
    </row>
    <row r="66" ht="15" customHeight="1" s="86">
      <c r="J66" s="85" t="inlineStr">
        <is>
          <t>Vales e Adiantamentos</t>
        </is>
      </c>
      <c r="K66" s="85" t="n">
        <v>3451.34</v>
      </c>
    </row>
    <row r="67" ht="15" customHeight="1" s="86">
      <c r="J67" s="85" t="inlineStr">
        <is>
          <t>Viagens e estadas</t>
        </is>
      </c>
      <c r="K67" s="85" t="n">
        <v>618.73</v>
      </c>
    </row>
    <row r="68" ht="15" customHeight="1" s="86">
      <c r="J68" s="85" t="inlineStr">
        <is>
          <t>Web Site e Sistema ERP</t>
        </is>
      </c>
      <c r="K68" s="85" t="n">
        <v>940.13</v>
      </c>
    </row>
    <row r="69" ht="15" customHeight="1" s="86">
      <c r="J69" s="85" t="inlineStr">
        <is>
          <t>Água</t>
        </is>
      </c>
      <c r="K69" s="85" t="n">
        <v>303.41</v>
      </c>
    </row>
  </sheetData>
  <mergeCells count="11">
    <mergeCell ref="B2:F2"/>
    <mergeCell ref="B12:E12"/>
    <mergeCell ref="B5:C5"/>
    <mergeCell ref="B11:F11"/>
    <mergeCell ref="B13:E13"/>
    <mergeCell ref="B3:F3"/>
    <mergeCell ref="B16:E16"/>
    <mergeCell ref="E5:F5"/>
    <mergeCell ref="B15:E15"/>
    <mergeCell ref="B18:F18"/>
    <mergeCell ref="B14:E14"/>
  </mergeCells>
  <dataValidations count="1">
    <dataValidation sqref="F9" showDropDown="0" showInputMessage="0" showErrorMessage="0" allowBlank="1" type="list" errorStyle="stop" operator="between">
      <formula1>$J$2:$J$69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H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85" min="1" max="1"/>
    <col width="26" customWidth="1" style="85" min="2" max="2"/>
    <col width="14" customWidth="1" style="85" min="3" max="6"/>
    <col width="16" customWidth="1" style="85" min="7" max="8"/>
  </cols>
  <sheetData>
    <row r="2" ht="19.5" customHeight="1" s="86">
      <c r="B2" s="93" t="inlineStr">
        <is>
          <t>Painel de Produção de Peças</t>
        </is>
      </c>
    </row>
    <row r="3" ht="15" customHeight="1" s="86">
      <c r="B3" s="116" t="inlineStr">
        <is>
          <t>Preencha peça, meta, produzido, refugo e custo. % atingido e status são automáticos.</t>
        </is>
      </c>
    </row>
    <row r="5" ht="26.25" customHeight="1" s="86">
      <c r="B5" s="94" t="inlineStr">
        <is>
          <t>Peça / Produto</t>
        </is>
      </c>
      <c r="C5" s="94" t="inlineStr">
        <is>
          <t>Meta (un)</t>
        </is>
      </c>
      <c r="D5" s="94" t="inlineStr">
        <is>
          <t>Produzido (un)</t>
        </is>
      </c>
      <c r="E5" s="94" t="inlineStr">
        <is>
          <t>Refugo (un)</t>
        </is>
      </c>
      <c r="F5" s="94" t="inlineStr">
        <is>
          <t>% Atingido</t>
        </is>
      </c>
      <c r="G5" s="94" t="inlineStr">
        <is>
          <t>Custo unit. (R$)</t>
        </is>
      </c>
      <c r="H5" s="94" t="inlineStr">
        <is>
          <t>Status</t>
        </is>
      </c>
    </row>
    <row r="6" ht="15" customHeight="1" s="86">
      <c r="B6" s="156" t="inlineStr">
        <is>
          <t>Camisa Social</t>
        </is>
      </c>
      <c r="C6" s="157" t="n">
        <v>500</v>
      </c>
      <c r="D6" s="157" t="n">
        <v>480</v>
      </c>
      <c r="E6" s="157" t="n">
        <v>8</v>
      </c>
      <c r="F6" s="158">
        <f>IF(C6=0,"",D6/C6)</f>
        <v/>
      </c>
      <c r="G6" s="145" t="n">
        <v>12.5</v>
      </c>
      <c r="H6" s="159">
        <f>IF(C6="","",IF(D6&gt;=C6,"Meta atingida",IF(D6&gt;=C6*0.8,"Quase lá","Abaixo da meta")))</f>
        <v/>
      </c>
    </row>
    <row r="7" ht="15" customHeight="1" s="86">
      <c r="B7" s="156" t="inlineStr">
        <is>
          <t>Calça Jeans</t>
        </is>
      </c>
      <c r="C7" s="157" t="n">
        <v>300</v>
      </c>
      <c r="D7" s="157" t="n">
        <v>300</v>
      </c>
      <c r="E7" s="157" t="n">
        <v>2</v>
      </c>
      <c r="F7" s="158">
        <f>IF(C7=0,"",D7/C7)</f>
        <v/>
      </c>
      <c r="G7" s="145" t="n">
        <v>22</v>
      </c>
      <c r="H7" s="159">
        <f>IF(C7="","",IF(D7&gt;=C7,"Meta atingida",IF(D7&gt;=C7*0.8,"Quase lá","Abaixo da meta")))</f>
        <v/>
      </c>
    </row>
    <row r="8" ht="15" customHeight="1" s="86">
      <c r="B8" s="156" t="inlineStr">
        <is>
          <t>Vestido</t>
        </is>
      </c>
      <c r="C8" s="157" t="n">
        <v>200</v>
      </c>
      <c r="D8" s="157" t="n">
        <v>140</v>
      </c>
      <c r="E8" s="157" t="n">
        <v>5</v>
      </c>
      <c r="F8" s="158">
        <f>IF(C8=0,"",D8/C8)</f>
        <v/>
      </c>
      <c r="G8" s="145" t="n">
        <v>18.75</v>
      </c>
      <c r="H8" s="159">
        <f>IF(C8="","",IF(D8&gt;=C8,"Meta atingida",IF(D8&gt;=C8*0.8,"Quase lá","Abaixo da meta")))</f>
        <v/>
      </c>
    </row>
    <row r="9" ht="15" customHeight="1" s="86">
      <c r="B9" s="156" t="inlineStr">
        <is>
          <t>Camiseta Básica</t>
        </is>
      </c>
      <c r="C9" s="157" t="n">
        <v>600</v>
      </c>
      <c r="D9" s="157" t="n">
        <v>520</v>
      </c>
      <c r="E9" s="157" t="n">
        <v>10</v>
      </c>
      <c r="F9" s="158">
        <f>IF(C9=0,"",D9/C9)</f>
        <v/>
      </c>
      <c r="G9" s="145" t="n">
        <v>8.300000000000001</v>
      </c>
      <c r="H9" s="159">
        <f>IF(C9="","",IF(D9&gt;=C9,"Meta atingida",IF(D9&gt;=C9*0.8,"Quase lá","Abaixo da meta")))</f>
        <v/>
      </c>
    </row>
    <row r="10" ht="15" customHeight="1" s="86">
      <c r="B10" s="156" t="n"/>
      <c r="C10" s="157" t="n"/>
      <c r="D10" s="157" t="n"/>
      <c r="E10" s="157" t="n"/>
      <c r="F10" s="158">
        <f>IF(C10=0,"",D10/C10)</f>
        <v/>
      </c>
      <c r="G10" s="145" t="n"/>
      <c r="H10" s="159">
        <f>IF(C10="","",IF(D10&gt;=C10,"Meta atingida",IF(D10&gt;=C10*0.8,"Quase lá","Abaixo da meta")))</f>
        <v/>
      </c>
    </row>
    <row r="11" ht="15" customHeight="1" s="86">
      <c r="B11" s="156" t="n"/>
      <c r="C11" s="157" t="n"/>
      <c r="D11" s="157" t="n"/>
      <c r="E11" s="157" t="n"/>
      <c r="F11" s="158">
        <f>IF(C11=0,"",D11/C11)</f>
        <v/>
      </c>
      <c r="G11" s="145" t="n"/>
      <c r="H11" s="159">
        <f>IF(C11="","",IF(D11&gt;=C11,"Meta atingida",IF(D11&gt;=C11*0.8,"Quase lá","Abaixo da meta")))</f>
        <v/>
      </c>
    </row>
    <row r="12" ht="15" customHeight="1" s="86">
      <c r="B12" s="156" t="n"/>
      <c r="C12" s="157" t="n"/>
      <c r="D12" s="157" t="n"/>
      <c r="E12" s="157" t="n"/>
      <c r="F12" s="158">
        <f>IF(C12=0,"",D12/C12)</f>
        <v/>
      </c>
      <c r="G12" s="145" t="n"/>
      <c r="H12" s="159">
        <f>IF(C12="","",IF(D12&gt;=C12,"Meta atingida",IF(D12&gt;=C12*0.8,"Quase lá","Abaixo da meta")))</f>
        <v/>
      </c>
    </row>
    <row r="13" ht="15" customHeight="1" s="86">
      <c r="B13" s="156" t="n"/>
      <c r="C13" s="157" t="n"/>
      <c r="D13" s="157" t="n"/>
      <c r="E13" s="157" t="n"/>
      <c r="F13" s="158">
        <f>IF(C13=0,"",D13/C13)</f>
        <v/>
      </c>
      <c r="G13" s="145" t="n"/>
      <c r="H13" s="159">
        <f>IF(C13="","",IF(D13&gt;=C13,"Meta atingida",IF(D13&gt;=C13*0.8,"Quase lá","Abaixo da meta")))</f>
        <v/>
      </c>
    </row>
    <row r="14" ht="15" customHeight="1" s="86">
      <c r="B14" s="156" t="n"/>
      <c r="C14" s="157" t="n"/>
      <c r="D14" s="157" t="n"/>
      <c r="E14" s="157" t="n"/>
      <c r="F14" s="158">
        <f>IF(C14=0,"",D14/C14)</f>
        <v/>
      </c>
      <c r="G14" s="145" t="n"/>
      <c r="H14" s="159">
        <f>IF(C14="","",IF(D14&gt;=C14,"Meta atingida",IF(D14&gt;=C14*0.8,"Quase lá","Abaixo da meta")))</f>
        <v/>
      </c>
    </row>
    <row r="15" ht="15" customHeight="1" s="86">
      <c r="B15" s="156" t="n"/>
      <c r="C15" s="157" t="n"/>
      <c r="D15" s="157" t="n"/>
      <c r="E15" s="157" t="n"/>
      <c r="F15" s="158">
        <f>IF(C15=0,"",D15/C15)</f>
        <v/>
      </c>
      <c r="G15" s="145" t="n"/>
      <c r="H15" s="159">
        <f>IF(C15="","",IF(D15&gt;=C15,"Meta atingida",IF(D15&gt;=C15*0.8,"Quase lá","Abaixo da meta")))</f>
        <v/>
      </c>
    </row>
    <row r="16" ht="15" customHeight="1" s="86">
      <c r="B16" s="156" t="n"/>
      <c r="C16" s="157" t="n"/>
      <c r="D16" s="157" t="n"/>
      <c r="E16" s="157" t="n"/>
      <c r="F16" s="158">
        <f>IF(C16=0,"",D16/C16)</f>
        <v/>
      </c>
      <c r="G16" s="145" t="n"/>
      <c r="H16" s="159">
        <f>IF(C16="","",IF(D16&gt;=C16,"Meta atingida",IF(D16&gt;=C16*0.8,"Quase lá","Abaixo da meta")))</f>
        <v/>
      </c>
    </row>
    <row r="17" ht="15" customHeight="1" s="86">
      <c r="B17" s="156" t="n"/>
      <c r="C17" s="157" t="n"/>
      <c r="D17" s="157" t="n"/>
      <c r="E17" s="157" t="n"/>
      <c r="F17" s="158">
        <f>IF(C17=0,"",D17/C17)</f>
        <v/>
      </c>
      <c r="G17" s="145" t="n"/>
      <c r="H17" s="159">
        <f>IF(C17="","",IF(D17&gt;=C17,"Meta atingida",IF(D17&gt;=C17*0.8,"Quase lá","Abaixo da meta")))</f>
        <v/>
      </c>
    </row>
    <row r="18" ht="15" customHeight="1" s="86">
      <c r="B18" s="156" t="n"/>
      <c r="C18" s="157" t="n"/>
      <c r="D18" s="157" t="n"/>
      <c r="E18" s="157" t="n"/>
      <c r="F18" s="158">
        <f>IF(C18=0,"",D18/C18)</f>
        <v/>
      </c>
      <c r="G18" s="145" t="n"/>
      <c r="H18" s="159">
        <f>IF(C18="","",IF(D18&gt;=C18,"Meta atingida",IF(D18&gt;=C18*0.8,"Quase lá","Abaixo da meta")))</f>
        <v/>
      </c>
    </row>
    <row r="19" ht="15" customHeight="1" s="86">
      <c r="B19" s="156" t="n"/>
      <c r="C19" s="157" t="n"/>
      <c r="D19" s="157" t="n"/>
      <c r="E19" s="157" t="n"/>
      <c r="F19" s="158">
        <f>IF(C19=0,"",D19/C19)</f>
        <v/>
      </c>
      <c r="G19" s="145" t="n"/>
      <c r="H19" s="159">
        <f>IF(C19="","",IF(D19&gt;=C19,"Meta atingida",IF(D19&gt;=C19*0.8,"Quase lá","Abaixo da meta")))</f>
        <v/>
      </c>
    </row>
    <row r="20" ht="15" customHeight="1" s="86">
      <c r="B20" s="156" t="n"/>
      <c r="C20" s="157" t="n"/>
      <c r="D20" s="157" t="n"/>
      <c r="E20" s="157" t="n"/>
      <c r="F20" s="158">
        <f>IF(C20=0,"",D20/C20)</f>
        <v/>
      </c>
      <c r="G20" s="145" t="n"/>
      <c r="H20" s="159">
        <f>IF(C20="","",IF(D20&gt;=C20,"Meta atingida",IF(D20&gt;=C20*0.8,"Quase lá","Abaixo da meta")))</f>
        <v/>
      </c>
    </row>
    <row r="21" ht="15" customHeight="1" s="86">
      <c r="B21" s="156" t="n"/>
      <c r="C21" s="157" t="n"/>
      <c r="D21" s="157" t="n"/>
      <c r="E21" s="157" t="n"/>
      <c r="F21" s="158">
        <f>IF(C21=0,"",D21/C21)</f>
        <v/>
      </c>
      <c r="G21" s="145" t="n"/>
      <c r="H21" s="159">
        <f>IF(C21="","",IF(D21&gt;=C21,"Meta atingida",IF(D21&gt;=C21*0.8,"Quase lá","Abaixo da meta")))</f>
        <v/>
      </c>
    </row>
    <row r="22" ht="15" customHeight="1" s="86">
      <c r="B22" s="156" t="n"/>
      <c r="C22" s="157" t="n"/>
      <c r="D22" s="157" t="n"/>
      <c r="E22" s="157" t="n"/>
      <c r="F22" s="158">
        <f>IF(C22=0,"",D22/C22)</f>
        <v/>
      </c>
      <c r="G22" s="145" t="n"/>
      <c r="H22" s="159">
        <f>IF(C22="","",IF(D22&gt;=C22,"Meta atingida",IF(D22&gt;=C22*0.8,"Quase lá","Abaixo da meta")))</f>
        <v/>
      </c>
    </row>
    <row r="23" ht="15" customHeight="1" s="86">
      <c r="B23" s="156" t="n"/>
      <c r="C23" s="157" t="n"/>
      <c r="D23" s="157" t="n"/>
      <c r="E23" s="157" t="n"/>
      <c r="F23" s="158">
        <f>IF(C23=0,"",D23/C23)</f>
        <v/>
      </c>
      <c r="G23" s="145" t="n"/>
      <c r="H23" s="159">
        <f>IF(C23="","",IF(D23&gt;=C23,"Meta atingida",IF(D23&gt;=C23*0.8,"Quase lá","Abaixo da meta")))</f>
        <v/>
      </c>
    </row>
    <row r="24" ht="15" customHeight="1" s="86">
      <c r="B24" s="156" t="n"/>
      <c r="C24" s="157" t="n"/>
      <c r="D24" s="157" t="n"/>
      <c r="E24" s="157" t="n"/>
      <c r="F24" s="158">
        <f>IF(C24=0,"",D24/C24)</f>
        <v/>
      </c>
      <c r="G24" s="145" t="n"/>
      <c r="H24" s="159">
        <f>IF(C24="","",IF(D24&gt;=C24,"Meta atingida",IF(D24&gt;=C24*0.8,"Quase lá","Abaixo da meta")))</f>
        <v/>
      </c>
    </row>
    <row r="25" ht="15" customHeight="1" s="86">
      <c r="B25" s="156" t="n"/>
      <c r="C25" s="157" t="n"/>
      <c r="D25" s="157" t="n"/>
      <c r="E25" s="157" t="n"/>
      <c r="F25" s="158">
        <f>IF(C25=0,"",D25/C25)</f>
        <v/>
      </c>
      <c r="G25" s="145" t="n"/>
      <c r="H25" s="159">
        <f>IF(C25="","",IF(D25&gt;=C25,"Meta atingida",IF(D25&gt;=C25*0.8,"Quase lá","Abaixo da meta")))</f>
        <v/>
      </c>
    </row>
    <row r="26" ht="15" customHeight="1" s="86">
      <c r="B26" s="156" t="n"/>
      <c r="C26" s="157" t="n"/>
      <c r="D26" s="157" t="n"/>
      <c r="E26" s="157" t="n"/>
      <c r="F26" s="158">
        <f>IF(C26=0,"",D26/C26)</f>
        <v/>
      </c>
      <c r="G26" s="145" t="n"/>
      <c r="H26" s="159">
        <f>IF(C26="","",IF(D26&gt;=C26,"Meta atingida",IF(D26&gt;=C26*0.8,"Quase lá","Abaixo da meta")))</f>
        <v/>
      </c>
    </row>
    <row r="27" ht="15" customHeight="1" s="86">
      <c r="B27" s="156" t="n"/>
      <c r="C27" s="157" t="n"/>
      <c r="D27" s="157" t="n"/>
      <c r="E27" s="157" t="n"/>
      <c r="F27" s="158">
        <f>IF(C27=0,"",D27/C27)</f>
        <v/>
      </c>
      <c r="G27" s="145" t="n"/>
      <c r="H27" s="159">
        <f>IF(C27="","",IF(D27&gt;=C27,"Meta atingida",IF(D27&gt;=C27*0.8,"Quase lá","Abaixo da meta")))</f>
        <v/>
      </c>
    </row>
    <row r="28" ht="15" customHeight="1" s="86">
      <c r="B28" s="156" t="n"/>
      <c r="C28" s="157" t="n"/>
      <c r="D28" s="157" t="n"/>
      <c r="E28" s="157" t="n"/>
      <c r="F28" s="158">
        <f>IF(C28=0,"",D28/C28)</f>
        <v/>
      </c>
      <c r="G28" s="145" t="n"/>
      <c r="H28" s="159">
        <f>IF(C28="","",IF(D28&gt;=C28,"Meta atingida",IF(D28&gt;=C28*0.8,"Quase lá","Abaixo da meta")))</f>
        <v/>
      </c>
    </row>
    <row r="29" ht="15" customHeight="1" s="86">
      <c r="B29" s="156" t="n"/>
      <c r="C29" s="157" t="n"/>
      <c r="D29" s="157" t="n"/>
      <c r="E29" s="157" t="n"/>
      <c r="F29" s="158">
        <f>IF(C29=0,"",D29/C29)</f>
        <v/>
      </c>
      <c r="G29" s="145" t="n"/>
      <c r="H29" s="159">
        <f>IF(C29="","",IF(D29&gt;=C29,"Meta atingida",IF(D29&gt;=C29*0.8,"Quase lá","Abaixo da meta")))</f>
        <v/>
      </c>
    </row>
    <row r="30" ht="15" customHeight="1" s="86">
      <c r="B30" s="156" t="n"/>
      <c r="C30" s="157" t="n"/>
      <c r="D30" s="157" t="n"/>
      <c r="E30" s="157" t="n"/>
      <c r="F30" s="158">
        <f>IF(C30=0,"",D30/C30)</f>
        <v/>
      </c>
      <c r="G30" s="145" t="n"/>
      <c r="H30" s="159">
        <f>IF(C30="","",IF(D30&gt;=C30,"Meta atingida",IF(D30&gt;=C30*0.8,"Quase lá","Abaixo da meta")))</f>
        <v/>
      </c>
    </row>
    <row r="31" ht="15" customHeight="1" s="86">
      <c r="B31" s="156" t="n"/>
      <c r="C31" s="157" t="n"/>
      <c r="D31" s="157" t="n"/>
      <c r="E31" s="157" t="n"/>
      <c r="F31" s="158">
        <f>IF(C31=0,"",D31/C31)</f>
        <v/>
      </c>
      <c r="G31" s="145" t="n"/>
      <c r="H31" s="159">
        <f>IF(C31="","",IF(D31&gt;=C31,"Meta atingida",IF(D31&gt;=C31*0.8,"Quase lá","Abaixo da meta")))</f>
        <v/>
      </c>
    </row>
    <row r="32" ht="15" customHeight="1" s="86">
      <c r="B32" s="156" t="n"/>
      <c r="C32" s="157" t="n"/>
      <c r="D32" s="157" t="n"/>
      <c r="E32" s="157" t="n"/>
      <c r="F32" s="158">
        <f>IF(C32=0,"",D32/C32)</f>
        <v/>
      </c>
      <c r="G32" s="145" t="n"/>
      <c r="H32" s="159">
        <f>IF(C32="","",IF(D32&gt;=C32,"Meta atingida",IF(D32&gt;=C32*0.8,"Quase lá","Abaixo da meta")))</f>
        <v/>
      </c>
    </row>
    <row r="33" ht="15" customHeight="1" s="86">
      <c r="B33" s="156" t="n"/>
      <c r="C33" s="157" t="n"/>
      <c r="D33" s="157" t="n"/>
      <c r="E33" s="157" t="n"/>
      <c r="F33" s="158">
        <f>IF(C33=0,"",D33/C33)</f>
        <v/>
      </c>
      <c r="G33" s="145" t="n"/>
      <c r="H33" s="159">
        <f>IF(C33="","",IF(D33&gt;=C33,"Meta atingida",IF(D33&gt;=C33*0.8,"Quase lá","Abaixo da meta")))</f>
        <v/>
      </c>
    </row>
    <row r="34" ht="15" customHeight="1" s="86">
      <c r="B34" s="156" t="n"/>
      <c r="C34" s="157" t="n"/>
      <c r="D34" s="157" t="n"/>
      <c r="E34" s="157" t="n"/>
      <c r="F34" s="158">
        <f>IF(C34=0,"",D34/C34)</f>
        <v/>
      </c>
      <c r="G34" s="145" t="n"/>
      <c r="H34" s="159">
        <f>IF(C34="","",IF(D34&gt;=C34,"Meta atingida",IF(D34&gt;=C34*0.8,"Quase lá","Abaixo da meta")))</f>
        <v/>
      </c>
    </row>
    <row r="35" ht="15" customHeight="1" s="86">
      <c r="B35" s="156" t="n"/>
      <c r="C35" s="157" t="n"/>
      <c r="D35" s="157" t="n"/>
      <c r="E35" s="157" t="n"/>
      <c r="F35" s="158">
        <f>IF(C35=0,"",D35/C35)</f>
        <v/>
      </c>
      <c r="G35" s="145" t="n"/>
      <c r="H35" s="159">
        <f>IF(C35="","",IF(D35&gt;=C35,"Meta atingida",IF(D35&gt;=C35*0.8,"Quase lá","Abaixo da meta")))</f>
        <v/>
      </c>
    </row>
    <row r="36" ht="15" customHeight="1" s="86">
      <c r="B36" s="156" t="n"/>
      <c r="C36" s="157" t="n"/>
      <c r="D36" s="157" t="n"/>
      <c r="E36" s="157" t="n"/>
      <c r="F36" s="158">
        <f>IF(C36=0,"",D36/C36)</f>
        <v/>
      </c>
      <c r="G36" s="145" t="n"/>
      <c r="H36" s="159">
        <f>IF(C36="","",IF(D36&gt;=C36,"Meta atingida",IF(D36&gt;=C36*0.8,"Quase lá","Abaixo da meta")))</f>
        <v/>
      </c>
    </row>
    <row r="37" ht="15" customHeight="1" s="86">
      <c r="B37" s="156" t="n"/>
      <c r="C37" s="157" t="n"/>
      <c r="D37" s="157" t="n"/>
      <c r="E37" s="157" t="n"/>
      <c r="F37" s="158">
        <f>IF(C37=0,"",D37/C37)</f>
        <v/>
      </c>
      <c r="G37" s="145" t="n"/>
      <c r="H37" s="159">
        <f>IF(C37="","",IF(D37&gt;=C37,"Meta atingida",IF(D37&gt;=C37*0.8,"Quase lá","Abaixo da meta")))</f>
        <v/>
      </c>
    </row>
    <row r="38" ht="15" customHeight="1" s="86">
      <c r="B38" s="156" t="n"/>
      <c r="C38" s="157" t="n"/>
      <c r="D38" s="157" t="n"/>
      <c r="E38" s="157" t="n"/>
      <c r="F38" s="158">
        <f>IF(C38=0,"",D38/C38)</f>
        <v/>
      </c>
      <c r="G38" s="145" t="n"/>
      <c r="H38" s="159">
        <f>IF(C38="","",IF(D38&gt;=C38,"Meta atingida",IF(D38&gt;=C38*0.8,"Quase lá","Abaixo da meta")))</f>
        <v/>
      </c>
    </row>
    <row r="39" ht="15" customHeight="1" s="86">
      <c r="B39" s="156" t="n"/>
      <c r="C39" s="157" t="n"/>
      <c r="D39" s="157" t="n"/>
      <c r="E39" s="157" t="n"/>
      <c r="F39" s="158">
        <f>IF(C39=0,"",D39/C39)</f>
        <v/>
      </c>
      <c r="G39" s="145" t="n"/>
      <c r="H39" s="159">
        <f>IF(C39="","",IF(D39&gt;=C39,"Meta atingida",IF(D39&gt;=C39*0.8,"Quase lá","Abaixo da meta")))</f>
        <v/>
      </c>
    </row>
    <row r="40" ht="15" customHeight="1" s="86">
      <c r="B40" s="156" t="n"/>
      <c r="C40" s="157" t="n"/>
      <c r="D40" s="157" t="n"/>
      <c r="E40" s="157" t="n"/>
      <c r="F40" s="158">
        <f>IF(C40=0,"",D40/C40)</f>
        <v/>
      </c>
      <c r="G40" s="145" t="n"/>
      <c r="H40" s="159">
        <f>IF(C40="","",IF(D40&gt;=C40,"Meta atingida",IF(D40&gt;=C40*0.8,"Quase lá","Abaixo da meta")))</f>
        <v/>
      </c>
    </row>
    <row r="41" ht="15" customHeight="1" s="86">
      <c r="B41" s="156" t="n"/>
      <c r="C41" s="157" t="n"/>
      <c r="D41" s="157" t="n"/>
      <c r="E41" s="157" t="n"/>
      <c r="F41" s="158">
        <f>IF(C41=0,"",D41/C41)</f>
        <v/>
      </c>
      <c r="G41" s="145" t="n"/>
      <c r="H41" s="159">
        <f>IF(C41="","",IF(D41&gt;=C41,"Meta atingida",IF(D41&gt;=C41*0.8,"Quase lá","Abaixo da meta")))</f>
        <v/>
      </c>
    </row>
    <row r="42" ht="15" customHeight="1" s="86">
      <c r="B42" s="156" t="n"/>
      <c r="C42" s="157" t="n"/>
      <c r="D42" s="157" t="n"/>
      <c r="E42" s="157" t="n"/>
      <c r="F42" s="158">
        <f>IF(C42=0,"",D42/C42)</f>
        <v/>
      </c>
      <c r="G42" s="145" t="n"/>
      <c r="H42" s="159">
        <f>IF(C42="","",IF(D42&gt;=C42,"Meta atingida",IF(D42&gt;=C42*0.8,"Quase lá","Abaixo da meta")))</f>
        <v/>
      </c>
    </row>
    <row r="43" ht="15" customHeight="1" s="86">
      <c r="B43" s="156" t="n"/>
      <c r="C43" s="157" t="n"/>
      <c r="D43" s="157" t="n"/>
      <c r="E43" s="157" t="n"/>
      <c r="F43" s="158">
        <f>IF(C43=0,"",D43/C43)</f>
        <v/>
      </c>
      <c r="G43" s="145" t="n"/>
      <c r="H43" s="159">
        <f>IF(C43="","",IF(D43&gt;=C43,"Meta atingida",IF(D43&gt;=C43*0.8,"Quase lá","Abaixo da meta")))</f>
        <v/>
      </c>
    </row>
    <row r="44" ht="15" customHeight="1" s="86">
      <c r="B44" s="156" t="n"/>
      <c r="C44" s="157" t="n"/>
      <c r="D44" s="157" t="n"/>
      <c r="E44" s="157" t="n"/>
      <c r="F44" s="158">
        <f>IF(C44=0,"",D44/C44)</f>
        <v/>
      </c>
      <c r="G44" s="145" t="n"/>
      <c r="H44" s="159">
        <f>IF(C44="","",IF(D44&gt;=C44,"Meta atingida",IF(D44&gt;=C44*0.8,"Quase lá","Abaixo da meta")))</f>
        <v/>
      </c>
    </row>
    <row r="45" ht="15" customHeight="1" s="86">
      <c r="B45" s="156" t="n"/>
      <c r="C45" s="157" t="n"/>
      <c r="D45" s="157" t="n"/>
      <c r="E45" s="157" t="n"/>
      <c r="F45" s="158">
        <f>IF(C45=0,"",D45/C45)</f>
        <v/>
      </c>
      <c r="G45" s="145" t="n"/>
      <c r="H45" s="159">
        <f>IF(C45="","",IF(D45&gt;=C45,"Meta atingida",IF(D45&gt;=C45*0.8,"Quase lá","Abaixo da meta")))</f>
        <v/>
      </c>
    </row>
    <row r="46" ht="15" customHeight="1" s="86">
      <c r="B46" s="96" t="inlineStr">
        <is>
          <t>TOTAL</t>
        </is>
      </c>
      <c r="C46" s="160">
        <f>SUM(C6:C45)</f>
        <v/>
      </c>
      <c r="D46" s="160">
        <f>SUM(D6:D45)</f>
        <v/>
      </c>
      <c r="E46" s="160">
        <f>SUM(E6:E45)</f>
        <v/>
      </c>
      <c r="F46" s="161">
        <f>IF(C46=0,"",D46/C46)</f>
        <v/>
      </c>
      <c r="G46" s="162" t="n"/>
      <c r="H46" s="162" t="n"/>
    </row>
  </sheetData>
  <mergeCells count="2">
    <mergeCell ref="B3:H3"/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D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85" min="1" max="1"/>
    <col width="52" customWidth="1" style="85" min="2" max="2"/>
    <col width="14" customWidth="1" style="85" min="3" max="3"/>
    <col width="18" customWidth="1" style="85" min="4" max="4"/>
  </cols>
  <sheetData>
    <row r="2" ht="19.5" customHeight="1" s="86">
      <c r="B2" s="93" t="inlineStr">
        <is>
          <t>Régua de Crédito</t>
        </is>
      </c>
    </row>
    <row r="3" ht="15" customHeight="1" s="86">
      <c r="B3" s="116" t="inlineStr">
        <is>
          <t>Responda Sim/Não. O sistema soma os pontos e decide a liberação.</t>
        </is>
      </c>
    </row>
    <row r="5" ht="15" customHeight="1" s="86">
      <c r="B5" s="94" t="inlineStr">
        <is>
          <t>Pergunta</t>
        </is>
      </c>
      <c r="C5" s="94" t="inlineStr">
        <is>
          <t>Resposta</t>
        </is>
      </c>
      <c r="D5" s="94" t="inlineStr">
        <is>
          <t>Pontos</t>
        </is>
      </c>
    </row>
    <row r="6" ht="15" customHeight="1" s="86">
      <c r="B6" s="97" t="inlineStr">
        <is>
          <t>O cliente já comprou com a gente antes?</t>
        </is>
      </c>
      <c r="C6" s="157" t="inlineStr">
        <is>
          <t>Não</t>
        </is>
      </c>
      <c r="D6" s="163">
        <f>IF(C6="Sim",15,0)</f>
        <v/>
      </c>
    </row>
    <row r="7" ht="15" customHeight="1" s="86">
      <c r="B7" s="97" t="inlineStr">
        <is>
          <t>Os pagamentos anteriores foram em dia?</t>
        </is>
      </c>
      <c r="C7" s="157" t="inlineStr">
        <is>
          <t>Não</t>
        </is>
      </c>
      <c r="D7" s="163">
        <f>IF(C7="Sim",25,0)</f>
        <v/>
      </c>
    </row>
    <row r="8" ht="15" customHeight="1" s="86">
      <c r="B8" s="97" t="inlineStr">
        <is>
          <t>Possui CNPJ ativo / cadastro regular?</t>
        </is>
      </c>
      <c r="C8" s="157" t="inlineStr">
        <is>
          <t>Não</t>
        </is>
      </c>
      <c r="D8" s="163">
        <f>IF(C8="Sim",15,0)</f>
        <v/>
      </c>
    </row>
    <row r="9" ht="15" customHeight="1" s="86">
      <c r="B9" s="97" t="inlineStr">
        <is>
          <t>Está com o nome limpo (sem SPC/Serasa)?</t>
        </is>
      </c>
      <c r="C9" s="157" t="inlineStr">
        <is>
          <t>Não</t>
        </is>
      </c>
      <c r="D9" s="163">
        <f>IF(C9="Sim",25,0)</f>
        <v/>
      </c>
    </row>
    <row r="10" ht="15" customHeight="1" s="86">
      <c r="B10" s="97" t="inlineStr">
        <is>
          <t>Apresentou comprovante de renda/faturamento?</t>
        </is>
      </c>
      <c r="C10" s="157" t="inlineStr">
        <is>
          <t>Não</t>
        </is>
      </c>
      <c r="D10" s="163">
        <f>IF(C10="Sim",10,0)</f>
        <v/>
      </c>
    </row>
    <row r="11" ht="15" customHeight="1" s="86">
      <c r="B11" s="97" t="inlineStr">
        <is>
          <t>O valor pedido está dentro do histórico dele?</t>
        </is>
      </c>
      <c r="C11" s="157" t="inlineStr">
        <is>
          <t>Não</t>
        </is>
      </c>
      <c r="D11" s="163">
        <f>IF(C11="Sim",10,0)</f>
        <v/>
      </c>
    </row>
    <row r="12" ht="15" customHeight="1" s="86">
      <c r="B12" s="96" t="inlineStr">
        <is>
          <t>PONTUAÇÃO TOTAL</t>
        </is>
      </c>
      <c r="C12" s="162" t="n"/>
      <c r="D12" s="164">
        <f>SUM(D6:D11)</f>
        <v/>
      </c>
    </row>
    <row r="14" ht="45" customHeight="1" s="86">
      <c r="B14" s="155">
        <f>IF(D12&gt;=80,"CRÉDITO LIBERADO (pontuação "&amp;D12&amp;"/100) — baixo risco.",IF(D12&gt;=50,"LIBERAR COM CAUTELA (pontuação "&amp;D12&amp;"/100) — exigir entrada ou reduzir prazo.","CRÉDITO NEGADO (pontuação "&amp;D12&amp;"/100) — risco alto."))</f>
        <v/>
      </c>
    </row>
    <row r="16" ht="15" customHeight="1" s="86">
      <c r="B16" s="165" t="inlineStr">
        <is>
          <t>Critério de decisão:</t>
        </is>
      </c>
    </row>
    <row r="17" ht="15" customHeight="1" s="86">
      <c r="B17" s="166" t="inlineStr">
        <is>
          <t>80 a 100 pontos  →  Crédito liberado</t>
        </is>
      </c>
    </row>
    <row r="18" ht="15" customHeight="1" s="86">
      <c r="B18" s="166" t="inlineStr">
        <is>
          <t>50 a 79 pontos  →  Liberar com cautela (pedir garantia)</t>
        </is>
      </c>
    </row>
    <row r="19" ht="15" customHeight="1" s="86">
      <c r="B19" s="166" t="inlineStr">
        <is>
          <t>0 a 49 pontos  →  Crédito negado</t>
        </is>
      </c>
    </row>
  </sheetData>
  <mergeCells count="3">
    <mergeCell ref="B2:D2"/>
    <mergeCell ref="B3:D3"/>
    <mergeCell ref="B14:D14"/>
  </mergeCells>
  <dataValidations count="1">
    <dataValidation sqref="C6:C11" showDropDown="0" showInputMessage="0" showErrorMessage="0" allowBlank="1" type="list" errorStyle="stop" operator="between">
      <formula1>"Sim,Não"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2026-06-05T21:45:15Z</dcterms:created>
  <dcterms:modified xmlns:dcterms="http://purl.org/dc/terms/" xmlns:xsi="http://www.w3.org/2001/XMLSchema-instance" xsi:type="dcterms:W3CDTF">2026-10-16T11:19:29Z</dcterms:modified>
  <cp:revision>30</cp:revision>
</cp:coreProperties>
</file>